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namedSheetViews/namedSheetView1.xml" ContentType="application/vnd.ms-excel.namedsheetviews+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hidePivotFieldList="1"/>
  <mc:AlternateContent xmlns:mc="http://schemas.openxmlformats.org/markup-compatibility/2006">
    <mc:Choice Requires="x15">
      <x15ac:absPath xmlns:x15ac="http://schemas.microsoft.com/office/spreadsheetml/2010/11/ac" url="https://ts.accenture.com/sites/mySPTesting/Shared Documents/General/01 - Deliverables/Releases - FY 2025-2026/March/28-March-2026 Release/"/>
    </mc:Choice>
  </mc:AlternateContent>
  <xr:revisionPtr revIDLastSave="23809" documentId="13_ncr:1_{C0870AB3-27F9-47C9-802F-B2E25A9A4E64}" xr6:coauthVersionLast="47" xr6:coauthVersionMax="47" xr10:uidLastSave="{0BBCBADD-8573-49DD-97D9-5B5926014F03}"/>
  <bookViews>
    <workbookView xWindow="0" yWindow="740" windowWidth="30240" windowHeight="18900" firstSheet="2" activeTab="2" xr2:uid="{C71E9A70-1C48-4917-BB5B-85343CA4DE3F}"/>
  </bookViews>
  <sheets>
    <sheet name="insprint pivot" sheetId="14" r:id="rId1"/>
    <sheet name="Milestone" sheetId="4" r:id="rId2"/>
    <sheet name="PT status" sheetId="2" r:id="rId3"/>
    <sheet name="Automation pocs" sheetId="9" r:id="rId4"/>
    <sheet name="TFS Details" sheetId="1" r:id="rId5"/>
    <sheet name="(DO NOT TOUCH) STATUS PIVOT" sheetId="12" r:id="rId6"/>
    <sheet name="Environment Details" sheetId="5" r:id="rId7"/>
    <sheet name="Leads Pivot" sheetId="13" r:id="rId8"/>
  </sheets>
  <definedNames>
    <definedName name="_xlnm._FilterDatabase" localSheetId="6" hidden="1">'Environment Details'!$A$8:$F$8</definedName>
    <definedName name="_xlnm._FilterDatabase" localSheetId="4" hidden="1">'TFS Details'!$A$1:$AD$409</definedName>
    <definedName name="_xlnm._FilterDatabase" localSheetId="2" hidden="1">'PT status'!$A$1:$AR$476</definedName>
  </definedNames>
  <calcPr calcId="191028"/>
  <pivotCaches>
    <pivotCache cacheId="133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30" i="2" l="1"/>
  <c r="AM330" i="2"/>
  <c r="AN330" i="2"/>
  <c r="AP330" i="2"/>
  <c r="AQ330" i="2"/>
  <c r="AL331" i="2"/>
  <c r="AM331" i="2"/>
  <c r="AN331" i="2"/>
  <c r="AP331" i="2"/>
  <c r="AQ331" i="2"/>
  <c r="AL332" i="2"/>
  <c r="AM332" i="2"/>
  <c r="AN332" i="2"/>
  <c r="AP332" i="2"/>
  <c r="AQ332" i="2"/>
  <c r="AG330" i="2"/>
  <c r="AG331" i="2"/>
  <c r="AG332" i="2"/>
  <c r="A330" i="2"/>
  <c r="B330" i="2"/>
  <c r="C330" i="2"/>
  <c r="A331" i="2"/>
  <c r="B331" i="2"/>
  <c r="C331" i="2"/>
  <c r="A332" i="2"/>
  <c r="B332" i="2"/>
  <c r="C332" i="2"/>
  <c r="AP259" i="2"/>
  <c r="AN346" i="2"/>
  <c r="AN335" i="2"/>
  <c r="AL329" i="2"/>
  <c r="AM329" i="2" s="1"/>
  <c r="AN329" i="2"/>
  <c r="AP329" i="2"/>
  <c r="AQ329" i="2" s="1"/>
  <c r="AG329" i="2"/>
  <c r="A329" i="2"/>
  <c r="B329" i="2"/>
  <c r="C329" i="2"/>
  <c r="AL122" i="2"/>
  <c r="AL123" i="2"/>
  <c r="AL124" i="2"/>
  <c r="AL125" i="2"/>
  <c r="AL126" i="2"/>
  <c r="AL127" i="2"/>
  <c r="AL128" i="2"/>
  <c r="AL129" i="2"/>
  <c r="AL130" i="2"/>
  <c r="AL131" i="2"/>
  <c r="AL132" i="2"/>
  <c r="AL133" i="2"/>
  <c r="AL134" i="2"/>
  <c r="AL135" i="2"/>
  <c r="AL136" i="2"/>
  <c r="AL137" i="2"/>
  <c r="AL138" i="2"/>
  <c r="AL121" i="2"/>
  <c r="AL186" i="2"/>
  <c r="AG2" i="2"/>
  <c r="AL406" i="2"/>
  <c r="AL396" i="2"/>
  <c r="AM348" i="2"/>
  <c r="A378" i="2"/>
  <c r="H12" i="13"/>
  <c r="AP233" i="2"/>
  <c r="AQ233" i="2" s="1"/>
  <c r="AL230" i="2"/>
  <c r="AL231" i="2"/>
  <c r="AL232" i="2"/>
  <c r="AL233" i="2"/>
  <c r="AM233" i="2" s="1"/>
  <c r="AL226" i="2"/>
  <c r="AL227" i="2"/>
  <c r="AL228" i="2"/>
  <c r="AN233" i="2"/>
  <c r="AG233" i="2"/>
  <c r="A233" i="2"/>
  <c r="B233" i="2"/>
  <c r="C233" i="2"/>
  <c r="AL392" i="2"/>
  <c r="AL408" i="2"/>
  <c r="AL79" i="2"/>
  <c r="AL80" i="2"/>
  <c r="AL81" i="2"/>
  <c r="AL74" i="2"/>
  <c r="AL75" i="2"/>
  <c r="AL76" i="2"/>
  <c r="AL77" i="2"/>
  <c r="AL71" i="2"/>
  <c r="AL72" i="2"/>
  <c r="AL70" i="2"/>
  <c r="AL469" i="2"/>
  <c r="AL470" i="2"/>
  <c r="AL413" i="2"/>
  <c r="AL414" i="2"/>
  <c r="AL415" i="2"/>
  <c r="AL107" i="2"/>
  <c r="AL108" i="2"/>
  <c r="AL109" i="2"/>
  <c r="AL110" i="2"/>
  <c r="AL111" i="2"/>
  <c r="AL112" i="2"/>
  <c r="AL113" i="2"/>
  <c r="AL114" i="2"/>
  <c r="AL115" i="2"/>
  <c r="AL92" i="2"/>
  <c r="AL93" i="2"/>
  <c r="AL94" i="2"/>
  <c r="AL95" i="2"/>
  <c r="AM95" i="2" s="1"/>
  <c r="AL96" i="2"/>
  <c r="AM96" i="2" s="1"/>
  <c r="AL97" i="2"/>
  <c r="AM97" i="2" s="1"/>
  <c r="AL98" i="2"/>
  <c r="AM98" i="2" s="1"/>
  <c r="AL99" i="2"/>
  <c r="AM99" i="2" s="1"/>
  <c r="AL100" i="2"/>
  <c r="AM100" i="2" s="1"/>
  <c r="AL83" i="2"/>
  <c r="AL84" i="2"/>
  <c r="AL85" i="2"/>
  <c r="AL86" i="2"/>
  <c r="AL87" i="2"/>
  <c r="AL88" i="2"/>
  <c r="AL89" i="2"/>
  <c r="AN395" i="2"/>
  <c r="AL289" i="2"/>
  <c r="AL383" i="2"/>
  <c r="AE19" i="2"/>
  <c r="AL207" i="2"/>
  <c r="AN16" i="2"/>
  <c r="AN396" i="2"/>
  <c r="AP205" i="2"/>
  <c r="AQ205" i="2" s="1"/>
  <c r="AN205" i="2"/>
  <c r="AL205" i="2"/>
  <c r="AM205" i="2" s="1"/>
  <c r="A205" i="2"/>
  <c r="B205" i="2"/>
  <c r="C205" i="2"/>
  <c r="AL472" i="2"/>
  <c r="AL314" i="2"/>
  <c r="AE124" i="2"/>
  <c r="AE125" i="2"/>
  <c r="AE126" i="2"/>
  <c r="AE127" i="2"/>
  <c r="AE128" i="2"/>
  <c r="AE129" i="2"/>
  <c r="AE130" i="2"/>
  <c r="AE131" i="2"/>
  <c r="AE132" i="2"/>
  <c r="AE133" i="2"/>
  <c r="AE134" i="2"/>
  <c r="AE135" i="2"/>
  <c r="AE136" i="2"/>
  <c r="AE137" i="2"/>
  <c r="AE138" i="2"/>
  <c r="AE121" i="2"/>
  <c r="AE122" i="2"/>
  <c r="I4" i="13"/>
  <c r="I5" i="13"/>
  <c r="I6" i="13"/>
  <c r="I7" i="13"/>
  <c r="I8" i="13"/>
  <c r="I9" i="13"/>
  <c r="I10" i="13"/>
  <c r="I11" i="13"/>
  <c r="I12" i="13"/>
  <c r="I13" i="13"/>
  <c r="I14" i="13"/>
  <c r="I15" i="13"/>
  <c r="I16" i="13"/>
  <c r="I17" i="13"/>
  <c r="H4" i="13"/>
  <c r="H5" i="13"/>
  <c r="H6" i="13"/>
  <c r="H7" i="13"/>
  <c r="H8" i="13"/>
  <c r="H9" i="13"/>
  <c r="H10" i="13"/>
  <c r="H11" i="13"/>
  <c r="H13" i="13"/>
  <c r="H14" i="13"/>
  <c r="H15" i="13"/>
  <c r="H16" i="13"/>
  <c r="H17" i="13"/>
  <c r="H3" i="13"/>
  <c r="AL291" i="2"/>
  <c r="AL399" i="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5" i="12"/>
  <c r="C101" i="2"/>
  <c r="AP328" i="2"/>
  <c r="AQ328" i="2" s="1"/>
  <c r="AL328" i="2"/>
  <c r="AM328" i="2" s="1"/>
  <c r="AN328" i="2"/>
  <c r="AG328" i="2"/>
  <c r="A328" i="2"/>
  <c r="B328" i="2"/>
  <c r="C328" i="2"/>
  <c r="C392" i="2"/>
  <c r="AL401" i="2"/>
  <c r="AE6" i="2"/>
  <c r="AE14" i="2"/>
  <c r="AE16" i="2"/>
  <c r="AL82" i="2"/>
  <c r="C106" i="2"/>
  <c r="AG327" i="2"/>
  <c r="AL327" i="2"/>
  <c r="AM327" i="2" s="1"/>
  <c r="AN327" i="2"/>
  <c r="AP327" i="2"/>
  <c r="AQ327" i="2" s="1"/>
  <c r="A327" i="2"/>
  <c r="B327" i="2"/>
  <c r="C327" i="2"/>
  <c r="A370" i="2"/>
  <c r="AN145" i="2"/>
  <c r="AL353" i="2"/>
  <c r="AM353" i="2" s="1"/>
  <c r="AN353" i="2"/>
  <c r="AL354" i="2"/>
  <c r="AM354" i="2" s="1"/>
  <c r="AN354" i="2"/>
  <c r="AG474" i="2"/>
  <c r="AG354" i="2"/>
  <c r="AG325" i="2"/>
  <c r="AG299" i="2"/>
  <c r="AG289" i="2"/>
  <c r="A466" i="2"/>
  <c r="B466" i="2"/>
  <c r="A467" i="2"/>
  <c r="B467" i="2"/>
  <c r="A468" i="2"/>
  <c r="B468" i="2"/>
  <c r="A469" i="2"/>
  <c r="B469" i="2"/>
  <c r="A470" i="2"/>
  <c r="B470" i="2"/>
  <c r="A471" i="2"/>
  <c r="B471" i="2"/>
  <c r="A423" i="2"/>
  <c r="B423" i="2"/>
  <c r="C423" i="2"/>
  <c r="A424" i="2"/>
  <c r="B424" i="2"/>
  <c r="C424" i="2"/>
  <c r="AG476" i="2"/>
  <c r="AL476" i="2"/>
  <c r="AM476" i="2" s="1"/>
  <c r="AN476" i="2"/>
  <c r="A476" i="2"/>
  <c r="B476" i="2"/>
  <c r="C476" i="2"/>
  <c r="A6" i="2"/>
  <c r="AL404" i="2"/>
  <c r="AG326" i="2"/>
  <c r="AE423" i="2"/>
  <c r="AE424" i="2"/>
  <c r="AL250" i="2"/>
  <c r="AL249" i="2"/>
  <c r="AG353" i="2"/>
  <c r="A325" i="2"/>
  <c r="B325" i="2"/>
  <c r="C325" i="2"/>
  <c r="A326" i="2"/>
  <c r="B326" i="2"/>
  <c r="C326" i="2"/>
  <c r="AL325" i="2"/>
  <c r="AM325" i="2" s="1"/>
  <c r="AN325" i="2"/>
  <c r="AP325" i="2"/>
  <c r="AQ325" i="2" s="1"/>
  <c r="AL326" i="2"/>
  <c r="AM326" i="2" s="1"/>
  <c r="AN326" i="2"/>
  <c r="AP326" i="2"/>
  <c r="AQ326" i="2" s="1"/>
  <c r="A353" i="2"/>
  <c r="A354" i="2"/>
  <c r="B353" i="2"/>
  <c r="C353" i="2"/>
  <c r="B354" i="2"/>
  <c r="C354" i="2"/>
  <c r="AL48" i="2"/>
  <c r="AL49" i="2"/>
  <c r="AL50" i="2"/>
  <c r="AL57" i="2"/>
  <c r="AL59" i="2"/>
  <c r="AL68" i="2"/>
  <c r="AL117" i="2"/>
  <c r="AL118" i="2"/>
  <c r="AL119" i="2"/>
  <c r="AL120" i="2"/>
  <c r="AL143" i="2"/>
  <c r="AL150" i="2"/>
  <c r="AL160" i="2"/>
  <c r="AL204" i="2"/>
  <c r="AL211" i="2"/>
  <c r="AL218" i="2"/>
  <c r="AL219" i="2"/>
  <c r="AL225" i="2"/>
  <c r="AL229" i="2"/>
  <c r="AL296" i="2"/>
  <c r="AL301" i="2"/>
  <c r="AL302" i="2"/>
  <c r="AL304" i="2"/>
  <c r="AL316" i="2"/>
  <c r="AL317" i="2"/>
  <c r="AL318" i="2"/>
  <c r="AL320" i="2"/>
  <c r="AL321" i="2"/>
  <c r="AL324" i="2"/>
  <c r="AL335" i="2"/>
  <c r="AM335" i="2" s="1"/>
  <c r="AL336" i="2"/>
  <c r="AL343" i="2"/>
  <c r="AL349" i="2"/>
  <c r="AL350" i="2"/>
  <c r="AL378" i="2"/>
  <c r="AL381" i="2"/>
  <c r="AL394" i="2"/>
  <c r="AL395" i="2"/>
  <c r="AM395" i="2" s="1"/>
  <c r="AL398" i="2"/>
  <c r="AL405" i="2"/>
  <c r="AL407" i="2"/>
  <c r="AL416" i="2"/>
  <c r="AL468" i="2"/>
  <c r="AL473" i="2"/>
  <c r="AL474" i="2"/>
  <c r="AL475" i="2"/>
  <c r="AL46" i="2"/>
  <c r="AL41" i="2"/>
  <c r="AL42" i="2"/>
  <c r="AL39" i="2"/>
  <c r="AL30" i="2"/>
  <c r="AL27" i="2"/>
  <c r="AL24" i="2"/>
  <c r="AL21" i="2"/>
  <c r="AL16" i="2"/>
  <c r="AL14" i="2"/>
  <c r="AL4" i="2"/>
  <c r="AL2" i="2"/>
  <c r="AG423" i="2"/>
  <c r="AG424" i="2"/>
  <c r="AN423" i="2"/>
  <c r="AN424" i="2"/>
  <c r="AL424" i="2"/>
  <c r="AM424" i="2" s="1"/>
  <c r="AL423" i="2"/>
  <c r="AM423" i="2" s="1"/>
  <c r="AN430" i="2"/>
  <c r="AP474" i="2"/>
  <c r="AQ474" i="2" s="1"/>
  <c r="AP423" i="2"/>
  <c r="AQ423" i="2" s="1"/>
  <c r="AP424" i="2"/>
  <c r="AQ424" i="2" s="1"/>
  <c r="AP407" i="2"/>
  <c r="AQ407" i="2" s="1"/>
  <c r="A474" i="2"/>
  <c r="B474" i="2"/>
  <c r="C474" i="2"/>
  <c r="A475" i="2"/>
  <c r="B475" i="2"/>
  <c r="C475" i="2"/>
  <c r="AE387" i="2" l="1"/>
  <c r="AE385" i="2"/>
  <c r="AE418" i="2"/>
  <c r="AE419" i="2"/>
  <c r="AE420" i="2"/>
  <c r="AE421" i="2"/>
  <c r="AE422" i="2"/>
  <c r="AE425" i="2"/>
  <c r="AE426" i="2"/>
  <c r="AE427" i="2"/>
  <c r="AE428" i="2"/>
  <c r="AE417" i="2"/>
  <c r="AE345" i="2"/>
  <c r="AD401" i="2"/>
  <c r="AD398" i="2"/>
  <c r="AD396" i="2"/>
  <c r="AD391" i="2"/>
  <c r="AM474" i="2"/>
  <c r="AN474" i="2"/>
  <c r="AF425" i="2"/>
  <c r="AE333" i="2"/>
  <c r="AE344" i="2"/>
  <c r="AP475" i="2"/>
  <c r="AQ475" i="2" s="1"/>
  <c r="AP473" i="2"/>
  <c r="AQ473" i="2" s="1"/>
  <c r="AM475" i="2"/>
  <c r="AN475" i="2"/>
  <c r="AM473" i="2"/>
  <c r="AN473" i="2"/>
  <c r="AG475" i="2"/>
  <c r="AG473" i="2"/>
  <c r="AM407" i="2"/>
  <c r="AN407" i="2"/>
  <c r="AG407" i="2"/>
  <c r="A407" i="2"/>
  <c r="B407" i="2"/>
  <c r="C407" i="2"/>
  <c r="AE5" i="2"/>
  <c r="AG279" i="2"/>
  <c r="A473" i="2"/>
  <c r="B473" i="2"/>
  <c r="C473" i="2"/>
  <c r="AN109" i="2"/>
  <c r="AN110" i="2"/>
  <c r="AN108" i="2"/>
  <c r="AE123" i="2"/>
  <c r="AG418" i="2"/>
  <c r="AG419" i="2"/>
  <c r="AG420" i="2"/>
  <c r="AG421" i="2"/>
  <c r="AG422" i="2"/>
  <c r="A323" i="2"/>
  <c r="B323" i="2"/>
  <c r="C323" i="2"/>
  <c r="A324" i="2"/>
  <c r="B324" i="2"/>
  <c r="C324" i="2"/>
  <c r="AL323" i="2"/>
  <c r="AM323" i="2" s="1"/>
  <c r="AN323" i="2"/>
  <c r="AP323" i="2"/>
  <c r="AQ323" i="2" s="1"/>
  <c r="AM324" i="2"/>
  <c r="AN324" i="2"/>
  <c r="AP324" i="2"/>
  <c r="AQ324" i="2" s="1"/>
  <c r="AG322" i="2"/>
  <c r="AG323" i="2"/>
  <c r="AG324" i="2"/>
  <c r="I3" i="13"/>
  <c r="AN2" i="2"/>
  <c r="AM2" i="2"/>
  <c r="AM396" i="2"/>
  <c r="AM398" i="2"/>
  <c r="AL5" i="2"/>
  <c r="AL6" i="2"/>
  <c r="AL7" i="2"/>
  <c r="AL8" i="2"/>
  <c r="AL9" i="2"/>
  <c r="AL11" i="2"/>
  <c r="AL12" i="2"/>
  <c r="AL13" i="2"/>
  <c r="AL15" i="2"/>
  <c r="AL17" i="2"/>
  <c r="AL19" i="2"/>
  <c r="AL20" i="2"/>
  <c r="AL23" i="2"/>
  <c r="AL25" i="2"/>
  <c r="AL26" i="2"/>
  <c r="AL28" i="2"/>
  <c r="AL29" i="2"/>
  <c r="AL31" i="2"/>
  <c r="AL32" i="2"/>
  <c r="AL33" i="2"/>
  <c r="AL34" i="2"/>
  <c r="AL35" i="2"/>
  <c r="AL37" i="2"/>
  <c r="AL38" i="2"/>
  <c r="AL40" i="2"/>
  <c r="AL43" i="2"/>
  <c r="AL44" i="2"/>
  <c r="AL45" i="2"/>
  <c r="AL47" i="2"/>
  <c r="AL51" i="2"/>
  <c r="AL52" i="2"/>
  <c r="AL53" i="2"/>
  <c r="AL54" i="2"/>
  <c r="AL56" i="2"/>
  <c r="AL58" i="2"/>
  <c r="AL60" i="2"/>
  <c r="AL61" i="2"/>
  <c r="AL62" i="2"/>
  <c r="AL63" i="2"/>
  <c r="AL64" i="2"/>
  <c r="AL65" i="2"/>
  <c r="AL66" i="2"/>
  <c r="AL67" i="2"/>
  <c r="AL69" i="2"/>
  <c r="AL73" i="2"/>
  <c r="AL78" i="2"/>
  <c r="AL90" i="2"/>
  <c r="AL91" i="2"/>
  <c r="AL101" i="2"/>
  <c r="AL102" i="2"/>
  <c r="AL103" i="2"/>
  <c r="AL104" i="2"/>
  <c r="AL105" i="2"/>
  <c r="AL106" i="2"/>
  <c r="AM109" i="2"/>
  <c r="AL116" i="2"/>
  <c r="AL139" i="2"/>
  <c r="AL140" i="2"/>
  <c r="AL141" i="2"/>
  <c r="AL142" i="2"/>
  <c r="AL144" i="2"/>
  <c r="AL145" i="2"/>
  <c r="AL146" i="2"/>
  <c r="AL147" i="2"/>
  <c r="AL148" i="2"/>
  <c r="AL151" i="2"/>
  <c r="AL152" i="2"/>
  <c r="AL153" i="2"/>
  <c r="AL155" i="2"/>
  <c r="AL156" i="2"/>
  <c r="AL158" i="2"/>
  <c r="AL159" i="2"/>
  <c r="AL161" i="2"/>
  <c r="AL162" i="2"/>
  <c r="AL163" i="2"/>
  <c r="AL164" i="2"/>
  <c r="AL165" i="2"/>
  <c r="AL166" i="2"/>
  <c r="AL167" i="2"/>
  <c r="AL168" i="2"/>
  <c r="AL169" i="2"/>
  <c r="AL171" i="2"/>
  <c r="AL173" i="2"/>
  <c r="AL175" i="2"/>
  <c r="AL177" i="2"/>
  <c r="AL179" i="2"/>
  <c r="AL182" i="2"/>
  <c r="AL183" i="2"/>
  <c r="AL184" i="2"/>
  <c r="AL185" i="2"/>
  <c r="AL187" i="2"/>
  <c r="AL188" i="2"/>
  <c r="AL189" i="2"/>
  <c r="AL190" i="2"/>
  <c r="AL191" i="2"/>
  <c r="AL192" i="2"/>
  <c r="AL193" i="2"/>
  <c r="AL194" i="2"/>
  <c r="AL195" i="2"/>
  <c r="AL196" i="2"/>
  <c r="AL197" i="2"/>
  <c r="AL198" i="2"/>
  <c r="AL199" i="2"/>
  <c r="AL200" i="2"/>
  <c r="AL201" i="2"/>
  <c r="AL202" i="2"/>
  <c r="AL203" i="2"/>
  <c r="AM203" i="2" s="1"/>
  <c r="AL208" i="2"/>
  <c r="AL209" i="2"/>
  <c r="AL210" i="2"/>
  <c r="AL212" i="2"/>
  <c r="AL213" i="2"/>
  <c r="AL214" i="2"/>
  <c r="AL215" i="2"/>
  <c r="AL216" i="2"/>
  <c r="AL222" i="2"/>
  <c r="AL223" i="2"/>
  <c r="AL224" i="2"/>
  <c r="AL234" i="2"/>
  <c r="AL235" i="2"/>
  <c r="AL236" i="2"/>
  <c r="AL237" i="2"/>
  <c r="AL238" i="2"/>
  <c r="AL239" i="2"/>
  <c r="AL240" i="2"/>
  <c r="AL241" i="2"/>
  <c r="AL242" i="2"/>
  <c r="AL243" i="2"/>
  <c r="AL244" i="2"/>
  <c r="AL245" i="2"/>
  <c r="AL246" i="2"/>
  <c r="AL247" i="2"/>
  <c r="AL248" i="2"/>
  <c r="AL251" i="2"/>
  <c r="AL252" i="2"/>
  <c r="AL253" i="2"/>
  <c r="AL254" i="2"/>
  <c r="AL255" i="2"/>
  <c r="AL256" i="2"/>
  <c r="AL257" i="2"/>
  <c r="AL258" i="2"/>
  <c r="AL259" i="2"/>
  <c r="AL260" i="2"/>
  <c r="AL261" i="2"/>
  <c r="AL262" i="2"/>
  <c r="AL263" i="2"/>
  <c r="AL265" i="2"/>
  <c r="AL266" i="2"/>
  <c r="AL267" i="2"/>
  <c r="AL268" i="2"/>
  <c r="AL269" i="2"/>
  <c r="AL270" i="2"/>
  <c r="AL271" i="2"/>
  <c r="AL272" i="2"/>
  <c r="AL273" i="2"/>
  <c r="AL274" i="2"/>
  <c r="AL275" i="2"/>
  <c r="AL276" i="2"/>
  <c r="AL277" i="2"/>
  <c r="AL278" i="2"/>
  <c r="AL279" i="2"/>
  <c r="AL281" i="2"/>
  <c r="AL282" i="2"/>
  <c r="AL283" i="2"/>
  <c r="AL284" i="2"/>
  <c r="AL285" i="2"/>
  <c r="AL288" i="2"/>
  <c r="AL292" i="2"/>
  <c r="AL293" i="2"/>
  <c r="AL294" i="2"/>
  <c r="AL295" i="2"/>
  <c r="AL297" i="2"/>
  <c r="AL298" i="2"/>
  <c r="AL299" i="2"/>
  <c r="AL300" i="2"/>
  <c r="AL310" i="2"/>
  <c r="AL311" i="2"/>
  <c r="AL312" i="2"/>
  <c r="AL319" i="2"/>
  <c r="AL322" i="2"/>
  <c r="AL333" i="2"/>
  <c r="AL334" i="2"/>
  <c r="AL337" i="2"/>
  <c r="AL338" i="2"/>
  <c r="AL339" i="2"/>
  <c r="AL340" i="2"/>
  <c r="AL341" i="2"/>
  <c r="AL342" i="2"/>
  <c r="AL344" i="2"/>
  <c r="AL345" i="2"/>
  <c r="AL346" i="2"/>
  <c r="AL347" i="2"/>
  <c r="AL351" i="2"/>
  <c r="AL352" i="2"/>
  <c r="AL355" i="2"/>
  <c r="AM355" i="2" s="1"/>
  <c r="AL356" i="2"/>
  <c r="AL357" i="2"/>
  <c r="AL358" i="2"/>
  <c r="AL359" i="2"/>
  <c r="AL360" i="2"/>
  <c r="AL361" i="2"/>
  <c r="AL362" i="2"/>
  <c r="AL363" i="2"/>
  <c r="AL364" i="2"/>
  <c r="AL365" i="2"/>
  <c r="AL366" i="2"/>
  <c r="AL367" i="2"/>
  <c r="AL370" i="2"/>
  <c r="AL371" i="2"/>
  <c r="AL372" i="2"/>
  <c r="AL373" i="2"/>
  <c r="AL374" i="2"/>
  <c r="AL375" i="2"/>
  <c r="AL376" i="2"/>
  <c r="AL377" i="2"/>
  <c r="AL379" i="2"/>
  <c r="AL380" i="2"/>
  <c r="AL382" i="2"/>
  <c r="AL384" i="2"/>
  <c r="AL385" i="2"/>
  <c r="AL386" i="2"/>
  <c r="AL387" i="2"/>
  <c r="AL388" i="2"/>
  <c r="AL389" i="2"/>
  <c r="AL390" i="2"/>
  <c r="AL391" i="2"/>
  <c r="AM391" i="2" s="1"/>
  <c r="AM392" i="2"/>
  <c r="AL393" i="2"/>
  <c r="AM393" i="2" s="1"/>
  <c r="AL397" i="2"/>
  <c r="AM397" i="2" s="1"/>
  <c r="AM399" i="2"/>
  <c r="AL400" i="2"/>
  <c r="AM400" i="2" s="1"/>
  <c r="AL402" i="2"/>
  <c r="AM402" i="2" s="1"/>
  <c r="AL403" i="2"/>
  <c r="AM403" i="2" s="1"/>
  <c r="AM404" i="2"/>
  <c r="AM408" i="2"/>
  <c r="AL409" i="2"/>
  <c r="AM409" i="2" s="1"/>
  <c r="AL410" i="2"/>
  <c r="AM410" i="2" s="1"/>
  <c r="AL411" i="2"/>
  <c r="AM411" i="2" s="1"/>
  <c r="AL412" i="2"/>
  <c r="AM412" i="2" s="1"/>
  <c r="AM413" i="2"/>
  <c r="AM414" i="2"/>
  <c r="AM415" i="2"/>
  <c r="AL417" i="2"/>
  <c r="AM417" i="2" s="1"/>
  <c r="AL418" i="2"/>
  <c r="AM418" i="2" s="1"/>
  <c r="AL419" i="2"/>
  <c r="AM419" i="2" s="1"/>
  <c r="AL420" i="2"/>
  <c r="AM420" i="2" s="1"/>
  <c r="AL421" i="2"/>
  <c r="AM421" i="2" s="1"/>
  <c r="AL422" i="2"/>
  <c r="AL425" i="2"/>
  <c r="AM425" i="2" s="1"/>
  <c r="AL426" i="2"/>
  <c r="AM426" i="2" s="1"/>
  <c r="AL427" i="2"/>
  <c r="AM427" i="2" s="1"/>
  <c r="AL428" i="2"/>
  <c r="AM428" i="2" s="1"/>
  <c r="AL429" i="2"/>
  <c r="AM429" i="2" s="1"/>
  <c r="AL430" i="2"/>
  <c r="AM430" i="2" s="1"/>
  <c r="AL431" i="2"/>
  <c r="AM431" i="2" s="1"/>
  <c r="AL432" i="2"/>
  <c r="AM432" i="2" s="1"/>
  <c r="AL434" i="2"/>
  <c r="AM434" i="2" s="1"/>
  <c r="AL435" i="2"/>
  <c r="AM435" i="2" s="1"/>
  <c r="AL436" i="2"/>
  <c r="AM436" i="2" s="1"/>
  <c r="AL437" i="2"/>
  <c r="AM437" i="2" s="1"/>
  <c r="AL438" i="2"/>
  <c r="AM438" i="2" s="1"/>
  <c r="AL439" i="2"/>
  <c r="AM439" i="2" s="1"/>
  <c r="AL440" i="2"/>
  <c r="AM440" i="2" s="1"/>
  <c r="AL441" i="2"/>
  <c r="AM441" i="2" s="1"/>
  <c r="AL442" i="2"/>
  <c r="AM442" i="2" s="1"/>
  <c r="AL443" i="2"/>
  <c r="AM443" i="2" s="1"/>
  <c r="AL444" i="2"/>
  <c r="AM444" i="2" s="1"/>
  <c r="AL445" i="2"/>
  <c r="AL446" i="2"/>
  <c r="AM446" i="2" s="1"/>
  <c r="AL447" i="2"/>
  <c r="AM447" i="2" s="1"/>
  <c r="AL448" i="2"/>
  <c r="AL449" i="2"/>
  <c r="AM449" i="2" s="1"/>
  <c r="AL450" i="2"/>
  <c r="AM450" i="2" s="1"/>
  <c r="AL451" i="2"/>
  <c r="AM451" i="2" s="1"/>
  <c r="AL452" i="2"/>
  <c r="AM452" i="2" s="1"/>
  <c r="AL453" i="2"/>
  <c r="AM453" i="2" s="1"/>
  <c r="AL454" i="2"/>
  <c r="AL455" i="2"/>
  <c r="AM455" i="2" s="1"/>
  <c r="AL456" i="2"/>
  <c r="AM456" i="2" s="1"/>
  <c r="AL457" i="2"/>
  <c r="AM457" i="2" s="1"/>
  <c r="AL458" i="2"/>
  <c r="AM458" i="2" s="1"/>
  <c r="AL459" i="2"/>
  <c r="AM459" i="2" s="1"/>
  <c r="AL460" i="2"/>
  <c r="AM460" i="2" s="1"/>
  <c r="AL461" i="2"/>
  <c r="AL462" i="2"/>
  <c r="AM462" i="2" s="1"/>
  <c r="AL463" i="2"/>
  <c r="AM463" i="2" s="1"/>
  <c r="AL464" i="2"/>
  <c r="AM464" i="2" s="1"/>
  <c r="AL465" i="2"/>
  <c r="AM465" i="2" s="1"/>
  <c r="AL466" i="2"/>
  <c r="AM466" i="2" s="1"/>
  <c r="AL467" i="2"/>
  <c r="AM467" i="2" s="1"/>
  <c r="AM469" i="2"/>
  <c r="AM470" i="2"/>
  <c r="AL471" i="2"/>
  <c r="AM471" i="2" s="1"/>
  <c r="AM472" i="2"/>
  <c r="A12" i="2"/>
  <c r="AP3" i="2"/>
  <c r="AQ3" i="2" s="1"/>
  <c r="AP4" i="2"/>
  <c r="AQ4" i="2" s="1"/>
  <c r="AP5" i="2"/>
  <c r="AQ5" i="2" s="1"/>
  <c r="AP6" i="2"/>
  <c r="AQ6" i="2" s="1"/>
  <c r="AP7" i="2"/>
  <c r="AQ7" i="2" s="1"/>
  <c r="AP8" i="2"/>
  <c r="AQ8" i="2" s="1"/>
  <c r="AP9" i="2"/>
  <c r="AQ9" i="2" s="1"/>
  <c r="AP10" i="2"/>
  <c r="AQ10" i="2" s="1"/>
  <c r="AP11" i="2"/>
  <c r="AQ11" i="2" s="1"/>
  <c r="AP12" i="2"/>
  <c r="AQ12" i="2" s="1"/>
  <c r="AP13" i="2"/>
  <c r="AQ13" i="2" s="1"/>
  <c r="AP14" i="2"/>
  <c r="AQ14" i="2" s="1"/>
  <c r="AP15" i="2"/>
  <c r="AQ15" i="2" s="1"/>
  <c r="AP16" i="2"/>
  <c r="AQ16" i="2" s="1"/>
  <c r="AP17" i="2"/>
  <c r="AQ17" i="2" s="1"/>
  <c r="AP18" i="2"/>
  <c r="AQ18" i="2" s="1"/>
  <c r="AP19" i="2"/>
  <c r="AQ19" i="2" s="1"/>
  <c r="AP20" i="2"/>
  <c r="AQ20" i="2" s="1"/>
  <c r="AP21" i="2"/>
  <c r="AQ21" i="2" s="1"/>
  <c r="AP22" i="2"/>
  <c r="AQ22" i="2" s="1"/>
  <c r="AP23" i="2"/>
  <c r="AQ23" i="2" s="1"/>
  <c r="AP24" i="2"/>
  <c r="AQ24" i="2" s="1"/>
  <c r="AP25" i="2"/>
  <c r="AQ25" i="2" s="1"/>
  <c r="AP26" i="2"/>
  <c r="AQ26" i="2" s="1"/>
  <c r="AP57" i="2"/>
  <c r="AQ57" i="2" s="1"/>
  <c r="AP27" i="2"/>
  <c r="AQ27" i="2" s="1"/>
  <c r="AP28" i="2"/>
  <c r="AQ28" i="2" s="1"/>
  <c r="AP29" i="2"/>
  <c r="AQ29" i="2" s="1"/>
  <c r="AP30" i="2"/>
  <c r="AQ30" i="2" s="1"/>
  <c r="AP31" i="2"/>
  <c r="AQ31" i="2" s="1"/>
  <c r="AP32" i="2"/>
  <c r="AQ32" i="2" s="1"/>
  <c r="AP33" i="2"/>
  <c r="AQ33" i="2" s="1"/>
  <c r="AP34" i="2"/>
  <c r="AQ34" i="2" s="1"/>
  <c r="AP35" i="2"/>
  <c r="AQ35" i="2" s="1"/>
  <c r="AP36" i="2"/>
  <c r="AQ36" i="2" s="1"/>
  <c r="AP37" i="2"/>
  <c r="AQ37" i="2" s="1"/>
  <c r="AP38" i="2"/>
  <c r="AQ38" i="2" s="1"/>
  <c r="AP39" i="2"/>
  <c r="AQ39" i="2" s="1"/>
  <c r="AP40" i="2"/>
  <c r="AQ40" i="2" s="1"/>
  <c r="AP41" i="2"/>
  <c r="AQ41" i="2" s="1"/>
  <c r="AP42" i="2"/>
  <c r="AQ42" i="2" s="1"/>
  <c r="AP43" i="2"/>
  <c r="AQ43" i="2" s="1"/>
  <c r="AP44" i="2"/>
  <c r="AQ44" i="2" s="1"/>
  <c r="AP45" i="2"/>
  <c r="AQ45" i="2" s="1"/>
  <c r="AP46" i="2"/>
  <c r="AQ46" i="2" s="1"/>
  <c r="AP47" i="2"/>
  <c r="AQ47" i="2" s="1"/>
  <c r="AP48" i="2"/>
  <c r="AQ48" i="2" s="1"/>
  <c r="AP49" i="2"/>
  <c r="AQ49" i="2" s="1"/>
  <c r="AP50" i="2"/>
  <c r="AQ50" i="2" s="1"/>
  <c r="AP51" i="2"/>
  <c r="AQ51" i="2" s="1"/>
  <c r="AP52" i="2"/>
  <c r="AQ52" i="2" s="1"/>
  <c r="AP53" i="2"/>
  <c r="AQ53" i="2" s="1"/>
  <c r="AP54" i="2"/>
  <c r="AQ54" i="2" s="1"/>
  <c r="AP55" i="2"/>
  <c r="AQ55" i="2" s="1"/>
  <c r="AP56" i="2"/>
  <c r="AQ56" i="2" s="1"/>
  <c r="AP58" i="2"/>
  <c r="AQ58" i="2" s="1"/>
  <c r="AP59" i="2"/>
  <c r="AQ59" i="2" s="1"/>
  <c r="AP60" i="2"/>
  <c r="AQ60" i="2" s="1"/>
  <c r="AP61" i="2"/>
  <c r="AQ61" i="2" s="1"/>
  <c r="AP62" i="2"/>
  <c r="AQ62" i="2" s="1"/>
  <c r="AP63" i="2"/>
  <c r="AQ63" i="2" s="1"/>
  <c r="AP64" i="2"/>
  <c r="AQ64" i="2" s="1"/>
  <c r="AP65" i="2"/>
  <c r="AQ65" i="2" s="1"/>
  <c r="AP66" i="2"/>
  <c r="AQ66" i="2" s="1"/>
  <c r="AP67" i="2"/>
  <c r="AQ67" i="2" s="1"/>
  <c r="AP68" i="2"/>
  <c r="AQ68" i="2" s="1"/>
  <c r="AP69" i="2"/>
  <c r="AQ69" i="2" s="1"/>
  <c r="AP70" i="2"/>
  <c r="AQ70" i="2" s="1"/>
  <c r="AP71" i="2"/>
  <c r="AQ71" i="2" s="1"/>
  <c r="AP72" i="2"/>
  <c r="AQ72" i="2" s="1"/>
  <c r="AP73" i="2"/>
  <c r="AQ73" i="2" s="1"/>
  <c r="AP74" i="2"/>
  <c r="AQ74" i="2" s="1"/>
  <c r="AP75" i="2"/>
  <c r="AQ75" i="2" s="1"/>
  <c r="AP76" i="2"/>
  <c r="AQ76" i="2" s="1"/>
  <c r="AP77" i="2"/>
  <c r="AQ77" i="2" s="1"/>
  <c r="AP78" i="2"/>
  <c r="AQ78" i="2" s="1"/>
  <c r="AP79" i="2"/>
  <c r="AQ79" i="2" s="1"/>
  <c r="AP80" i="2"/>
  <c r="AQ80" i="2" s="1"/>
  <c r="AP81" i="2"/>
  <c r="AQ81" i="2" s="1"/>
  <c r="AP82" i="2"/>
  <c r="AQ82" i="2" s="1"/>
  <c r="AP83" i="2"/>
  <c r="AQ83" i="2" s="1"/>
  <c r="AP84" i="2"/>
  <c r="AQ84" i="2" s="1"/>
  <c r="AP85" i="2"/>
  <c r="AQ85" i="2" s="1"/>
  <c r="AP86" i="2"/>
  <c r="AQ86" i="2" s="1"/>
  <c r="AP87" i="2"/>
  <c r="AQ87" i="2" s="1"/>
  <c r="AP88" i="2"/>
  <c r="AQ88" i="2" s="1"/>
  <c r="AP89" i="2"/>
  <c r="AQ89" i="2" s="1"/>
  <c r="AP90" i="2"/>
  <c r="AQ90" i="2" s="1"/>
  <c r="AP91" i="2"/>
  <c r="AQ91" i="2" s="1"/>
  <c r="AP92" i="2"/>
  <c r="AQ92" i="2" s="1"/>
  <c r="AP93" i="2"/>
  <c r="AQ93" i="2" s="1"/>
  <c r="AP94" i="2"/>
  <c r="AQ94" i="2" s="1"/>
  <c r="AP95" i="2"/>
  <c r="AQ95" i="2" s="1"/>
  <c r="AP96" i="2"/>
  <c r="AQ96" i="2" s="1"/>
  <c r="AP97" i="2"/>
  <c r="AQ97" i="2" s="1"/>
  <c r="AP98" i="2"/>
  <c r="AQ98" i="2" s="1"/>
  <c r="AP99" i="2"/>
  <c r="AQ99" i="2" s="1"/>
  <c r="AP100" i="2"/>
  <c r="AQ100" i="2" s="1"/>
  <c r="AP101" i="2"/>
  <c r="AQ101" i="2" s="1"/>
  <c r="AP102" i="2"/>
  <c r="AQ102" i="2" s="1"/>
  <c r="AP103" i="2"/>
  <c r="AQ103" i="2" s="1"/>
  <c r="AP104" i="2"/>
  <c r="AQ104" i="2" s="1"/>
  <c r="AP105" i="2"/>
  <c r="AQ105" i="2" s="1"/>
  <c r="AP106" i="2"/>
  <c r="AQ106" i="2" s="1"/>
  <c r="AP107" i="2"/>
  <c r="AQ107" i="2" s="1"/>
  <c r="AP108" i="2"/>
  <c r="AQ108" i="2" s="1"/>
  <c r="AP109" i="2"/>
  <c r="AQ109" i="2" s="1"/>
  <c r="AP110" i="2"/>
  <c r="AQ110" i="2" s="1"/>
  <c r="AP111" i="2"/>
  <c r="AQ111" i="2" s="1"/>
  <c r="AP112" i="2"/>
  <c r="AQ112" i="2" s="1"/>
  <c r="AP113" i="2"/>
  <c r="AQ113" i="2" s="1"/>
  <c r="AP114" i="2"/>
  <c r="AQ114" i="2" s="1"/>
  <c r="AP115" i="2"/>
  <c r="AQ115" i="2" s="1"/>
  <c r="AP116" i="2"/>
  <c r="AQ116" i="2" s="1"/>
  <c r="AP117" i="2"/>
  <c r="AQ117" i="2" s="1"/>
  <c r="AP118" i="2"/>
  <c r="AQ118" i="2" s="1"/>
  <c r="AP119" i="2"/>
  <c r="AQ119" i="2" s="1"/>
  <c r="AP120" i="2"/>
  <c r="AQ120" i="2" s="1"/>
  <c r="AP121" i="2"/>
  <c r="AQ121" i="2" s="1"/>
  <c r="AP122" i="2"/>
  <c r="AQ122" i="2" s="1"/>
  <c r="AP123" i="2"/>
  <c r="AQ123" i="2" s="1"/>
  <c r="AP124" i="2"/>
  <c r="AQ124" i="2" s="1"/>
  <c r="AP125" i="2"/>
  <c r="AQ125" i="2" s="1"/>
  <c r="AP126" i="2"/>
  <c r="AQ126" i="2" s="1"/>
  <c r="AP127" i="2"/>
  <c r="AQ127" i="2" s="1"/>
  <c r="AP128" i="2"/>
  <c r="AQ128" i="2" s="1"/>
  <c r="AP129" i="2"/>
  <c r="AQ129" i="2" s="1"/>
  <c r="AP130" i="2"/>
  <c r="AQ130" i="2" s="1"/>
  <c r="AP131" i="2"/>
  <c r="AQ131" i="2" s="1"/>
  <c r="AP132" i="2"/>
  <c r="AQ132" i="2" s="1"/>
  <c r="AP133" i="2"/>
  <c r="AQ133" i="2" s="1"/>
  <c r="AP134" i="2"/>
  <c r="AQ134" i="2" s="1"/>
  <c r="AP135" i="2"/>
  <c r="AQ135" i="2" s="1"/>
  <c r="AP136" i="2"/>
  <c r="AQ136" i="2" s="1"/>
  <c r="AP137" i="2"/>
  <c r="AQ137" i="2" s="1"/>
  <c r="AP138" i="2"/>
  <c r="AQ138" i="2" s="1"/>
  <c r="AP139" i="2"/>
  <c r="AQ139" i="2" s="1"/>
  <c r="AP140" i="2"/>
  <c r="AQ140" i="2" s="1"/>
  <c r="AP141" i="2"/>
  <c r="AQ141" i="2" s="1"/>
  <c r="AP142" i="2"/>
  <c r="AQ142" i="2" s="1"/>
  <c r="AP143" i="2"/>
  <c r="AQ143" i="2" s="1"/>
  <c r="AP144" i="2"/>
  <c r="AQ144" i="2" s="1"/>
  <c r="AP145" i="2"/>
  <c r="AQ145" i="2" s="1"/>
  <c r="AP146" i="2"/>
  <c r="AQ146" i="2" s="1"/>
  <c r="AP147" i="2"/>
  <c r="AQ147" i="2" s="1"/>
  <c r="AP148" i="2"/>
  <c r="AQ148" i="2" s="1"/>
  <c r="AP149" i="2"/>
  <c r="AQ149" i="2" s="1"/>
  <c r="AP150" i="2"/>
  <c r="AQ150" i="2" s="1"/>
  <c r="AP151" i="2"/>
  <c r="AQ151" i="2" s="1"/>
  <c r="AP152" i="2"/>
  <c r="AQ152" i="2" s="1"/>
  <c r="AP153" i="2"/>
  <c r="AQ153" i="2" s="1"/>
  <c r="AP154" i="2"/>
  <c r="AQ154" i="2" s="1"/>
  <c r="AP155" i="2"/>
  <c r="AQ155" i="2" s="1"/>
  <c r="AP156" i="2"/>
  <c r="AQ156" i="2" s="1"/>
  <c r="AP157" i="2"/>
  <c r="AQ157" i="2" s="1"/>
  <c r="AP158" i="2"/>
  <c r="AQ158" i="2" s="1"/>
  <c r="AP159" i="2"/>
  <c r="AQ159" i="2" s="1"/>
  <c r="AP160" i="2"/>
  <c r="AQ160" i="2" s="1"/>
  <c r="AP161" i="2"/>
  <c r="AQ161" i="2" s="1"/>
  <c r="AP162" i="2"/>
  <c r="AQ162" i="2" s="1"/>
  <c r="AP163" i="2"/>
  <c r="AQ163" i="2" s="1"/>
  <c r="AP164" i="2"/>
  <c r="AQ164" i="2" s="1"/>
  <c r="AP165" i="2"/>
  <c r="AQ165" i="2" s="1"/>
  <c r="AP166" i="2"/>
  <c r="AQ166" i="2" s="1"/>
  <c r="AP167" i="2"/>
  <c r="AQ167" i="2" s="1"/>
  <c r="AP168" i="2"/>
  <c r="AQ168" i="2" s="1"/>
  <c r="AP169" i="2"/>
  <c r="AQ169" i="2" s="1"/>
  <c r="AP170" i="2"/>
  <c r="AQ170" i="2" s="1"/>
  <c r="AP171" i="2"/>
  <c r="AQ171" i="2" s="1"/>
  <c r="AP172" i="2"/>
  <c r="AQ172" i="2" s="1"/>
  <c r="AP173" i="2"/>
  <c r="AQ173" i="2" s="1"/>
  <c r="AP174" i="2"/>
  <c r="AQ174" i="2" s="1"/>
  <c r="AP175" i="2"/>
  <c r="AQ175" i="2" s="1"/>
  <c r="AP176" i="2"/>
  <c r="AQ176" i="2" s="1"/>
  <c r="AP177" i="2"/>
  <c r="AQ177" i="2" s="1"/>
  <c r="AP178" i="2"/>
  <c r="AQ178" i="2" s="1"/>
  <c r="AP179" i="2"/>
  <c r="AQ179" i="2" s="1"/>
  <c r="AP180" i="2"/>
  <c r="AQ180" i="2" s="1"/>
  <c r="AP181" i="2"/>
  <c r="AQ181" i="2" s="1"/>
  <c r="AP182" i="2"/>
  <c r="AQ182" i="2" s="1"/>
  <c r="AP183" i="2"/>
  <c r="AQ183" i="2" s="1"/>
  <c r="AP184" i="2"/>
  <c r="AQ184" i="2" s="1"/>
  <c r="AP185" i="2"/>
  <c r="AQ185" i="2" s="1"/>
  <c r="AP186" i="2"/>
  <c r="AQ186" i="2" s="1"/>
  <c r="AP187" i="2"/>
  <c r="AQ187" i="2" s="1"/>
  <c r="AP188" i="2"/>
  <c r="AQ188" i="2" s="1"/>
  <c r="AP189" i="2"/>
  <c r="AQ189" i="2" s="1"/>
  <c r="AP190" i="2"/>
  <c r="AQ190" i="2" s="1"/>
  <c r="AP191" i="2"/>
  <c r="AQ191" i="2" s="1"/>
  <c r="AP192" i="2"/>
  <c r="AQ192" i="2" s="1"/>
  <c r="AP193" i="2"/>
  <c r="AQ193" i="2" s="1"/>
  <c r="AP194" i="2"/>
  <c r="AQ194" i="2" s="1"/>
  <c r="AP195" i="2"/>
  <c r="AQ195" i="2" s="1"/>
  <c r="AP196" i="2"/>
  <c r="AQ196" i="2" s="1"/>
  <c r="AP197" i="2"/>
  <c r="AQ197" i="2" s="1"/>
  <c r="AP198" i="2"/>
  <c r="AQ198" i="2" s="1"/>
  <c r="AP199" i="2"/>
  <c r="AQ199" i="2" s="1"/>
  <c r="AP200" i="2"/>
  <c r="AQ200" i="2" s="1"/>
  <c r="AP201" i="2"/>
  <c r="AQ201" i="2" s="1"/>
  <c r="AP202" i="2"/>
  <c r="AQ202" i="2" s="1"/>
  <c r="AP203" i="2"/>
  <c r="AQ203" i="2" s="1"/>
  <c r="AP204" i="2"/>
  <c r="AQ204" i="2" s="1"/>
  <c r="AP206" i="2"/>
  <c r="AQ206" i="2" s="1"/>
  <c r="AP207" i="2"/>
  <c r="AQ207" i="2" s="1"/>
  <c r="AP208" i="2"/>
  <c r="AQ208" i="2" s="1"/>
  <c r="AP209" i="2"/>
  <c r="AQ209" i="2" s="1"/>
  <c r="AP210" i="2"/>
  <c r="AQ210" i="2" s="1"/>
  <c r="AP211" i="2"/>
  <c r="AQ211" i="2" s="1"/>
  <c r="AP212" i="2"/>
  <c r="AQ212" i="2" s="1"/>
  <c r="AP213" i="2"/>
  <c r="AQ213" i="2" s="1"/>
  <c r="AP214" i="2"/>
  <c r="AQ214" i="2" s="1"/>
  <c r="AP215" i="2"/>
  <c r="AQ215" i="2" s="1"/>
  <c r="AP216" i="2"/>
  <c r="AQ216" i="2" s="1"/>
  <c r="AP217" i="2"/>
  <c r="AQ217" i="2" s="1"/>
  <c r="AP218" i="2"/>
  <c r="AQ218" i="2" s="1"/>
  <c r="AP219" i="2"/>
  <c r="AQ219" i="2" s="1"/>
  <c r="AP220" i="2"/>
  <c r="AQ220" i="2" s="1"/>
  <c r="AP221" i="2"/>
  <c r="AQ221" i="2" s="1"/>
  <c r="AP222" i="2"/>
  <c r="AQ222" i="2" s="1"/>
  <c r="AP223" i="2"/>
  <c r="AQ223" i="2" s="1"/>
  <c r="AP224" i="2"/>
  <c r="AQ224" i="2" s="1"/>
  <c r="AP225" i="2"/>
  <c r="AQ225" i="2" s="1"/>
  <c r="AP226" i="2"/>
  <c r="AQ226" i="2" s="1"/>
  <c r="AP227" i="2"/>
  <c r="AQ227" i="2" s="1"/>
  <c r="AP228" i="2"/>
  <c r="AQ228" i="2" s="1"/>
  <c r="AP229" i="2"/>
  <c r="AQ229" i="2" s="1"/>
  <c r="AP230" i="2"/>
  <c r="AQ230" i="2" s="1"/>
  <c r="AP231" i="2"/>
  <c r="AQ231" i="2" s="1"/>
  <c r="AP232" i="2"/>
  <c r="AQ232" i="2" s="1"/>
  <c r="AP234" i="2"/>
  <c r="AQ234" i="2" s="1"/>
  <c r="AP235" i="2"/>
  <c r="AQ235" i="2" s="1"/>
  <c r="AP236" i="2"/>
  <c r="AQ236" i="2" s="1"/>
  <c r="AP237" i="2"/>
  <c r="AQ237" i="2" s="1"/>
  <c r="AP238" i="2"/>
  <c r="AQ238" i="2" s="1"/>
  <c r="AP239" i="2"/>
  <c r="AQ239" i="2" s="1"/>
  <c r="AP240" i="2"/>
  <c r="AQ240" i="2" s="1"/>
  <c r="AP241" i="2"/>
  <c r="AQ241" i="2" s="1"/>
  <c r="AP242" i="2"/>
  <c r="AQ242" i="2" s="1"/>
  <c r="AP243" i="2"/>
  <c r="AQ243" i="2" s="1"/>
  <c r="AP244" i="2"/>
  <c r="AQ244" i="2" s="1"/>
  <c r="AP245" i="2"/>
  <c r="AQ245" i="2" s="1"/>
  <c r="AP246" i="2"/>
  <c r="AQ246" i="2" s="1"/>
  <c r="AP247" i="2"/>
  <c r="AQ247" i="2" s="1"/>
  <c r="AP248" i="2"/>
  <c r="AQ248" i="2" s="1"/>
  <c r="AP249" i="2"/>
  <c r="AQ249" i="2" s="1"/>
  <c r="AP250" i="2"/>
  <c r="AQ250" i="2" s="1"/>
  <c r="AP251" i="2"/>
  <c r="AQ251" i="2" s="1"/>
  <c r="AP252" i="2"/>
  <c r="AQ252" i="2" s="1"/>
  <c r="AP253" i="2"/>
  <c r="AQ253" i="2" s="1"/>
  <c r="AP254" i="2"/>
  <c r="AQ254" i="2" s="1"/>
  <c r="AP255" i="2"/>
  <c r="AQ255" i="2" s="1"/>
  <c r="AP256" i="2"/>
  <c r="AQ256" i="2" s="1"/>
  <c r="AP257" i="2"/>
  <c r="AQ257" i="2" s="1"/>
  <c r="AP258" i="2"/>
  <c r="AQ258" i="2" s="1"/>
  <c r="AQ259" i="2"/>
  <c r="AP260" i="2"/>
  <c r="AQ260" i="2" s="1"/>
  <c r="AP261" i="2"/>
  <c r="AQ261" i="2" s="1"/>
  <c r="AP262" i="2"/>
  <c r="AQ262" i="2" s="1"/>
  <c r="AP263" i="2"/>
  <c r="AQ263" i="2" s="1"/>
  <c r="AP264" i="2"/>
  <c r="AQ264" i="2" s="1"/>
  <c r="AP265" i="2"/>
  <c r="AQ265" i="2" s="1"/>
  <c r="AP266" i="2"/>
  <c r="AQ266" i="2" s="1"/>
  <c r="AP267" i="2"/>
  <c r="AQ267" i="2" s="1"/>
  <c r="AP268" i="2"/>
  <c r="AQ268" i="2" s="1"/>
  <c r="AP269" i="2"/>
  <c r="AQ269" i="2" s="1"/>
  <c r="AP270" i="2"/>
  <c r="AQ270" i="2" s="1"/>
  <c r="AP271" i="2"/>
  <c r="AQ271" i="2" s="1"/>
  <c r="AP272" i="2"/>
  <c r="AQ272" i="2" s="1"/>
  <c r="AP273" i="2"/>
  <c r="AQ273" i="2" s="1"/>
  <c r="AP274" i="2"/>
  <c r="AQ274" i="2" s="1"/>
  <c r="AP275" i="2"/>
  <c r="AQ275" i="2" s="1"/>
  <c r="AP276" i="2"/>
  <c r="AQ276" i="2" s="1"/>
  <c r="AP277" i="2"/>
  <c r="AQ277" i="2" s="1"/>
  <c r="AP278" i="2"/>
  <c r="AQ278" i="2" s="1"/>
  <c r="AP279" i="2"/>
  <c r="AQ279" i="2" s="1"/>
  <c r="AP280" i="2"/>
  <c r="AQ280" i="2" s="1"/>
  <c r="AP281" i="2"/>
  <c r="AQ281" i="2" s="1"/>
  <c r="AP282" i="2"/>
  <c r="AQ282" i="2" s="1"/>
  <c r="AP283" i="2"/>
  <c r="AQ283" i="2" s="1"/>
  <c r="AP284" i="2"/>
  <c r="AQ284" i="2" s="1"/>
  <c r="AP285" i="2"/>
  <c r="AQ285" i="2" s="1"/>
  <c r="AP286" i="2"/>
  <c r="AQ286" i="2" s="1"/>
  <c r="AP287" i="2"/>
  <c r="AQ287" i="2" s="1"/>
  <c r="AP288" i="2"/>
  <c r="AQ288" i="2" s="1"/>
  <c r="AP289" i="2"/>
  <c r="AQ289" i="2" s="1"/>
  <c r="AP290" i="2"/>
  <c r="AQ290" i="2" s="1"/>
  <c r="AP291" i="2"/>
  <c r="AQ291" i="2" s="1"/>
  <c r="AP292" i="2"/>
  <c r="AQ292" i="2" s="1"/>
  <c r="AP293" i="2"/>
  <c r="AQ293" i="2" s="1"/>
  <c r="AP294" i="2"/>
  <c r="AQ294" i="2" s="1"/>
  <c r="AP295" i="2"/>
  <c r="AQ295" i="2" s="1"/>
  <c r="AP296" i="2"/>
  <c r="AQ296" i="2" s="1"/>
  <c r="AP297" i="2"/>
  <c r="AQ297" i="2" s="1"/>
  <c r="AP298" i="2"/>
  <c r="AQ298" i="2" s="1"/>
  <c r="AP299" i="2"/>
  <c r="AQ299" i="2" s="1"/>
  <c r="AP300" i="2"/>
  <c r="AQ300" i="2" s="1"/>
  <c r="AP301" i="2"/>
  <c r="AQ301" i="2" s="1"/>
  <c r="AP302" i="2"/>
  <c r="AQ302" i="2" s="1"/>
  <c r="AP303" i="2"/>
  <c r="AQ303" i="2" s="1"/>
  <c r="AP304" i="2"/>
  <c r="AQ304" i="2" s="1"/>
  <c r="AP305" i="2"/>
  <c r="AQ305" i="2" s="1"/>
  <c r="AP306" i="2"/>
  <c r="AQ306" i="2" s="1"/>
  <c r="AP307" i="2"/>
  <c r="AQ307" i="2" s="1"/>
  <c r="AP308" i="2"/>
  <c r="AQ308" i="2" s="1"/>
  <c r="AP309" i="2"/>
  <c r="AQ309" i="2" s="1"/>
  <c r="AP310" i="2"/>
  <c r="AQ310" i="2" s="1"/>
  <c r="AP311" i="2"/>
  <c r="AQ311" i="2" s="1"/>
  <c r="AP312" i="2"/>
  <c r="AQ312" i="2" s="1"/>
  <c r="AP313" i="2"/>
  <c r="AQ313" i="2" s="1"/>
  <c r="AP314" i="2"/>
  <c r="AQ314" i="2" s="1"/>
  <c r="AP315" i="2"/>
  <c r="AQ315" i="2" s="1"/>
  <c r="AP316" i="2"/>
  <c r="AQ316" i="2" s="1"/>
  <c r="AP317" i="2"/>
  <c r="AQ317" i="2" s="1"/>
  <c r="AP318" i="2"/>
  <c r="AQ318" i="2" s="1"/>
  <c r="AP319" i="2"/>
  <c r="AQ319" i="2" s="1"/>
  <c r="AP320" i="2"/>
  <c r="AQ320" i="2" s="1"/>
  <c r="AP321" i="2"/>
  <c r="AQ321" i="2" s="1"/>
  <c r="AP322" i="2"/>
  <c r="AQ322" i="2" s="1"/>
  <c r="AP333" i="2"/>
  <c r="AQ333" i="2" s="1"/>
  <c r="AP334" i="2"/>
  <c r="AQ334" i="2" s="1"/>
  <c r="AP335" i="2"/>
  <c r="AQ335" i="2" s="1"/>
  <c r="AP336" i="2"/>
  <c r="AQ336" i="2" s="1"/>
  <c r="AP337" i="2"/>
  <c r="AQ337" i="2" s="1"/>
  <c r="AP338" i="2"/>
  <c r="AQ338" i="2" s="1"/>
  <c r="AP339" i="2"/>
  <c r="AQ339" i="2" s="1"/>
  <c r="AP340" i="2"/>
  <c r="AQ340" i="2" s="1"/>
  <c r="AP341" i="2"/>
  <c r="AQ341" i="2" s="1"/>
  <c r="AP342" i="2"/>
  <c r="AQ342" i="2" s="1"/>
  <c r="AP343" i="2"/>
  <c r="AQ343" i="2" s="1"/>
  <c r="AP344" i="2"/>
  <c r="AQ344" i="2" s="1"/>
  <c r="AP345" i="2"/>
  <c r="AQ345" i="2" s="1"/>
  <c r="AP346" i="2"/>
  <c r="AQ346" i="2" s="1"/>
  <c r="AP347" i="2"/>
  <c r="AQ347" i="2" s="1"/>
  <c r="AP348" i="2"/>
  <c r="AQ348" i="2" s="1"/>
  <c r="AP349" i="2"/>
  <c r="AQ349" i="2" s="1"/>
  <c r="AP350" i="2"/>
  <c r="AQ350" i="2" s="1"/>
  <c r="AP351" i="2"/>
  <c r="AQ351" i="2" s="1"/>
  <c r="AP352" i="2"/>
  <c r="AQ352" i="2" s="1"/>
  <c r="AN355" i="2"/>
  <c r="AP355" i="2"/>
  <c r="AQ355" i="2" s="1"/>
  <c r="AP356" i="2"/>
  <c r="AQ356" i="2" s="1"/>
  <c r="AP357" i="2"/>
  <c r="AQ357" i="2" s="1"/>
  <c r="AP358" i="2"/>
  <c r="AQ358" i="2" s="1"/>
  <c r="AP359" i="2"/>
  <c r="AQ359" i="2" s="1"/>
  <c r="AP360" i="2"/>
  <c r="AQ360" i="2" s="1"/>
  <c r="AP361" i="2"/>
  <c r="AQ361" i="2" s="1"/>
  <c r="AP362" i="2"/>
  <c r="AQ362" i="2" s="1"/>
  <c r="AP363" i="2"/>
  <c r="AQ363" i="2" s="1"/>
  <c r="AP364" i="2"/>
  <c r="AQ364" i="2" s="1"/>
  <c r="AP365" i="2"/>
  <c r="AQ365" i="2" s="1"/>
  <c r="AP366" i="2"/>
  <c r="AQ366" i="2" s="1"/>
  <c r="AP367" i="2"/>
  <c r="AQ367" i="2" s="1"/>
  <c r="AP368" i="2"/>
  <c r="AQ368" i="2" s="1"/>
  <c r="AP369" i="2"/>
  <c r="AQ369" i="2" s="1"/>
  <c r="AP370" i="2"/>
  <c r="AQ370" i="2" s="1"/>
  <c r="AP371" i="2"/>
  <c r="AQ371" i="2" s="1"/>
  <c r="AP372" i="2"/>
  <c r="AQ372" i="2" s="1"/>
  <c r="AP373" i="2"/>
  <c r="AQ373" i="2" s="1"/>
  <c r="AP374" i="2"/>
  <c r="AQ374" i="2" s="1"/>
  <c r="AP375" i="2"/>
  <c r="AQ375" i="2" s="1"/>
  <c r="AP376" i="2"/>
  <c r="AQ376" i="2" s="1"/>
  <c r="AP377" i="2"/>
  <c r="AQ377" i="2" s="1"/>
  <c r="AP378" i="2"/>
  <c r="AQ378" i="2" s="1"/>
  <c r="AP379" i="2"/>
  <c r="AQ379" i="2" s="1"/>
  <c r="AP380" i="2"/>
  <c r="AQ380" i="2" s="1"/>
  <c r="AP381" i="2"/>
  <c r="AQ381" i="2" s="1"/>
  <c r="AP382" i="2"/>
  <c r="AQ382" i="2" s="1"/>
  <c r="AP383" i="2"/>
  <c r="AQ383" i="2" s="1"/>
  <c r="AP384" i="2"/>
  <c r="AQ384" i="2" s="1"/>
  <c r="AP385" i="2"/>
  <c r="AQ385" i="2" s="1"/>
  <c r="AP386" i="2"/>
  <c r="AQ386" i="2" s="1"/>
  <c r="AP387" i="2"/>
  <c r="AQ387" i="2" s="1"/>
  <c r="AP388" i="2"/>
  <c r="AQ388" i="2" s="1"/>
  <c r="AP389" i="2"/>
  <c r="AQ389" i="2" s="1"/>
  <c r="AP390" i="2"/>
  <c r="AQ390" i="2" s="1"/>
  <c r="AN391" i="2"/>
  <c r="AP391" i="2"/>
  <c r="AQ391" i="2" s="1"/>
  <c r="AN392" i="2"/>
  <c r="AP392" i="2"/>
  <c r="AQ392" i="2" s="1"/>
  <c r="AN393" i="2"/>
  <c r="AP393" i="2"/>
  <c r="AQ393" i="2" s="1"/>
  <c r="AM394" i="2"/>
  <c r="AN394" i="2"/>
  <c r="AP394" i="2"/>
  <c r="AQ394" i="2" s="1"/>
  <c r="AP395" i="2"/>
  <c r="AQ395" i="2" s="1"/>
  <c r="AP396" i="2"/>
  <c r="AQ396" i="2" s="1"/>
  <c r="AN397" i="2"/>
  <c r="AP397" i="2"/>
  <c r="AQ397" i="2" s="1"/>
  <c r="AN398" i="2"/>
  <c r="AP398" i="2"/>
  <c r="AQ398" i="2" s="1"/>
  <c r="AN399" i="2"/>
  <c r="AP399" i="2"/>
  <c r="AQ399" i="2" s="1"/>
  <c r="AN400" i="2"/>
  <c r="AP400" i="2"/>
  <c r="AQ400" i="2" s="1"/>
  <c r="AM401" i="2"/>
  <c r="AN401" i="2"/>
  <c r="AP401" i="2"/>
  <c r="AQ401" i="2" s="1"/>
  <c r="AN402" i="2"/>
  <c r="AP402" i="2"/>
  <c r="AQ402" i="2" s="1"/>
  <c r="AN403" i="2"/>
  <c r="AP403" i="2"/>
  <c r="AQ403" i="2" s="1"/>
  <c r="AN404" i="2"/>
  <c r="AP404" i="2"/>
  <c r="AQ404" i="2" s="1"/>
  <c r="AM406" i="2"/>
  <c r="AN406" i="2"/>
  <c r="AP406" i="2"/>
  <c r="AQ406" i="2" s="1"/>
  <c r="AM405" i="2"/>
  <c r="AN405" i="2"/>
  <c r="AP405" i="2"/>
  <c r="AQ405" i="2" s="1"/>
  <c r="AN408" i="2"/>
  <c r="AP408" i="2"/>
  <c r="AQ408" i="2" s="1"/>
  <c r="AN409" i="2"/>
  <c r="AP409" i="2"/>
  <c r="AQ409" i="2" s="1"/>
  <c r="AN410" i="2"/>
  <c r="AP410" i="2"/>
  <c r="AQ410" i="2" s="1"/>
  <c r="AN411" i="2"/>
  <c r="AP411" i="2"/>
  <c r="AQ411" i="2" s="1"/>
  <c r="AN412" i="2"/>
  <c r="AP412" i="2"/>
  <c r="AQ412" i="2" s="1"/>
  <c r="AN413" i="2"/>
  <c r="AP413" i="2"/>
  <c r="AQ413" i="2" s="1"/>
  <c r="AN414" i="2"/>
  <c r="AP414" i="2"/>
  <c r="AQ414" i="2" s="1"/>
  <c r="AN415" i="2"/>
  <c r="AP415" i="2"/>
  <c r="AQ415" i="2" s="1"/>
  <c r="AM416" i="2"/>
  <c r="AN416" i="2"/>
  <c r="AP416" i="2"/>
  <c r="AQ416" i="2" s="1"/>
  <c r="AN417" i="2"/>
  <c r="AP417" i="2"/>
  <c r="AQ417" i="2" s="1"/>
  <c r="AN418" i="2"/>
  <c r="AP418" i="2"/>
  <c r="AQ418" i="2" s="1"/>
  <c r="AN419" i="2"/>
  <c r="AP419" i="2"/>
  <c r="AQ419" i="2" s="1"/>
  <c r="AN420" i="2"/>
  <c r="AP420" i="2"/>
  <c r="AQ420" i="2" s="1"/>
  <c r="AN421" i="2"/>
  <c r="AP421" i="2"/>
  <c r="AQ421" i="2" s="1"/>
  <c r="AN422" i="2"/>
  <c r="AP422" i="2"/>
  <c r="AQ422" i="2" s="1"/>
  <c r="AN425" i="2"/>
  <c r="AP425" i="2"/>
  <c r="AQ425" i="2" s="1"/>
  <c r="AN426" i="2"/>
  <c r="AP426" i="2"/>
  <c r="AQ426" i="2" s="1"/>
  <c r="AN427" i="2"/>
  <c r="AP427" i="2"/>
  <c r="AQ427" i="2" s="1"/>
  <c r="AN428" i="2"/>
  <c r="AP428" i="2"/>
  <c r="AQ428" i="2" s="1"/>
  <c r="AN429" i="2"/>
  <c r="AP429" i="2"/>
  <c r="AQ429" i="2" s="1"/>
  <c r="AP430" i="2"/>
  <c r="AQ430" i="2" s="1"/>
  <c r="AN431" i="2"/>
  <c r="AP431" i="2"/>
  <c r="AQ431" i="2" s="1"/>
  <c r="AN432" i="2"/>
  <c r="AP432" i="2"/>
  <c r="AQ432" i="2" s="1"/>
  <c r="AM433" i="2"/>
  <c r="AN433" i="2"/>
  <c r="AP433" i="2"/>
  <c r="AQ433" i="2" s="1"/>
  <c r="AN434" i="2"/>
  <c r="AP434" i="2"/>
  <c r="AQ434" i="2" s="1"/>
  <c r="AN435" i="2"/>
  <c r="AP435" i="2"/>
  <c r="AQ435" i="2" s="1"/>
  <c r="AN436" i="2"/>
  <c r="AP436" i="2"/>
  <c r="AQ436" i="2" s="1"/>
  <c r="AN437" i="2"/>
  <c r="AP437" i="2"/>
  <c r="AQ437" i="2" s="1"/>
  <c r="AN438" i="2"/>
  <c r="AP438" i="2"/>
  <c r="AQ438" i="2" s="1"/>
  <c r="AN439" i="2"/>
  <c r="AP439" i="2"/>
  <c r="AQ439" i="2" s="1"/>
  <c r="AN440" i="2"/>
  <c r="AP440" i="2"/>
  <c r="AQ440" i="2" s="1"/>
  <c r="AN441" i="2"/>
  <c r="AP441" i="2"/>
  <c r="AQ441" i="2" s="1"/>
  <c r="AN442" i="2"/>
  <c r="AP442" i="2"/>
  <c r="AQ442" i="2" s="1"/>
  <c r="AN443" i="2"/>
  <c r="AP443" i="2"/>
  <c r="AQ443" i="2" s="1"/>
  <c r="AN444" i="2"/>
  <c r="AP444" i="2"/>
  <c r="AQ444" i="2" s="1"/>
  <c r="AM445" i="2"/>
  <c r="AN445" i="2"/>
  <c r="AP445" i="2"/>
  <c r="AQ445" i="2" s="1"/>
  <c r="AN446" i="2"/>
  <c r="AP446" i="2"/>
  <c r="AQ446" i="2" s="1"/>
  <c r="AN447" i="2"/>
  <c r="AP447" i="2"/>
  <c r="AQ447" i="2" s="1"/>
  <c r="AM448" i="2"/>
  <c r="AN448" i="2"/>
  <c r="AP448" i="2"/>
  <c r="AQ448" i="2" s="1"/>
  <c r="AN449" i="2"/>
  <c r="AP449" i="2"/>
  <c r="AQ449" i="2" s="1"/>
  <c r="AN450" i="2"/>
  <c r="AP450" i="2"/>
  <c r="AQ450" i="2" s="1"/>
  <c r="AN451" i="2"/>
  <c r="AP451" i="2"/>
  <c r="AQ451" i="2" s="1"/>
  <c r="AN452" i="2"/>
  <c r="AP452" i="2"/>
  <c r="AQ452" i="2" s="1"/>
  <c r="AN453" i="2"/>
  <c r="AP453" i="2"/>
  <c r="AQ453" i="2" s="1"/>
  <c r="AM454" i="2"/>
  <c r="AN454" i="2"/>
  <c r="AP454" i="2"/>
  <c r="AQ454" i="2" s="1"/>
  <c r="AN455" i="2"/>
  <c r="AP455" i="2"/>
  <c r="AQ455" i="2" s="1"/>
  <c r="AN456" i="2"/>
  <c r="AP456" i="2"/>
  <c r="AQ456" i="2" s="1"/>
  <c r="AN457" i="2"/>
  <c r="AP457" i="2"/>
  <c r="AQ457" i="2" s="1"/>
  <c r="AN458" i="2"/>
  <c r="AP458" i="2"/>
  <c r="AQ458" i="2" s="1"/>
  <c r="AN459" i="2"/>
  <c r="AP459" i="2"/>
  <c r="AQ459" i="2" s="1"/>
  <c r="AN460" i="2"/>
  <c r="AP460" i="2"/>
  <c r="AQ460" i="2" s="1"/>
  <c r="AM461" i="2"/>
  <c r="AN461" i="2"/>
  <c r="AP461" i="2"/>
  <c r="AQ461" i="2" s="1"/>
  <c r="AN462" i="2"/>
  <c r="AP462" i="2"/>
  <c r="AQ462" i="2" s="1"/>
  <c r="AN463" i="2"/>
  <c r="AP463" i="2"/>
  <c r="AQ463" i="2" s="1"/>
  <c r="AN464" i="2"/>
  <c r="AP464" i="2"/>
  <c r="AQ464" i="2" s="1"/>
  <c r="AN465" i="2"/>
  <c r="AP465" i="2"/>
  <c r="AQ465" i="2" s="1"/>
  <c r="AN466" i="2"/>
  <c r="AP466" i="2"/>
  <c r="AQ466" i="2" s="1"/>
  <c r="AN467" i="2"/>
  <c r="AP467" i="2"/>
  <c r="AQ467" i="2" s="1"/>
  <c r="AM468" i="2"/>
  <c r="AN468" i="2"/>
  <c r="AP468" i="2"/>
  <c r="AQ468" i="2" s="1"/>
  <c r="AN469" i="2"/>
  <c r="AP469" i="2"/>
  <c r="AQ469" i="2" s="1"/>
  <c r="AN470" i="2"/>
  <c r="AP470" i="2"/>
  <c r="AQ470" i="2" s="1"/>
  <c r="AN471" i="2"/>
  <c r="AP471" i="2"/>
  <c r="AQ471" i="2" s="1"/>
  <c r="AN472" i="2"/>
  <c r="AP472" i="2"/>
  <c r="AQ472" i="2" s="1"/>
  <c r="AP2" i="2"/>
  <c r="AQ2" i="2" s="1"/>
  <c r="C471" i="2"/>
  <c r="AG57"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6" i="2"/>
  <c r="AG207" i="2"/>
  <c r="AG208" i="2"/>
  <c r="AG209" i="2"/>
  <c r="AG210" i="2"/>
  <c r="AG211" i="2"/>
  <c r="AG212" i="2"/>
  <c r="AG213" i="2"/>
  <c r="AG214" i="2"/>
  <c r="AG215" i="2"/>
  <c r="AG216" i="2"/>
  <c r="AG217" i="2"/>
  <c r="AG218" i="2"/>
  <c r="AG219" i="2"/>
  <c r="AG220" i="2"/>
  <c r="AG221" i="2"/>
  <c r="AG222" i="2"/>
  <c r="AG223" i="2"/>
  <c r="AG224" i="2"/>
  <c r="AG225" i="2"/>
  <c r="AG229" i="2"/>
  <c r="AG230" i="2"/>
  <c r="AG231" i="2"/>
  <c r="AG232"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80" i="2"/>
  <c r="AG281" i="2"/>
  <c r="AG282" i="2"/>
  <c r="AG283" i="2"/>
  <c r="AG284" i="2"/>
  <c r="AG285" i="2"/>
  <c r="AG286" i="2"/>
  <c r="AG287" i="2"/>
  <c r="AG290" i="2"/>
  <c r="AG291" i="2"/>
  <c r="AG292" i="2"/>
  <c r="AG293" i="2"/>
  <c r="AG294" i="2"/>
  <c r="AG295" i="2"/>
  <c r="AG296" i="2"/>
  <c r="AG297" i="2"/>
  <c r="AG298" i="2"/>
  <c r="AG300" i="2"/>
  <c r="AG301" i="2"/>
  <c r="AG302" i="2"/>
  <c r="AG303" i="2"/>
  <c r="AG304" i="2"/>
  <c r="AG305" i="2"/>
  <c r="AG306" i="2"/>
  <c r="AG307" i="2"/>
  <c r="AG308" i="2"/>
  <c r="AG309" i="2"/>
  <c r="AG310" i="2"/>
  <c r="AG311" i="2"/>
  <c r="AG312" i="2"/>
  <c r="AG313" i="2"/>
  <c r="AG314" i="2"/>
  <c r="AG315" i="2"/>
  <c r="AG316" i="2"/>
  <c r="AG317" i="2"/>
  <c r="AG318" i="2"/>
  <c r="AG319" i="2"/>
  <c r="AG320" i="2"/>
  <c r="AG321" i="2"/>
  <c r="AG333" i="2"/>
  <c r="AG334" i="2"/>
  <c r="AG335" i="2"/>
  <c r="AG336" i="2"/>
  <c r="AG337" i="2"/>
  <c r="AG338" i="2"/>
  <c r="AG339" i="2"/>
  <c r="AG340" i="2"/>
  <c r="AG341" i="2"/>
  <c r="AG342" i="2"/>
  <c r="AG343" i="2"/>
  <c r="AG344" i="2"/>
  <c r="AG345" i="2"/>
  <c r="AG346" i="2"/>
  <c r="AG347" i="2"/>
  <c r="AG348" i="2"/>
  <c r="AG349" i="2"/>
  <c r="AG350" i="2"/>
  <c r="AG351" i="2"/>
  <c r="AG352" i="2"/>
  <c r="AG355" i="2"/>
  <c r="AG356" i="2"/>
  <c r="AG357" i="2"/>
  <c r="AG358" i="2"/>
  <c r="AG359" i="2"/>
  <c r="AG360" i="2"/>
  <c r="AG361" i="2"/>
  <c r="AG362" i="2"/>
  <c r="AG363" i="2"/>
  <c r="AG364" i="2"/>
  <c r="AG365" i="2"/>
  <c r="AG366" i="2"/>
  <c r="AG367" i="2"/>
  <c r="AG370" i="2"/>
  <c r="AG372" i="2"/>
  <c r="AG376" i="2"/>
  <c r="AG377" i="2"/>
  <c r="AG378" i="2"/>
  <c r="AG379" i="2"/>
  <c r="AG380" i="2"/>
  <c r="AG381" i="2"/>
  <c r="AG382" i="2"/>
  <c r="AG383" i="2"/>
  <c r="AG384" i="2"/>
  <c r="AG386" i="2"/>
  <c r="AG387" i="2"/>
  <c r="AG388" i="2"/>
  <c r="AG389" i="2"/>
  <c r="AG390" i="2"/>
  <c r="AG391" i="2"/>
  <c r="AG392" i="2"/>
  <c r="AG393" i="2"/>
  <c r="AG394" i="2"/>
  <c r="AG395" i="2"/>
  <c r="AG396" i="2"/>
  <c r="AG397" i="2"/>
  <c r="AG398" i="2"/>
  <c r="AG399" i="2"/>
  <c r="AG400" i="2"/>
  <c r="AG401" i="2"/>
  <c r="AG402" i="2"/>
  <c r="AG403" i="2"/>
  <c r="AG404" i="2"/>
  <c r="AG406" i="2"/>
  <c r="AG405" i="2"/>
  <c r="AG408" i="2"/>
  <c r="AG409" i="2"/>
  <c r="AG410" i="2"/>
  <c r="AG411" i="2"/>
  <c r="AG412" i="2"/>
  <c r="AG413" i="2"/>
  <c r="AG414" i="2"/>
  <c r="AG415" i="2"/>
  <c r="AG416" i="2"/>
  <c r="AG417"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3" i="2"/>
  <c r="AG4" i="2"/>
  <c r="AG5" i="2"/>
  <c r="AG6" i="2"/>
  <c r="AG7" i="2"/>
  <c r="AG8" i="2"/>
  <c r="AG9" i="2"/>
  <c r="AG10" i="2"/>
  <c r="AG11" i="2"/>
  <c r="AG12" i="2"/>
  <c r="AG13" i="2"/>
  <c r="AG14" i="2"/>
  <c r="AG15" i="2"/>
  <c r="AG16" i="2"/>
  <c r="AG17" i="2"/>
  <c r="AG19" i="2"/>
  <c r="AG20" i="2"/>
  <c r="AG21" i="2"/>
  <c r="AG22" i="2"/>
  <c r="AG24" i="2"/>
  <c r="AG25" i="2"/>
  <c r="AG26" i="2"/>
  <c r="A472" i="2"/>
  <c r="B472" i="2"/>
  <c r="C472" i="2"/>
  <c r="C466" i="2"/>
  <c r="C467" i="2"/>
  <c r="C468" i="2"/>
  <c r="C469" i="2"/>
  <c r="C470" i="2"/>
  <c r="AM422" i="2" l="1"/>
  <c r="AM56" i="2"/>
  <c r="AN56" i="2"/>
  <c r="AM58" i="2"/>
  <c r="AN58" i="2"/>
  <c r="AM59" i="2"/>
  <c r="AN59" i="2"/>
  <c r="AM60" i="2"/>
  <c r="AN60" i="2"/>
  <c r="AM61" i="2"/>
  <c r="AN61" i="2"/>
  <c r="AM62" i="2"/>
  <c r="AN62" i="2"/>
  <c r="AM63" i="2"/>
  <c r="AN63" i="2"/>
  <c r="AM64" i="2"/>
  <c r="AN64" i="2"/>
  <c r="AM65" i="2"/>
  <c r="AN65" i="2"/>
  <c r="AM66" i="2"/>
  <c r="AN66" i="2"/>
  <c r="AM67" i="2"/>
  <c r="AN67" i="2"/>
  <c r="AM68" i="2"/>
  <c r="AN68" i="2"/>
  <c r="AM381" i="2"/>
  <c r="AN381" i="2"/>
  <c r="A381" i="2"/>
  <c r="B381" i="2"/>
  <c r="C381" i="2"/>
  <c r="AM380" i="2"/>
  <c r="AN380" i="2"/>
  <c r="A380" i="2"/>
  <c r="B380" i="2"/>
  <c r="C380" i="2"/>
  <c r="AM383" i="2"/>
  <c r="AN383" i="2"/>
  <c r="AM384" i="2"/>
  <c r="AN384" i="2"/>
  <c r="AM385" i="2"/>
  <c r="AN385" i="2"/>
  <c r="AM386" i="2"/>
  <c r="AN386" i="2"/>
  <c r="AM387" i="2"/>
  <c r="AN387" i="2"/>
  <c r="AM388" i="2"/>
  <c r="AN388" i="2"/>
  <c r="AM389" i="2"/>
  <c r="AN389" i="2"/>
  <c r="AM390" i="2"/>
  <c r="AN390" i="2"/>
  <c r="AM382" i="2"/>
  <c r="AN382" i="2"/>
  <c r="A3" i="2"/>
  <c r="B3" i="2"/>
  <c r="C3" i="2"/>
  <c r="A4" i="2"/>
  <c r="B4" i="2"/>
  <c r="C4" i="2"/>
  <c r="A5" i="2"/>
  <c r="B5" i="2"/>
  <c r="C5" i="2"/>
  <c r="B6" i="2"/>
  <c r="C6" i="2"/>
  <c r="A7" i="2"/>
  <c r="B7" i="2"/>
  <c r="C7" i="2"/>
  <c r="A8" i="2"/>
  <c r="B8" i="2"/>
  <c r="C8" i="2"/>
  <c r="A9" i="2"/>
  <c r="B9" i="2"/>
  <c r="C9" i="2"/>
  <c r="A10" i="2"/>
  <c r="B10" i="2"/>
  <c r="C10" i="2"/>
  <c r="A11" i="2"/>
  <c r="B11" i="2"/>
  <c r="C11" i="2"/>
  <c r="B12" i="2"/>
  <c r="C12" i="2"/>
  <c r="A13" i="2"/>
  <c r="B13" i="2"/>
  <c r="C13" i="2"/>
  <c r="A14" i="2"/>
  <c r="B14" i="2"/>
  <c r="C14" i="2"/>
  <c r="A15" i="2"/>
  <c r="B15" i="2"/>
  <c r="C15" i="2"/>
  <c r="A16" i="2"/>
  <c r="B16" i="2"/>
  <c r="C16" i="2"/>
  <c r="A17" i="2"/>
  <c r="B17" i="2"/>
  <c r="C17" i="2"/>
  <c r="A18" i="2"/>
  <c r="B18" i="2"/>
  <c r="C18" i="2"/>
  <c r="A19" i="2"/>
  <c r="B19" i="2"/>
  <c r="C19" i="2"/>
  <c r="A20" i="2"/>
  <c r="B20" i="2"/>
  <c r="C20" i="2"/>
  <c r="A21" i="2"/>
  <c r="B21" i="2"/>
  <c r="C21" i="2"/>
  <c r="A22" i="2"/>
  <c r="B22" i="2"/>
  <c r="C22" i="2"/>
  <c r="A23" i="2"/>
  <c r="B23" i="2"/>
  <c r="C23" i="2"/>
  <c r="A24" i="2"/>
  <c r="B24" i="2"/>
  <c r="C24" i="2"/>
  <c r="A25" i="2"/>
  <c r="B25" i="2"/>
  <c r="C25" i="2"/>
  <c r="A26" i="2"/>
  <c r="B26" i="2"/>
  <c r="C26" i="2"/>
  <c r="B57" i="2"/>
  <c r="C57" i="2"/>
  <c r="A27" i="2"/>
  <c r="B27" i="2"/>
  <c r="C27" i="2"/>
  <c r="A28" i="2"/>
  <c r="B28" i="2"/>
  <c r="C28" i="2"/>
  <c r="A29" i="2"/>
  <c r="B29" i="2"/>
  <c r="C29" i="2"/>
  <c r="B30" i="2"/>
  <c r="C30" i="2"/>
  <c r="A31" i="2"/>
  <c r="B31" i="2"/>
  <c r="C31" i="2"/>
  <c r="A32" i="2"/>
  <c r="B32" i="2"/>
  <c r="C32" i="2"/>
  <c r="A33" i="2"/>
  <c r="B33" i="2"/>
  <c r="C33" i="2"/>
  <c r="A34" i="2"/>
  <c r="B34" i="2"/>
  <c r="C34" i="2"/>
  <c r="A35" i="2"/>
  <c r="B35" i="2"/>
  <c r="C35" i="2"/>
  <c r="A36" i="2"/>
  <c r="B36" i="2"/>
  <c r="C36" i="2"/>
  <c r="A37" i="2"/>
  <c r="B37" i="2"/>
  <c r="C37" i="2"/>
  <c r="A38" i="2"/>
  <c r="B38" i="2"/>
  <c r="C38" i="2"/>
  <c r="B39" i="2"/>
  <c r="C39" i="2"/>
  <c r="A40" i="2"/>
  <c r="B40" i="2"/>
  <c r="C40" i="2"/>
  <c r="A41" i="2"/>
  <c r="B41" i="2"/>
  <c r="C41" i="2"/>
  <c r="B42" i="2"/>
  <c r="C42" i="2"/>
  <c r="B43" i="2"/>
  <c r="C43" i="2"/>
  <c r="A44" i="2"/>
  <c r="B44" i="2"/>
  <c r="C44" i="2"/>
  <c r="B45" i="2"/>
  <c r="C45" i="2"/>
  <c r="A46" i="2"/>
  <c r="B46" i="2"/>
  <c r="C46" i="2"/>
  <c r="B47" i="2"/>
  <c r="C47" i="2"/>
  <c r="B48" i="2"/>
  <c r="C48" i="2"/>
  <c r="A49" i="2"/>
  <c r="B49" i="2"/>
  <c r="C49" i="2"/>
  <c r="B50" i="2"/>
  <c r="C50" i="2"/>
  <c r="B51" i="2"/>
  <c r="C51" i="2"/>
  <c r="B52" i="2"/>
  <c r="C52" i="2"/>
  <c r="A53" i="2"/>
  <c r="B53" i="2"/>
  <c r="C53" i="2"/>
  <c r="A54" i="2"/>
  <c r="B54" i="2"/>
  <c r="C54" i="2"/>
  <c r="A55" i="2"/>
  <c r="B55" i="2"/>
  <c r="C55" i="2"/>
  <c r="B56" i="2"/>
  <c r="C56" i="2"/>
  <c r="B58" i="2"/>
  <c r="C58" i="2"/>
  <c r="A59" i="2"/>
  <c r="B59" i="2"/>
  <c r="C59" i="2"/>
  <c r="A60" i="2"/>
  <c r="B60" i="2"/>
  <c r="C60" i="2"/>
  <c r="B61" i="2"/>
  <c r="C61" i="2"/>
  <c r="B62" i="2"/>
  <c r="C62" i="2"/>
  <c r="B63" i="2"/>
  <c r="C63" i="2"/>
  <c r="B64" i="2"/>
  <c r="C64" i="2"/>
  <c r="B65" i="2"/>
  <c r="C65" i="2"/>
  <c r="B66" i="2"/>
  <c r="C66" i="2"/>
  <c r="B67" i="2"/>
  <c r="C67" i="2"/>
  <c r="A68" i="2"/>
  <c r="B68" i="2"/>
  <c r="C68" i="2"/>
  <c r="A69" i="2"/>
  <c r="B69" i="2"/>
  <c r="C69" i="2"/>
  <c r="A70" i="2"/>
  <c r="B70" i="2"/>
  <c r="C70" i="2"/>
  <c r="A71" i="2"/>
  <c r="B71" i="2"/>
  <c r="C71" i="2"/>
  <c r="A72" i="2"/>
  <c r="B72" i="2"/>
  <c r="C72" i="2"/>
  <c r="A73" i="2"/>
  <c r="B73" i="2"/>
  <c r="C73" i="2"/>
  <c r="A74" i="2"/>
  <c r="B74" i="2"/>
  <c r="C74" i="2"/>
  <c r="A75" i="2"/>
  <c r="B75" i="2"/>
  <c r="C75" i="2"/>
  <c r="A76" i="2"/>
  <c r="B76" i="2"/>
  <c r="C76" i="2"/>
  <c r="A77" i="2"/>
  <c r="B77" i="2"/>
  <c r="C77" i="2"/>
  <c r="A78" i="2"/>
  <c r="B78" i="2"/>
  <c r="C78" i="2"/>
  <c r="A79" i="2"/>
  <c r="B79" i="2"/>
  <c r="C79" i="2"/>
  <c r="A80" i="2"/>
  <c r="B80" i="2"/>
  <c r="C80" i="2"/>
  <c r="A81" i="2"/>
  <c r="B81" i="2"/>
  <c r="C81" i="2"/>
  <c r="A82" i="2"/>
  <c r="B82" i="2"/>
  <c r="C82" i="2"/>
  <c r="A83" i="2"/>
  <c r="B83" i="2"/>
  <c r="C83" i="2"/>
  <c r="A84" i="2"/>
  <c r="B84" i="2"/>
  <c r="C84" i="2"/>
  <c r="A85" i="2"/>
  <c r="B85" i="2"/>
  <c r="C85" i="2"/>
  <c r="A86" i="2"/>
  <c r="B86" i="2"/>
  <c r="C86" i="2"/>
  <c r="A87" i="2"/>
  <c r="B87" i="2"/>
  <c r="C87" i="2"/>
  <c r="A88" i="2"/>
  <c r="B88" i="2"/>
  <c r="C88" i="2"/>
  <c r="A89" i="2"/>
  <c r="B89" i="2"/>
  <c r="C89" i="2"/>
  <c r="A90" i="2"/>
  <c r="B90" i="2"/>
  <c r="C90" i="2"/>
  <c r="A91" i="2"/>
  <c r="B91" i="2"/>
  <c r="C91" i="2"/>
  <c r="A92" i="2"/>
  <c r="B92" i="2"/>
  <c r="C92" i="2"/>
  <c r="A93" i="2"/>
  <c r="B93" i="2"/>
  <c r="C93" i="2"/>
  <c r="A94" i="2"/>
  <c r="B94" i="2"/>
  <c r="C94" i="2"/>
  <c r="A95" i="2"/>
  <c r="B95" i="2"/>
  <c r="C95" i="2"/>
  <c r="A96" i="2"/>
  <c r="B96" i="2"/>
  <c r="C96" i="2"/>
  <c r="A97" i="2"/>
  <c r="B97" i="2"/>
  <c r="C97" i="2"/>
  <c r="A98" i="2"/>
  <c r="B98" i="2"/>
  <c r="C98" i="2"/>
  <c r="A99" i="2"/>
  <c r="B99" i="2"/>
  <c r="C99" i="2"/>
  <c r="A100" i="2"/>
  <c r="B100" i="2"/>
  <c r="C100" i="2"/>
  <c r="A101" i="2"/>
  <c r="B101" i="2"/>
  <c r="A102" i="2"/>
  <c r="B102" i="2"/>
  <c r="C102" i="2"/>
  <c r="A103" i="2"/>
  <c r="B103" i="2"/>
  <c r="C103" i="2"/>
  <c r="A104" i="2"/>
  <c r="B104" i="2"/>
  <c r="C104" i="2"/>
  <c r="A105" i="2"/>
  <c r="B105" i="2"/>
  <c r="C105" i="2"/>
  <c r="A106" i="2"/>
  <c r="B106" i="2"/>
  <c r="A107" i="2"/>
  <c r="B107" i="2"/>
  <c r="C107" i="2"/>
  <c r="A108" i="2"/>
  <c r="B108" i="2"/>
  <c r="C108" i="2"/>
  <c r="A109" i="2"/>
  <c r="B109" i="2"/>
  <c r="C109" i="2"/>
  <c r="A110" i="2"/>
  <c r="B110" i="2"/>
  <c r="C110" i="2"/>
  <c r="A111" i="2"/>
  <c r="B111" i="2"/>
  <c r="C111" i="2"/>
  <c r="A112" i="2"/>
  <c r="B112" i="2"/>
  <c r="C112" i="2"/>
  <c r="A113" i="2"/>
  <c r="B113" i="2"/>
  <c r="C113" i="2"/>
  <c r="A114" i="2"/>
  <c r="B114" i="2"/>
  <c r="C114" i="2"/>
  <c r="A115" i="2"/>
  <c r="B115" i="2"/>
  <c r="C115" i="2"/>
  <c r="A116" i="2"/>
  <c r="B116" i="2"/>
  <c r="C116" i="2"/>
  <c r="A117" i="2"/>
  <c r="B117" i="2"/>
  <c r="C117" i="2"/>
  <c r="A118" i="2"/>
  <c r="B118" i="2"/>
  <c r="C118" i="2"/>
  <c r="A119" i="2"/>
  <c r="B119" i="2"/>
  <c r="C119" i="2"/>
  <c r="A120" i="2"/>
  <c r="B120" i="2"/>
  <c r="C120" i="2"/>
  <c r="A121" i="2"/>
  <c r="B121" i="2"/>
  <c r="C121" i="2"/>
  <c r="A122" i="2"/>
  <c r="B122" i="2"/>
  <c r="C122" i="2"/>
  <c r="A123" i="2"/>
  <c r="B123" i="2"/>
  <c r="C123" i="2"/>
  <c r="A124" i="2"/>
  <c r="B124" i="2"/>
  <c r="C124" i="2"/>
  <c r="A125" i="2"/>
  <c r="B125" i="2"/>
  <c r="C125" i="2"/>
  <c r="A126" i="2"/>
  <c r="B126" i="2"/>
  <c r="C126" i="2"/>
  <c r="A127" i="2"/>
  <c r="B127" i="2"/>
  <c r="C127" i="2"/>
  <c r="A128" i="2"/>
  <c r="B128" i="2"/>
  <c r="C128" i="2"/>
  <c r="A129" i="2"/>
  <c r="B129" i="2"/>
  <c r="C129" i="2"/>
  <c r="A130" i="2"/>
  <c r="B130" i="2"/>
  <c r="C130" i="2"/>
  <c r="A131" i="2"/>
  <c r="B131" i="2"/>
  <c r="C131" i="2"/>
  <c r="A132" i="2"/>
  <c r="B132" i="2"/>
  <c r="C132" i="2"/>
  <c r="A133" i="2"/>
  <c r="B133" i="2"/>
  <c r="C133" i="2"/>
  <c r="A134" i="2"/>
  <c r="B134" i="2"/>
  <c r="C134" i="2"/>
  <c r="A135" i="2"/>
  <c r="B135" i="2"/>
  <c r="C135" i="2"/>
  <c r="A136" i="2"/>
  <c r="B136" i="2"/>
  <c r="C136" i="2"/>
  <c r="A137" i="2"/>
  <c r="B137" i="2"/>
  <c r="C137" i="2"/>
  <c r="A138" i="2"/>
  <c r="B138" i="2"/>
  <c r="C138" i="2"/>
  <c r="A139" i="2"/>
  <c r="B139" i="2"/>
  <c r="C139" i="2"/>
  <c r="A140" i="2"/>
  <c r="B140" i="2"/>
  <c r="C140" i="2"/>
  <c r="A141" i="2"/>
  <c r="B141" i="2"/>
  <c r="C141" i="2"/>
  <c r="A142" i="2"/>
  <c r="B142" i="2"/>
  <c r="C142" i="2"/>
  <c r="A143" i="2"/>
  <c r="B143" i="2"/>
  <c r="C143" i="2"/>
  <c r="A144" i="2"/>
  <c r="B144" i="2"/>
  <c r="C144" i="2"/>
  <c r="A145" i="2"/>
  <c r="B145" i="2"/>
  <c r="C145" i="2"/>
  <c r="A146" i="2"/>
  <c r="B146" i="2"/>
  <c r="C146" i="2"/>
  <c r="A147" i="2"/>
  <c r="B147" i="2"/>
  <c r="C147" i="2"/>
  <c r="A148" i="2"/>
  <c r="B148" i="2"/>
  <c r="C148" i="2"/>
  <c r="A149" i="2"/>
  <c r="B149" i="2"/>
  <c r="C149" i="2"/>
  <c r="A150" i="2"/>
  <c r="B150" i="2"/>
  <c r="C150" i="2"/>
  <c r="A151" i="2"/>
  <c r="B151" i="2"/>
  <c r="C151" i="2"/>
  <c r="A152" i="2"/>
  <c r="B152" i="2"/>
  <c r="C152" i="2"/>
  <c r="A153" i="2"/>
  <c r="B153" i="2"/>
  <c r="C153" i="2"/>
  <c r="A154" i="2"/>
  <c r="B154" i="2"/>
  <c r="C154" i="2"/>
  <c r="A155" i="2"/>
  <c r="B155" i="2"/>
  <c r="C155" i="2"/>
  <c r="A156" i="2"/>
  <c r="B156" i="2"/>
  <c r="C156" i="2"/>
  <c r="A157" i="2"/>
  <c r="B157" i="2"/>
  <c r="C157" i="2"/>
  <c r="A158" i="2"/>
  <c r="B158" i="2"/>
  <c r="C158" i="2"/>
  <c r="A159" i="2"/>
  <c r="B159" i="2"/>
  <c r="C159" i="2"/>
  <c r="A160" i="2"/>
  <c r="B160" i="2"/>
  <c r="C160" i="2"/>
  <c r="A161" i="2"/>
  <c r="B161" i="2"/>
  <c r="C161" i="2"/>
  <c r="A162" i="2"/>
  <c r="B162" i="2"/>
  <c r="C162" i="2"/>
  <c r="A163" i="2"/>
  <c r="B163" i="2"/>
  <c r="C163" i="2"/>
  <c r="A164" i="2"/>
  <c r="B164" i="2"/>
  <c r="C164" i="2"/>
  <c r="A165" i="2"/>
  <c r="B165" i="2"/>
  <c r="C165" i="2"/>
  <c r="A166" i="2"/>
  <c r="B166" i="2"/>
  <c r="C166" i="2"/>
  <c r="A167" i="2"/>
  <c r="B167" i="2"/>
  <c r="C167" i="2"/>
  <c r="A168" i="2"/>
  <c r="B168" i="2"/>
  <c r="C168" i="2"/>
  <c r="A169" i="2"/>
  <c r="B169" i="2"/>
  <c r="C169" i="2"/>
  <c r="A170" i="2"/>
  <c r="B170" i="2"/>
  <c r="C170" i="2"/>
  <c r="A171" i="2"/>
  <c r="B171" i="2"/>
  <c r="C171" i="2"/>
  <c r="A172" i="2"/>
  <c r="B172" i="2"/>
  <c r="C172" i="2"/>
  <c r="A173" i="2"/>
  <c r="B173" i="2"/>
  <c r="C173" i="2"/>
  <c r="A174" i="2"/>
  <c r="B174" i="2"/>
  <c r="C174" i="2"/>
  <c r="A175" i="2"/>
  <c r="B175" i="2"/>
  <c r="C175" i="2"/>
  <c r="A176" i="2"/>
  <c r="B176" i="2"/>
  <c r="C176" i="2"/>
  <c r="A177" i="2"/>
  <c r="B177" i="2"/>
  <c r="C177" i="2"/>
  <c r="A178" i="2"/>
  <c r="B178" i="2"/>
  <c r="C178" i="2"/>
  <c r="A179" i="2"/>
  <c r="B179" i="2"/>
  <c r="C179" i="2"/>
  <c r="A180" i="2"/>
  <c r="B180" i="2"/>
  <c r="C180" i="2"/>
  <c r="A181" i="2"/>
  <c r="B181" i="2"/>
  <c r="C181" i="2"/>
  <c r="A182" i="2"/>
  <c r="B182" i="2"/>
  <c r="C182" i="2"/>
  <c r="A183" i="2"/>
  <c r="B183" i="2"/>
  <c r="C183" i="2"/>
  <c r="A184" i="2"/>
  <c r="B184" i="2"/>
  <c r="C184" i="2"/>
  <c r="A185" i="2"/>
  <c r="B185" i="2"/>
  <c r="C185" i="2"/>
  <c r="A186" i="2"/>
  <c r="B186" i="2"/>
  <c r="C186" i="2"/>
  <c r="A187" i="2"/>
  <c r="B187" i="2"/>
  <c r="C187" i="2"/>
  <c r="A188" i="2"/>
  <c r="B188" i="2"/>
  <c r="C188" i="2"/>
  <c r="A189" i="2"/>
  <c r="B189" i="2"/>
  <c r="C189" i="2"/>
  <c r="A190" i="2"/>
  <c r="B190" i="2"/>
  <c r="C190" i="2"/>
  <c r="A191" i="2"/>
  <c r="B191" i="2"/>
  <c r="C191" i="2"/>
  <c r="A192" i="2"/>
  <c r="B192" i="2"/>
  <c r="C192" i="2"/>
  <c r="A193" i="2"/>
  <c r="B193" i="2"/>
  <c r="C193" i="2"/>
  <c r="A194" i="2"/>
  <c r="B194" i="2"/>
  <c r="C194" i="2"/>
  <c r="A195" i="2"/>
  <c r="B195" i="2"/>
  <c r="C195" i="2"/>
  <c r="A196" i="2"/>
  <c r="B196" i="2"/>
  <c r="C196" i="2"/>
  <c r="A197" i="2"/>
  <c r="B197" i="2"/>
  <c r="C197" i="2"/>
  <c r="A198" i="2"/>
  <c r="B198" i="2"/>
  <c r="C198" i="2"/>
  <c r="A199" i="2"/>
  <c r="B199" i="2"/>
  <c r="C199" i="2"/>
  <c r="A200" i="2"/>
  <c r="B200" i="2"/>
  <c r="C200" i="2"/>
  <c r="A201" i="2"/>
  <c r="B201" i="2"/>
  <c r="C201" i="2"/>
  <c r="A202" i="2"/>
  <c r="B202" i="2"/>
  <c r="C202" i="2"/>
  <c r="A203" i="2"/>
  <c r="B203" i="2"/>
  <c r="C203" i="2"/>
  <c r="A204" i="2"/>
  <c r="B204" i="2"/>
  <c r="C204" i="2"/>
  <c r="A206" i="2"/>
  <c r="B206" i="2"/>
  <c r="C206" i="2"/>
  <c r="A207" i="2"/>
  <c r="B207" i="2"/>
  <c r="C207" i="2"/>
  <c r="A208" i="2"/>
  <c r="B208" i="2"/>
  <c r="C208" i="2"/>
  <c r="A209" i="2"/>
  <c r="B209" i="2"/>
  <c r="C209" i="2"/>
  <c r="A210" i="2"/>
  <c r="B210" i="2"/>
  <c r="C210" i="2"/>
  <c r="A211" i="2"/>
  <c r="B211" i="2"/>
  <c r="C211" i="2"/>
  <c r="A212" i="2"/>
  <c r="B212" i="2"/>
  <c r="C212" i="2"/>
  <c r="A213" i="2"/>
  <c r="B213" i="2"/>
  <c r="C213" i="2"/>
  <c r="A214" i="2"/>
  <c r="B214" i="2"/>
  <c r="C214" i="2"/>
  <c r="A215" i="2"/>
  <c r="B215" i="2"/>
  <c r="C215" i="2"/>
  <c r="A216" i="2"/>
  <c r="B216" i="2"/>
  <c r="C216" i="2"/>
  <c r="A217" i="2"/>
  <c r="B217" i="2"/>
  <c r="C217" i="2"/>
  <c r="A218" i="2"/>
  <c r="B218" i="2"/>
  <c r="C218" i="2"/>
  <c r="A219" i="2"/>
  <c r="B219" i="2"/>
  <c r="C219" i="2"/>
  <c r="A220" i="2"/>
  <c r="B220" i="2"/>
  <c r="C220" i="2"/>
  <c r="A221" i="2"/>
  <c r="B221" i="2"/>
  <c r="C221" i="2"/>
  <c r="A222" i="2"/>
  <c r="B222" i="2"/>
  <c r="C222" i="2"/>
  <c r="A223" i="2"/>
  <c r="B223" i="2"/>
  <c r="C223" i="2"/>
  <c r="A224" i="2"/>
  <c r="B224" i="2"/>
  <c r="C224" i="2"/>
  <c r="A225" i="2"/>
  <c r="B225" i="2"/>
  <c r="C225" i="2"/>
  <c r="A226" i="2"/>
  <c r="B226" i="2"/>
  <c r="C226" i="2"/>
  <c r="A227" i="2"/>
  <c r="B227" i="2"/>
  <c r="C227" i="2"/>
  <c r="A228" i="2"/>
  <c r="B228" i="2"/>
  <c r="C228" i="2"/>
  <c r="A229" i="2"/>
  <c r="B229" i="2"/>
  <c r="C229" i="2"/>
  <c r="A230" i="2"/>
  <c r="B230" i="2"/>
  <c r="C230" i="2"/>
  <c r="A231" i="2"/>
  <c r="B231" i="2"/>
  <c r="C231" i="2"/>
  <c r="A232" i="2"/>
  <c r="B232" i="2"/>
  <c r="C232" i="2"/>
  <c r="A234" i="2"/>
  <c r="B234" i="2"/>
  <c r="C234" i="2"/>
  <c r="A235" i="2"/>
  <c r="B235" i="2"/>
  <c r="C235" i="2"/>
  <c r="A236" i="2"/>
  <c r="B236" i="2"/>
  <c r="C236" i="2"/>
  <c r="A237" i="2"/>
  <c r="B237" i="2"/>
  <c r="C237" i="2"/>
  <c r="A238" i="2"/>
  <c r="B238" i="2"/>
  <c r="C238" i="2"/>
  <c r="A239" i="2"/>
  <c r="B239" i="2"/>
  <c r="C239" i="2"/>
  <c r="A240" i="2"/>
  <c r="B240" i="2"/>
  <c r="C240" i="2"/>
  <c r="A241" i="2"/>
  <c r="B241" i="2"/>
  <c r="C241" i="2"/>
  <c r="A242" i="2"/>
  <c r="B242" i="2"/>
  <c r="C242" i="2"/>
  <c r="A243" i="2"/>
  <c r="B243" i="2"/>
  <c r="C243" i="2"/>
  <c r="A244" i="2"/>
  <c r="B244" i="2"/>
  <c r="C244" i="2"/>
  <c r="A245" i="2"/>
  <c r="B245" i="2"/>
  <c r="C245" i="2"/>
  <c r="A246" i="2"/>
  <c r="B246" i="2"/>
  <c r="C246" i="2"/>
  <c r="A247" i="2"/>
  <c r="B247" i="2"/>
  <c r="C247" i="2"/>
  <c r="A248" i="2"/>
  <c r="B248" i="2"/>
  <c r="C248" i="2"/>
  <c r="A249" i="2"/>
  <c r="B249" i="2"/>
  <c r="C249" i="2"/>
  <c r="A250" i="2"/>
  <c r="B250" i="2"/>
  <c r="C250" i="2"/>
  <c r="A251" i="2"/>
  <c r="B251" i="2"/>
  <c r="C251" i="2"/>
  <c r="A252" i="2"/>
  <c r="B252" i="2"/>
  <c r="C252" i="2"/>
  <c r="A253" i="2"/>
  <c r="B253" i="2"/>
  <c r="C253" i="2"/>
  <c r="A254" i="2"/>
  <c r="B254" i="2"/>
  <c r="C254" i="2"/>
  <c r="A255" i="2"/>
  <c r="B255" i="2"/>
  <c r="C255" i="2"/>
  <c r="A256" i="2"/>
  <c r="B256" i="2"/>
  <c r="C256" i="2"/>
  <c r="A257" i="2"/>
  <c r="B257" i="2"/>
  <c r="C257" i="2"/>
  <c r="A258" i="2"/>
  <c r="B258" i="2"/>
  <c r="C258" i="2"/>
  <c r="A259" i="2"/>
  <c r="B259" i="2"/>
  <c r="C259" i="2"/>
  <c r="A260" i="2"/>
  <c r="B260" i="2"/>
  <c r="C260" i="2"/>
  <c r="A261" i="2"/>
  <c r="B261" i="2"/>
  <c r="C261" i="2"/>
  <c r="A262" i="2"/>
  <c r="B262" i="2"/>
  <c r="C262" i="2"/>
  <c r="A263" i="2"/>
  <c r="B263" i="2"/>
  <c r="C263" i="2"/>
  <c r="A264" i="2"/>
  <c r="B264" i="2"/>
  <c r="C264" i="2"/>
  <c r="A265" i="2"/>
  <c r="B265" i="2"/>
  <c r="C265" i="2"/>
  <c r="A266" i="2"/>
  <c r="B266" i="2"/>
  <c r="C266" i="2"/>
  <c r="A267" i="2"/>
  <c r="B267" i="2"/>
  <c r="C267" i="2"/>
  <c r="A268" i="2"/>
  <c r="B268" i="2"/>
  <c r="C268" i="2"/>
  <c r="A269" i="2"/>
  <c r="B269" i="2"/>
  <c r="C269" i="2"/>
  <c r="A270" i="2"/>
  <c r="B270" i="2"/>
  <c r="C270" i="2"/>
  <c r="A271" i="2"/>
  <c r="B271" i="2"/>
  <c r="C271" i="2"/>
  <c r="A272" i="2"/>
  <c r="B272" i="2"/>
  <c r="C272" i="2"/>
  <c r="A273" i="2"/>
  <c r="B273" i="2"/>
  <c r="C273" i="2"/>
  <c r="A274" i="2"/>
  <c r="B274" i="2"/>
  <c r="C274" i="2"/>
  <c r="A275" i="2"/>
  <c r="B275" i="2"/>
  <c r="C275" i="2"/>
  <c r="A276" i="2"/>
  <c r="B276" i="2"/>
  <c r="C276" i="2"/>
  <c r="A277" i="2"/>
  <c r="B277" i="2"/>
  <c r="C277" i="2"/>
  <c r="A278" i="2"/>
  <c r="B278" i="2"/>
  <c r="C278" i="2"/>
  <c r="A279" i="2"/>
  <c r="B279" i="2"/>
  <c r="C279" i="2"/>
  <c r="A280" i="2"/>
  <c r="B280" i="2"/>
  <c r="C280" i="2"/>
  <c r="A281" i="2"/>
  <c r="B281" i="2"/>
  <c r="C281" i="2"/>
  <c r="A282" i="2"/>
  <c r="B282" i="2"/>
  <c r="C282" i="2"/>
  <c r="A283" i="2"/>
  <c r="B283" i="2"/>
  <c r="C283" i="2"/>
  <c r="A284" i="2"/>
  <c r="B284" i="2"/>
  <c r="C284" i="2"/>
  <c r="A285" i="2"/>
  <c r="B285" i="2"/>
  <c r="C285" i="2"/>
  <c r="A286" i="2"/>
  <c r="B286" i="2"/>
  <c r="C286" i="2"/>
  <c r="A287" i="2"/>
  <c r="B287" i="2"/>
  <c r="C287" i="2"/>
  <c r="A288" i="2"/>
  <c r="B288" i="2"/>
  <c r="C288" i="2"/>
  <c r="A289" i="2"/>
  <c r="B289" i="2"/>
  <c r="C289" i="2"/>
  <c r="A290" i="2"/>
  <c r="B290" i="2"/>
  <c r="C290" i="2"/>
  <c r="B291" i="2"/>
  <c r="C291" i="2"/>
  <c r="A292" i="2"/>
  <c r="B292" i="2"/>
  <c r="C292" i="2"/>
  <c r="A293" i="2"/>
  <c r="B293" i="2"/>
  <c r="C293" i="2"/>
  <c r="A294" i="2"/>
  <c r="B294" i="2"/>
  <c r="C294" i="2"/>
  <c r="A295" i="2"/>
  <c r="B295" i="2"/>
  <c r="C295" i="2"/>
  <c r="A296" i="2"/>
  <c r="B296" i="2"/>
  <c r="C296" i="2"/>
  <c r="A297" i="2"/>
  <c r="B297" i="2"/>
  <c r="C297" i="2"/>
  <c r="A298" i="2"/>
  <c r="B298" i="2"/>
  <c r="C298" i="2"/>
  <c r="A299" i="2"/>
  <c r="B299" i="2"/>
  <c r="C299" i="2"/>
  <c r="A300" i="2"/>
  <c r="B300" i="2"/>
  <c r="C300" i="2"/>
  <c r="A301" i="2"/>
  <c r="B301" i="2"/>
  <c r="C301" i="2"/>
  <c r="A302" i="2"/>
  <c r="B302" i="2"/>
  <c r="C302" i="2"/>
  <c r="A303" i="2"/>
  <c r="B303" i="2"/>
  <c r="C303" i="2"/>
  <c r="A304" i="2"/>
  <c r="B304" i="2"/>
  <c r="C304" i="2"/>
  <c r="A305" i="2"/>
  <c r="B305" i="2"/>
  <c r="C305" i="2"/>
  <c r="A306" i="2"/>
  <c r="B306" i="2"/>
  <c r="C306" i="2"/>
  <c r="A307" i="2"/>
  <c r="B307" i="2"/>
  <c r="C307" i="2"/>
  <c r="A308" i="2"/>
  <c r="B308" i="2"/>
  <c r="C308" i="2"/>
  <c r="A309" i="2"/>
  <c r="B309" i="2"/>
  <c r="C309" i="2"/>
  <c r="A310" i="2"/>
  <c r="B310" i="2"/>
  <c r="C310" i="2"/>
  <c r="A311" i="2"/>
  <c r="B311" i="2"/>
  <c r="C311" i="2"/>
  <c r="A312" i="2"/>
  <c r="B312" i="2"/>
  <c r="C312" i="2"/>
  <c r="A313" i="2"/>
  <c r="B313" i="2"/>
  <c r="C313" i="2"/>
  <c r="A314" i="2"/>
  <c r="B314" i="2"/>
  <c r="C314" i="2"/>
  <c r="A315" i="2"/>
  <c r="B315" i="2"/>
  <c r="C315" i="2"/>
  <c r="A316" i="2"/>
  <c r="B316" i="2"/>
  <c r="C316" i="2"/>
  <c r="A317" i="2"/>
  <c r="B317" i="2"/>
  <c r="C317" i="2"/>
  <c r="A318" i="2"/>
  <c r="B318" i="2"/>
  <c r="C318" i="2"/>
  <c r="A319" i="2"/>
  <c r="B319" i="2"/>
  <c r="C319" i="2"/>
  <c r="A320" i="2"/>
  <c r="B320" i="2"/>
  <c r="C320" i="2"/>
  <c r="A321" i="2"/>
  <c r="B321" i="2"/>
  <c r="C321" i="2"/>
  <c r="A322" i="2"/>
  <c r="B322" i="2"/>
  <c r="C322" i="2"/>
  <c r="A333" i="2"/>
  <c r="B333" i="2"/>
  <c r="C333" i="2"/>
  <c r="A334" i="2"/>
  <c r="B334" i="2"/>
  <c r="C334" i="2"/>
  <c r="A335" i="2"/>
  <c r="B335" i="2"/>
  <c r="C335" i="2"/>
  <c r="A336" i="2"/>
  <c r="B336" i="2"/>
  <c r="C336" i="2"/>
  <c r="A337" i="2"/>
  <c r="B337" i="2"/>
  <c r="C337" i="2"/>
  <c r="A338" i="2"/>
  <c r="B338" i="2"/>
  <c r="C338" i="2"/>
  <c r="A339" i="2"/>
  <c r="B339" i="2"/>
  <c r="C339" i="2"/>
  <c r="A340" i="2"/>
  <c r="B340" i="2"/>
  <c r="C340" i="2"/>
  <c r="A341" i="2"/>
  <c r="B341" i="2"/>
  <c r="C341" i="2"/>
  <c r="A342" i="2"/>
  <c r="B342" i="2"/>
  <c r="C342" i="2"/>
  <c r="A343" i="2"/>
  <c r="B343" i="2"/>
  <c r="C343" i="2"/>
  <c r="A344" i="2"/>
  <c r="B344" i="2"/>
  <c r="C344" i="2"/>
  <c r="A345" i="2"/>
  <c r="B345" i="2"/>
  <c r="C345" i="2"/>
  <c r="A346" i="2"/>
  <c r="B346" i="2"/>
  <c r="C346" i="2"/>
  <c r="A347" i="2"/>
  <c r="B347" i="2"/>
  <c r="C347" i="2"/>
  <c r="A348" i="2"/>
  <c r="B348" i="2"/>
  <c r="C348" i="2"/>
  <c r="A349" i="2"/>
  <c r="B349" i="2"/>
  <c r="C349" i="2"/>
  <c r="A350" i="2"/>
  <c r="B350" i="2"/>
  <c r="C350" i="2"/>
  <c r="A351" i="2"/>
  <c r="B351" i="2"/>
  <c r="C351" i="2"/>
  <c r="A352" i="2"/>
  <c r="B352" i="2"/>
  <c r="C352" i="2"/>
  <c r="A355" i="2"/>
  <c r="B355" i="2"/>
  <c r="C355" i="2"/>
  <c r="A356" i="2"/>
  <c r="B356" i="2"/>
  <c r="C356" i="2"/>
  <c r="A357" i="2"/>
  <c r="B357" i="2"/>
  <c r="C357" i="2"/>
  <c r="A358" i="2"/>
  <c r="B358" i="2"/>
  <c r="C358" i="2"/>
  <c r="A359" i="2"/>
  <c r="B359" i="2"/>
  <c r="C359" i="2"/>
  <c r="A360" i="2"/>
  <c r="B360" i="2"/>
  <c r="C360" i="2"/>
  <c r="A361" i="2"/>
  <c r="B361" i="2"/>
  <c r="C361" i="2"/>
  <c r="A362" i="2"/>
  <c r="B362" i="2"/>
  <c r="C362" i="2"/>
  <c r="A363" i="2"/>
  <c r="B363" i="2"/>
  <c r="C363" i="2"/>
  <c r="A364" i="2"/>
  <c r="B364" i="2"/>
  <c r="C364" i="2"/>
  <c r="A365" i="2"/>
  <c r="B365" i="2"/>
  <c r="C365" i="2"/>
  <c r="A366" i="2"/>
  <c r="B366" i="2"/>
  <c r="C366" i="2"/>
  <c r="A367" i="2"/>
  <c r="B367" i="2"/>
  <c r="C367" i="2"/>
  <c r="A368" i="2"/>
  <c r="B368" i="2"/>
  <c r="C368" i="2"/>
  <c r="A369" i="2"/>
  <c r="B369" i="2"/>
  <c r="C369" i="2"/>
  <c r="B370" i="2"/>
  <c r="C370" i="2"/>
  <c r="A371" i="2"/>
  <c r="B371" i="2"/>
  <c r="C371" i="2"/>
  <c r="A372" i="2"/>
  <c r="B372" i="2"/>
  <c r="C372" i="2"/>
  <c r="A373" i="2"/>
  <c r="B373" i="2"/>
  <c r="C373" i="2"/>
  <c r="A374" i="2"/>
  <c r="B374" i="2"/>
  <c r="C374" i="2"/>
  <c r="A375" i="2"/>
  <c r="B375" i="2"/>
  <c r="C375" i="2"/>
  <c r="A376" i="2"/>
  <c r="B376" i="2"/>
  <c r="C376" i="2"/>
  <c r="A377" i="2"/>
  <c r="B377" i="2"/>
  <c r="C377" i="2"/>
  <c r="B378" i="2"/>
  <c r="C378" i="2"/>
  <c r="A379" i="2"/>
  <c r="B379" i="2"/>
  <c r="C379" i="2"/>
  <c r="A382" i="2"/>
  <c r="B382" i="2"/>
  <c r="C382" i="2"/>
  <c r="A383" i="2"/>
  <c r="B383" i="2"/>
  <c r="C383" i="2"/>
  <c r="A384" i="2"/>
  <c r="B384" i="2"/>
  <c r="C384" i="2"/>
  <c r="A385" i="2"/>
  <c r="B385" i="2"/>
  <c r="C385" i="2"/>
  <c r="A386" i="2"/>
  <c r="B386" i="2"/>
  <c r="C386" i="2"/>
  <c r="A387" i="2"/>
  <c r="B387" i="2"/>
  <c r="C387" i="2"/>
  <c r="A388" i="2"/>
  <c r="B388" i="2"/>
  <c r="C388" i="2"/>
  <c r="A389" i="2"/>
  <c r="B389" i="2"/>
  <c r="C389" i="2"/>
  <c r="A390" i="2"/>
  <c r="B390" i="2"/>
  <c r="C390" i="2"/>
  <c r="A391" i="2"/>
  <c r="B391" i="2"/>
  <c r="C391" i="2"/>
  <c r="A392" i="2"/>
  <c r="B392" i="2"/>
  <c r="A393" i="2"/>
  <c r="B393" i="2"/>
  <c r="C393" i="2"/>
  <c r="A394" i="2"/>
  <c r="B394" i="2"/>
  <c r="C394" i="2"/>
  <c r="A395" i="2"/>
  <c r="B395" i="2"/>
  <c r="C395" i="2"/>
  <c r="A396" i="2"/>
  <c r="B396" i="2"/>
  <c r="C396" i="2"/>
  <c r="A397" i="2"/>
  <c r="B397" i="2"/>
  <c r="C397" i="2"/>
  <c r="A398" i="2"/>
  <c r="B398" i="2"/>
  <c r="C398" i="2"/>
  <c r="A399" i="2"/>
  <c r="B399" i="2"/>
  <c r="C399" i="2"/>
  <c r="A400" i="2"/>
  <c r="B400" i="2"/>
  <c r="C400" i="2"/>
  <c r="A401" i="2"/>
  <c r="B401" i="2"/>
  <c r="C401" i="2"/>
  <c r="A402" i="2"/>
  <c r="B402" i="2"/>
  <c r="C402" i="2"/>
  <c r="A403" i="2"/>
  <c r="B403" i="2"/>
  <c r="C403" i="2"/>
  <c r="A404" i="2"/>
  <c r="B404" i="2"/>
  <c r="C404" i="2"/>
  <c r="A406" i="2"/>
  <c r="B406" i="2"/>
  <c r="C406" i="2"/>
  <c r="A405" i="2"/>
  <c r="B405" i="2"/>
  <c r="C405" i="2"/>
  <c r="A408" i="2"/>
  <c r="B408" i="2"/>
  <c r="C408" i="2"/>
  <c r="A409" i="2"/>
  <c r="B409" i="2"/>
  <c r="C409" i="2"/>
  <c r="A410" i="2"/>
  <c r="B410" i="2"/>
  <c r="C410" i="2"/>
  <c r="A411" i="2"/>
  <c r="B411" i="2"/>
  <c r="C411" i="2"/>
  <c r="A412" i="2"/>
  <c r="B412" i="2"/>
  <c r="C412" i="2"/>
  <c r="A413" i="2"/>
  <c r="B413" i="2"/>
  <c r="C413" i="2"/>
  <c r="A414" i="2"/>
  <c r="B414" i="2"/>
  <c r="C414" i="2"/>
  <c r="A415" i="2"/>
  <c r="B415" i="2"/>
  <c r="C415" i="2"/>
  <c r="A416" i="2"/>
  <c r="B416" i="2"/>
  <c r="C416" i="2"/>
  <c r="A417" i="2"/>
  <c r="B417" i="2"/>
  <c r="C417" i="2"/>
  <c r="A418" i="2"/>
  <c r="B418" i="2"/>
  <c r="C418" i="2"/>
  <c r="A419" i="2"/>
  <c r="B419" i="2"/>
  <c r="C419" i="2"/>
  <c r="A420" i="2"/>
  <c r="B420" i="2"/>
  <c r="C420" i="2"/>
  <c r="A421" i="2"/>
  <c r="B421" i="2"/>
  <c r="C421" i="2"/>
  <c r="A422" i="2"/>
  <c r="B422" i="2"/>
  <c r="C422" i="2"/>
  <c r="A425" i="2"/>
  <c r="B425" i="2"/>
  <c r="C425" i="2"/>
  <c r="A426" i="2"/>
  <c r="B426" i="2"/>
  <c r="C426" i="2"/>
  <c r="A427" i="2"/>
  <c r="B427" i="2"/>
  <c r="C427" i="2"/>
  <c r="A428" i="2"/>
  <c r="B428" i="2"/>
  <c r="C428" i="2"/>
  <c r="A429" i="2"/>
  <c r="B429" i="2"/>
  <c r="C429" i="2"/>
  <c r="A430" i="2"/>
  <c r="B430" i="2"/>
  <c r="C430" i="2"/>
  <c r="A431" i="2"/>
  <c r="B431" i="2"/>
  <c r="C431" i="2"/>
  <c r="A432" i="2"/>
  <c r="B432" i="2"/>
  <c r="C432" i="2"/>
  <c r="A433" i="2"/>
  <c r="B433" i="2"/>
  <c r="C433" i="2"/>
  <c r="A434" i="2"/>
  <c r="B434" i="2"/>
  <c r="C434" i="2"/>
  <c r="A435" i="2"/>
  <c r="B435" i="2"/>
  <c r="C435" i="2"/>
  <c r="A436" i="2"/>
  <c r="B436" i="2"/>
  <c r="C436" i="2"/>
  <c r="A437" i="2"/>
  <c r="B437" i="2"/>
  <c r="C437" i="2"/>
  <c r="A438" i="2"/>
  <c r="B438" i="2"/>
  <c r="C438" i="2"/>
  <c r="A439" i="2"/>
  <c r="B439" i="2"/>
  <c r="C439" i="2"/>
  <c r="A440" i="2"/>
  <c r="B440" i="2"/>
  <c r="C440" i="2"/>
  <c r="A441" i="2"/>
  <c r="B441" i="2"/>
  <c r="C441" i="2"/>
  <c r="A442" i="2"/>
  <c r="B442" i="2"/>
  <c r="C442" i="2"/>
  <c r="A443" i="2"/>
  <c r="B443" i="2"/>
  <c r="C443" i="2"/>
  <c r="A444" i="2"/>
  <c r="B444" i="2"/>
  <c r="C444" i="2"/>
  <c r="A445" i="2"/>
  <c r="B445" i="2"/>
  <c r="C445" i="2"/>
  <c r="A446" i="2"/>
  <c r="B446" i="2"/>
  <c r="C446" i="2"/>
  <c r="A447" i="2"/>
  <c r="B447" i="2"/>
  <c r="C447" i="2"/>
  <c r="A448" i="2"/>
  <c r="B448" i="2"/>
  <c r="C448" i="2"/>
  <c r="A449" i="2"/>
  <c r="B449" i="2"/>
  <c r="C449" i="2"/>
  <c r="A450" i="2"/>
  <c r="B450" i="2"/>
  <c r="C450" i="2"/>
  <c r="A451" i="2"/>
  <c r="B451" i="2"/>
  <c r="C451" i="2"/>
  <c r="A452" i="2"/>
  <c r="B452" i="2"/>
  <c r="C452" i="2"/>
  <c r="A453" i="2"/>
  <c r="B453" i="2"/>
  <c r="C453" i="2"/>
  <c r="A454" i="2"/>
  <c r="B454" i="2"/>
  <c r="C454" i="2"/>
  <c r="A455" i="2"/>
  <c r="B455" i="2"/>
  <c r="C455" i="2"/>
  <c r="A456" i="2"/>
  <c r="B456" i="2"/>
  <c r="C456" i="2"/>
  <c r="A457" i="2"/>
  <c r="B457" i="2"/>
  <c r="C457" i="2"/>
  <c r="A458" i="2"/>
  <c r="B458" i="2"/>
  <c r="C458" i="2"/>
  <c r="A459" i="2"/>
  <c r="B459" i="2"/>
  <c r="C459" i="2"/>
  <c r="A460" i="2"/>
  <c r="B460" i="2"/>
  <c r="C460" i="2"/>
  <c r="A461" i="2"/>
  <c r="B461" i="2"/>
  <c r="C461" i="2"/>
  <c r="A462" i="2"/>
  <c r="B462" i="2"/>
  <c r="C462" i="2"/>
  <c r="A463" i="2"/>
  <c r="B463" i="2"/>
  <c r="C463" i="2"/>
  <c r="A464" i="2"/>
  <c r="B464" i="2"/>
  <c r="C464" i="2"/>
  <c r="A465" i="2"/>
  <c r="B465" i="2"/>
  <c r="C465" i="2"/>
  <c r="C2" i="2"/>
  <c r="B2" i="2"/>
  <c r="A2" i="2"/>
  <c r="AM296" i="2"/>
  <c r="AN296" i="2"/>
  <c r="AM297" i="2"/>
  <c r="AN297" i="2"/>
  <c r="AM298" i="2"/>
  <c r="AN298" i="2"/>
  <c r="AM299" i="2"/>
  <c r="AN299" i="2"/>
  <c r="AM300" i="2"/>
  <c r="AN300" i="2"/>
  <c r="AM301" i="2"/>
  <c r="AN301" i="2"/>
  <c r="AM302" i="2"/>
  <c r="AN302" i="2"/>
  <c r="AM303" i="2"/>
  <c r="AN303" i="2"/>
  <c r="AM304" i="2"/>
  <c r="AN304" i="2"/>
  <c r="AM305" i="2"/>
  <c r="AN305" i="2"/>
  <c r="AM306" i="2"/>
  <c r="AN306" i="2"/>
  <c r="AM307" i="2"/>
  <c r="AN307" i="2"/>
  <c r="AM308" i="2"/>
  <c r="AN308" i="2"/>
  <c r="AM309" i="2"/>
  <c r="AN309" i="2"/>
  <c r="AM310" i="2"/>
  <c r="AN310" i="2"/>
  <c r="AM311" i="2"/>
  <c r="AN311" i="2"/>
  <c r="AM312" i="2"/>
  <c r="AN312" i="2"/>
  <c r="AM313" i="2"/>
  <c r="AN313" i="2"/>
  <c r="AM314" i="2"/>
  <c r="AN314" i="2"/>
  <c r="AM315" i="2"/>
  <c r="AN315" i="2"/>
  <c r="AM316" i="2"/>
  <c r="AN316" i="2"/>
  <c r="AM317" i="2"/>
  <c r="AN317" i="2"/>
  <c r="AM318" i="2"/>
  <c r="AN318" i="2"/>
  <c r="AM319" i="2"/>
  <c r="AN319" i="2"/>
  <c r="AM320" i="2"/>
  <c r="AN320" i="2"/>
  <c r="AM321" i="2"/>
  <c r="AN321" i="2"/>
  <c r="AM322" i="2"/>
  <c r="AN322" i="2"/>
  <c r="AM122" i="2"/>
  <c r="AN122" i="2"/>
  <c r="AM123" i="2"/>
  <c r="AN123" i="2"/>
  <c r="AM124" i="2"/>
  <c r="AN124" i="2"/>
  <c r="AM125" i="2"/>
  <c r="AN125" i="2"/>
  <c r="AM126" i="2"/>
  <c r="AN126" i="2"/>
  <c r="AM127" i="2"/>
  <c r="AN127" i="2"/>
  <c r="AM128" i="2"/>
  <c r="AN128" i="2"/>
  <c r="AM129" i="2"/>
  <c r="AN129" i="2"/>
  <c r="AM379" i="2"/>
  <c r="AN379" i="2"/>
  <c r="AM54" i="2"/>
  <c r="AN54" i="2"/>
  <c r="AM55" i="2"/>
  <c r="AN55" i="2"/>
  <c r="AM3" i="2"/>
  <c r="AN3" i="2"/>
  <c r="AM4" i="2"/>
  <c r="AN4" i="2"/>
  <c r="AM5" i="2"/>
  <c r="AN5" i="2"/>
  <c r="AM6" i="2"/>
  <c r="AN6" i="2"/>
  <c r="AM7" i="2"/>
  <c r="AN7" i="2"/>
  <c r="AM8" i="2"/>
  <c r="AN8" i="2"/>
  <c r="AM9" i="2"/>
  <c r="AN9" i="2"/>
  <c r="AM10" i="2"/>
  <c r="AN10" i="2"/>
  <c r="AM11" i="2"/>
  <c r="AN11" i="2"/>
  <c r="AM12" i="2"/>
  <c r="AN12" i="2"/>
  <c r="AM13" i="2"/>
  <c r="AN13" i="2"/>
  <c r="AM14" i="2"/>
  <c r="AN14" i="2"/>
  <c r="AM15" i="2"/>
  <c r="AN15" i="2"/>
  <c r="AM16" i="2"/>
  <c r="AM17" i="2"/>
  <c r="AN17" i="2"/>
  <c r="AM18" i="2"/>
  <c r="AN18" i="2"/>
  <c r="AM19" i="2"/>
  <c r="AN19" i="2"/>
  <c r="AM20" i="2"/>
  <c r="AN20" i="2"/>
  <c r="AM21" i="2"/>
  <c r="AN21" i="2"/>
  <c r="AM22" i="2"/>
  <c r="AN22" i="2"/>
  <c r="AM23" i="2"/>
  <c r="AN23" i="2"/>
  <c r="AM24" i="2"/>
  <c r="AN24" i="2"/>
  <c r="AM25" i="2"/>
  <c r="AN25" i="2"/>
  <c r="AM26" i="2"/>
  <c r="AN26" i="2"/>
  <c r="AM57" i="2"/>
  <c r="AN57" i="2"/>
  <c r="AM27" i="2"/>
  <c r="AN27" i="2"/>
  <c r="AM28" i="2"/>
  <c r="AN28" i="2"/>
  <c r="AM29" i="2"/>
  <c r="AN29" i="2"/>
  <c r="AM30" i="2"/>
  <c r="AN30" i="2"/>
  <c r="AM31" i="2"/>
  <c r="AN31" i="2"/>
  <c r="AM32" i="2"/>
  <c r="AN32" i="2"/>
  <c r="AM33" i="2"/>
  <c r="AN33" i="2"/>
  <c r="AM34" i="2"/>
  <c r="AN34" i="2"/>
  <c r="AM35" i="2"/>
  <c r="AN35" i="2"/>
  <c r="AM36" i="2"/>
  <c r="AN36" i="2"/>
  <c r="AM37" i="2"/>
  <c r="AN37" i="2"/>
  <c r="AM38" i="2"/>
  <c r="AN38" i="2"/>
  <c r="AM39" i="2"/>
  <c r="AN39" i="2"/>
  <c r="AM40" i="2"/>
  <c r="AN40" i="2"/>
  <c r="AM41" i="2"/>
  <c r="AN41" i="2"/>
  <c r="AM42" i="2"/>
  <c r="AN42" i="2"/>
  <c r="AM43" i="2"/>
  <c r="AN43" i="2"/>
  <c r="AM44" i="2"/>
  <c r="AN44" i="2"/>
  <c r="AM45" i="2"/>
  <c r="AN45" i="2"/>
  <c r="AM46" i="2"/>
  <c r="AN46" i="2"/>
  <c r="AM47" i="2"/>
  <c r="AN47" i="2"/>
  <c r="AM48" i="2"/>
  <c r="AN48" i="2"/>
  <c r="AM49" i="2"/>
  <c r="AN49" i="2"/>
  <c r="AM50" i="2"/>
  <c r="AN50" i="2"/>
  <c r="AM51" i="2"/>
  <c r="AN51" i="2"/>
  <c r="AM52" i="2"/>
  <c r="AN52" i="2"/>
  <c r="AM53" i="2"/>
  <c r="AN53" i="2"/>
  <c r="AM69" i="2"/>
  <c r="AN69" i="2"/>
  <c r="AM70" i="2"/>
  <c r="AN70" i="2"/>
  <c r="AM71" i="2"/>
  <c r="AN71" i="2"/>
  <c r="AM72" i="2"/>
  <c r="AN72" i="2"/>
  <c r="AM73" i="2"/>
  <c r="AN73" i="2"/>
  <c r="AM74" i="2"/>
  <c r="AN74" i="2"/>
  <c r="AM75" i="2"/>
  <c r="AN75" i="2"/>
  <c r="AM76" i="2"/>
  <c r="AN76" i="2"/>
  <c r="AM77" i="2"/>
  <c r="AN77" i="2"/>
  <c r="AM78" i="2"/>
  <c r="AN78" i="2"/>
  <c r="AM79" i="2"/>
  <c r="AN79" i="2"/>
  <c r="AM80" i="2"/>
  <c r="AN80" i="2"/>
  <c r="AM81" i="2"/>
  <c r="AN81" i="2"/>
  <c r="AM82" i="2"/>
  <c r="AN82" i="2"/>
  <c r="AM83" i="2"/>
  <c r="AN83" i="2"/>
  <c r="AM84" i="2"/>
  <c r="AN84" i="2"/>
  <c r="AM85" i="2"/>
  <c r="AN85" i="2"/>
  <c r="AM86" i="2"/>
  <c r="AN86" i="2"/>
  <c r="AM87" i="2"/>
  <c r="AN87" i="2"/>
  <c r="AM88" i="2"/>
  <c r="AN88" i="2"/>
  <c r="AM89" i="2"/>
  <c r="AN89" i="2"/>
  <c r="AM90" i="2"/>
  <c r="AN90" i="2"/>
  <c r="AM91" i="2"/>
  <c r="AN91" i="2"/>
  <c r="AM92" i="2"/>
  <c r="AN92" i="2"/>
  <c r="AM93" i="2"/>
  <c r="AN93" i="2"/>
  <c r="AM94" i="2"/>
  <c r="AN94" i="2"/>
  <c r="AN95" i="2"/>
  <c r="AN96" i="2"/>
  <c r="AN97" i="2"/>
  <c r="AN98" i="2"/>
  <c r="AN99" i="2"/>
  <c r="AN100" i="2"/>
  <c r="AM101" i="2"/>
  <c r="AN101" i="2"/>
  <c r="AM102" i="2"/>
  <c r="AN102" i="2"/>
  <c r="AM103" i="2"/>
  <c r="AN103" i="2"/>
  <c r="AM104" i="2"/>
  <c r="AN104" i="2"/>
  <c r="AM105" i="2"/>
  <c r="AN105" i="2"/>
  <c r="AM106" i="2"/>
  <c r="AN106" i="2"/>
  <c r="AM107" i="2"/>
  <c r="AN107" i="2"/>
  <c r="AM108" i="2"/>
  <c r="AM110" i="2"/>
  <c r="AM111" i="2"/>
  <c r="AN111" i="2"/>
  <c r="AM112" i="2"/>
  <c r="AN112" i="2"/>
  <c r="AM113" i="2"/>
  <c r="AN113" i="2"/>
  <c r="AM114" i="2"/>
  <c r="AN114" i="2"/>
  <c r="AM115" i="2"/>
  <c r="AN115" i="2"/>
  <c r="AM116" i="2"/>
  <c r="AN116" i="2"/>
  <c r="AM117" i="2"/>
  <c r="AN117" i="2"/>
  <c r="AM118" i="2"/>
  <c r="AN118" i="2"/>
  <c r="AM119" i="2"/>
  <c r="AN119" i="2"/>
  <c r="AM120" i="2"/>
  <c r="AN120" i="2"/>
  <c r="AM121" i="2"/>
  <c r="AN121" i="2"/>
  <c r="AM130" i="2"/>
  <c r="AN130" i="2"/>
  <c r="AM131" i="2"/>
  <c r="AN131" i="2"/>
  <c r="AM132" i="2"/>
  <c r="AN132" i="2"/>
  <c r="AM133" i="2"/>
  <c r="AN133" i="2"/>
  <c r="AM134" i="2"/>
  <c r="AN134" i="2"/>
  <c r="AM135" i="2"/>
  <c r="AN135" i="2"/>
  <c r="AM136" i="2"/>
  <c r="AN136" i="2"/>
  <c r="AM137" i="2"/>
  <c r="AN137" i="2"/>
  <c r="AM138" i="2"/>
  <c r="AN138" i="2"/>
  <c r="AM139" i="2"/>
  <c r="AN139" i="2"/>
  <c r="AM140" i="2"/>
  <c r="AN140" i="2"/>
  <c r="AM141" i="2"/>
  <c r="AN141" i="2"/>
  <c r="AM142" i="2"/>
  <c r="AN142" i="2"/>
  <c r="AM143" i="2"/>
  <c r="AN143" i="2"/>
  <c r="AM144" i="2"/>
  <c r="AN144" i="2"/>
  <c r="AM145" i="2"/>
  <c r="AM146" i="2"/>
  <c r="AN146" i="2"/>
  <c r="AM147" i="2"/>
  <c r="AN147" i="2"/>
  <c r="AM148" i="2"/>
  <c r="AN148" i="2"/>
  <c r="AM149" i="2"/>
  <c r="AN149" i="2"/>
  <c r="AM150" i="2"/>
  <c r="AN150" i="2"/>
  <c r="AM151" i="2"/>
  <c r="AN151" i="2"/>
  <c r="AM152" i="2"/>
  <c r="AN152" i="2"/>
  <c r="AM153" i="2"/>
  <c r="AN153" i="2"/>
  <c r="AM154" i="2"/>
  <c r="AN154" i="2"/>
  <c r="AM155" i="2"/>
  <c r="AN155" i="2"/>
  <c r="AM156" i="2"/>
  <c r="AN156" i="2"/>
  <c r="AM157" i="2"/>
  <c r="AN157" i="2"/>
  <c r="AM158" i="2"/>
  <c r="AN158" i="2"/>
  <c r="AM159" i="2"/>
  <c r="AN159" i="2"/>
  <c r="AM160" i="2"/>
  <c r="AN160" i="2"/>
  <c r="AM161" i="2"/>
  <c r="AN161" i="2"/>
  <c r="AM162" i="2"/>
  <c r="AN162" i="2"/>
  <c r="AM163" i="2"/>
  <c r="AN163" i="2"/>
  <c r="AM164" i="2"/>
  <c r="AN164" i="2"/>
  <c r="AM165" i="2"/>
  <c r="AN165" i="2"/>
  <c r="AM166" i="2"/>
  <c r="AN166" i="2"/>
  <c r="AM167" i="2"/>
  <c r="AN167" i="2"/>
  <c r="AM168" i="2"/>
  <c r="AN168" i="2"/>
  <c r="AM169" i="2"/>
  <c r="AN169" i="2"/>
  <c r="AM170" i="2"/>
  <c r="AN170" i="2"/>
  <c r="AM171" i="2"/>
  <c r="AN171" i="2"/>
  <c r="AM172" i="2"/>
  <c r="AN172" i="2"/>
  <c r="AM173" i="2"/>
  <c r="AN173" i="2"/>
  <c r="AM174" i="2"/>
  <c r="AN174" i="2"/>
  <c r="AM175" i="2"/>
  <c r="AN175" i="2"/>
  <c r="AM176" i="2"/>
  <c r="AN176" i="2"/>
  <c r="AM177" i="2"/>
  <c r="AN177" i="2"/>
  <c r="AM178" i="2"/>
  <c r="AN178" i="2"/>
  <c r="AM179" i="2"/>
  <c r="AN179" i="2"/>
  <c r="AM180" i="2"/>
  <c r="AN180" i="2"/>
  <c r="AM181" i="2"/>
  <c r="AN181" i="2"/>
  <c r="AM182" i="2"/>
  <c r="AN182" i="2"/>
  <c r="AM183" i="2"/>
  <c r="AN183" i="2"/>
  <c r="AM184" i="2"/>
  <c r="AN184" i="2"/>
  <c r="AM185" i="2"/>
  <c r="AN185" i="2"/>
  <c r="AM186" i="2"/>
  <c r="AN186" i="2"/>
  <c r="AM187" i="2"/>
  <c r="AN187" i="2"/>
  <c r="AM188" i="2"/>
  <c r="AN188" i="2"/>
  <c r="AM189" i="2"/>
  <c r="AN189" i="2"/>
  <c r="AM190" i="2"/>
  <c r="AN190" i="2"/>
  <c r="AM191" i="2"/>
  <c r="AN191" i="2"/>
  <c r="AM192" i="2"/>
  <c r="AN192" i="2"/>
  <c r="AM193" i="2"/>
  <c r="AN193" i="2"/>
  <c r="AM194" i="2"/>
  <c r="AN194" i="2"/>
  <c r="AM195" i="2"/>
  <c r="AN195" i="2"/>
  <c r="AM196" i="2"/>
  <c r="AN196" i="2"/>
  <c r="AM197" i="2"/>
  <c r="AN197" i="2"/>
  <c r="AM198" i="2"/>
  <c r="AN198" i="2"/>
  <c r="AM199" i="2"/>
  <c r="AN199" i="2"/>
  <c r="AM200" i="2"/>
  <c r="AN200" i="2"/>
  <c r="AM201" i="2"/>
  <c r="AN201" i="2"/>
  <c r="AM202" i="2"/>
  <c r="AN202" i="2"/>
  <c r="AN203" i="2"/>
  <c r="AM204" i="2"/>
  <c r="AN204" i="2"/>
  <c r="AM206" i="2"/>
  <c r="AN206" i="2"/>
  <c r="AM207" i="2"/>
  <c r="AN207" i="2"/>
  <c r="AM208" i="2"/>
  <c r="AN208" i="2"/>
  <c r="AM209" i="2"/>
  <c r="AN209" i="2"/>
  <c r="AM210" i="2"/>
  <c r="AN210" i="2"/>
  <c r="AM211" i="2"/>
  <c r="AN211" i="2"/>
  <c r="AM212" i="2"/>
  <c r="AN212" i="2"/>
  <c r="AM213" i="2"/>
  <c r="AN213" i="2"/>
  <c r="AM214" i="2"/>
  <c r="AN214" i="2"/>
  <c r="AM215" i="2"/>
  <c r="AN215" i="2"/>
  <c r="AM216" i="2"/>
  <c r="AN216" i="2"/>
  <c r="AM217" i="2"/>
  <c r="AN217" i="2"/>
  <c r="AM218" i="2"/>
  <c r="AN218" i="2"/>
  <c r="AM219" i="2"/>
  <c r="AN219" i="2"/>
  <c r="AM220" i="2"/>
  <c r="AN220" i="2"/>
  <c r="AM221" i="2"/>
  <c r="AN221" i="2"/>
  <c r="AM222" i="2"/>
  <c r="AN222" i="2"/>
  <c r="AM223" i="2"/>
  <c r="AN223" i="2"/>
  <c r="AM224" i="2"/>
  <c r="AN224" i="2"/>
  <c r="AM225" i="2"/>
  <c r="AN225" i="2"/>
  <c r="AM226" i="2"/>
  <c r="AN226" i="2"/>
  <c r="AM227" i="2"/>
  <c r="AN227" i="2"/>
  <c r="AM228" i="2"/>
  <c r="AN228" i="2"/>
  <c r="AM229" i="2"/>
  <c r="AN229" i="2"/>
  <c r="AM230" i="2"/>
  <c r="AN230" i="2"/>
  <c r="AM231" i="2"/>
  <c r="AN231" i="2"/>
  <c r="AM232" i="2"/>
  <c r="AN232" i="2"/>
  <c r="AM234" i="2"/>
  <c r="AN234" i="2"/>
  <c r="AM235" i="2"/>
  <c r="AN235" i="2"/>
  <c r="AM236" i="2"/>
  <c r="AN236" i="2"/>
  <c r="AM237" i="2"/>
  <c r="AN237" i="2"/>
  <c r="AM238" i="2"/>
  <c r="AN238" i="2"/>
  <c r="AM239" i="2"/>
  <c r="AN239" i="2"/>
  <c r="AM240" i="2"/>
  <c r="AN240" i="2"/>
  <c r="AM241" i="2"/>
  <c r="AN241" i="2"/>
  <c r="AM242" i="2"/>
  <c r="AN242" i="2"/>
  <c r="AM243" i="2"/>
  <c r="AN243" i="2"/>
  <c r="AM244" i="2"/>
  <c r="AN244" i="2"/>
  <c r="AM245" i="2"/>
  <c r="AN245" i="2"/>
  <c r="AM246" i="2"/>
  <c r="AN246" i="2"/>
  <c r="AM247" i="2"/>
  <c r="AN247" i="2"/>
  <c r="AM248" i="2"/>
  <c r="AN248" i="2"/>
  <c r="AM249" i="2"/>
  <c r="AN249" i="2"/>
  <c r="AM250" i="2"/>
  <c r="AN250" i="2"/>
  <c r="AM251" i="2"/>
  <c r="AN251" i="2"/>
  <c r="AM252" i="2"/>
  <c r="AN252" i="2"/>
  <c r="AM253" i="2"/>
  <c r="AN253" i="2"/>
  <c r="AM254" i="2"/>
  <c r="AN254" i="2"/>
  <c r="AM255" i="2"/>
  <c r="AN255" i="2"/>
  <c r="AM256" i="2"/>
  <c r="AN256" i="2"/>
  <c r="AM257" i="2"/>
  <c r="AN257" i="2"/>
  <c r="AM258" i="2"/>
  <c r="AN258" i="2"/>
  <c r="AM259" i="2"/>
  <c r="AN259" i="2"/>
  <c r="AM260" i="2"/>
  <c r="AN260" i="2"/>
  <c r="AM261" i="2"/>
  <c r="AN261" i="2"/>
  <c r="AM262" i="2"/>
  <c r="AN262" i="2"/>
  <c r="AM263" i="2"/>
  <c r="AN263" i="2"/>
  <c r="AM264" i="2"/>
  <c r="AN264" i="2"/>
  <c r="AM265" i="2"/>
  <c r="AN265" i="2"/>
  <c r="AM266" i="2"/>
  <c r="AN266" i="2"/>
  <c r="AM267" i="2"/>
  <c r="AN267" i="2"/>
  <c r="AM268" i="2"/>
  <c r="AN268" i="2"/>
  <c r="AM269" i="2"/>
  <c r="AN269" i="2"/>
  <c r="AM270" i="2"/>
  <c r="AN270" i="2"/>
  <c r="AM271" i="2"/>
  <c r="AN271" i="2"/>
  <c r="AM272" i="2"/>
  <c r="AN272" i="2"/>
  <c r="AM273" i="2"/>
  <c r="AN273" i="2"/>
  <c r="AM274" i="2"/>
  <c r="AN274" i="2"/>
  <c r="AM275" i="2"/>
  <c r="AN275" i="2"/>
  <c r="AM276" i="2"/>
  <c r="AN276" i="2"/>
  <c r="AM277" i="2"/>
  <c r="AN277" i="2"/>
  <c r="AM278" i="2"/>
  <c r="AN278" i="2"/>
  <c r="AM279" i="2"/>
  <c r="AN279" i="2"/>
  <c r="AM280" i="2"/>
  <c r="AN280" i="2"/>
  <c r="AM281" i="2"/>
  <c r="AN281" i="2"/>
  <c r="AM282" i="2"/>
  <c r="AN282" i="2"/>
  <c r="AM283" i="2"/>
  <c r="AN283" i="2"/>
  <c r="AM284" i="2"/>
  <c r="AN284" i="2"/>
  <c r="AM285" i="2"/>
  <c r="AN285" i="2"/>
  <c r="AM286" i="2"/>
  <c r="AN286" i="2"/>
  <c r="AM287" i="2"/>
  <c r="AN287" i="2"/>
  <c r="AM288" i="2"/>
  <c r="AN288" i="2"/>
  <c r="AM289" i="2"/>
  <c r="AN289" i="2"/>
  <c r="AM290" i="2"/>
  <c r="AN290" i="2"/>
  <c r="AM291" i="2"/>
  <c r="AN291" i="2"/>
  <c r="AM292" i="2"/>
  <c r="AN292" i="2"/>
  <c r="AM293" i="2"/>
  <c r="AN293" i="2"/>
  <c r="AM294" i="2"/>
  <c r="AN294" i="2"/>
  <c r="AM295" i="2"/>
  <c r="AN295" i="2"/>
  <c r="AM333" i="2"/>
  <c r="AN333" i="2"/>
  <c r="AM334" i="2"/>
  <c r="AN334" i="2"/>
  <c r="AM336" i="2"/>
  <c r="AN336" i="2"/>
  <c r="AM337" i="2"/>
  <c r="AN337" i="2"/>
  <c r="AM338" i="2"/>
  <c r="AN338" i="2"/>
  <c r="AM339" i="2"/>
  <c r="AN339" i="2"/>
  <c r="AM340" i="2"/>
  <c r="AN340" i="2"/>
  <c r="AM341" i="2"/>
  <c r="AN341" i="2"/>
  <c r="AM342" i="2"/>
  <c r="AN342" i="2"/>
  <c r="AM343" i="2"/>
  <c r="AN343" i="2"/>
  <c r="AM344" i="2"/>
  <c r="AN344" i="2"/>
  <c r="AM345" i="2"/>
  <c r="AN345" i="2"/>
  <c r="AM346" i="2"/>
  <c r="AM347" i="2"/>
  <c r="AN347" i="2"/>
  <c r="AN348" i="2"/>
  <c r="AM349" i="2"/>
  <c r="AN349" i="2"/>
  <c r="AM350" i="2"/>
  <c r="AN350" i="2"/>
  <c r="AM351" i="2"/>
  <c r="AN351" i="2"/>
  <c r="AM352" i="2"/>
  <c r="AN352" i="2"/>
  <c r="AM356" i="2"/>
  <c r="AN356" i="2"/>
  <c r="AM357" i="2"/>
  <c r="AN357" i="2"/>
  <c r="AM358" i="2"/>
  <c r="AN358" i="2"/>
  <c r="AM359" i="2"/>
  <c r="AN359" i="2"/>
  <c r="AM360" i="2"/>
  <c r="AN360" i="2"/>
  <c r="AM361" i="2"/>
  <c r="AN361" i="2"/>
  <c r="AM362" i="2"/>
  <c r="AN362" i="2"/>
  <c r="AM363" i="2"/>
  <c r="AN363" i="2"/>
  <c r="AM364" i="2"/>
  <c r="AN364" i="2"/>
  <c r="AM365" i="2"/>
  <c r="AN365" i="2"/>
  <c r="AM366" i="2"/>
  <c r="AN366" i="2"/>
  <c r="AM367" i="2"/>
  <c r="AN367" i="2"/>
  <c r="AM368" i="2"/>
  <c r="AN368" i="2"/>
  <c r="AM369" i="2"/>
  <c r="AN369" i="2"/>
  <c r="AM370" i="2"/>
  <c r="AN370" i="2"/>
  <c r="AM371" i="2"/>
  <c r="AN371" i="2"/>
  <c r="AM372" i="2"/>
  <c r="AN372" i="2"/>
  <c r="AM373" i="2"/>
  <c r="AN373" i="2"/>
  <c r="AM374" i="2"/>
  <c r="AN374" i="2"/>
  <c r="AM375" i="2"/>
  <c r="AN375" i="2"/>
  <c r="AM376" i="2"/>
  <c r="AN376" i="2"/>
  <c r="AM377" i="2"/>
  <c r="AN377" i="2"/>
  <c r="AM378" i="2"/>
  <c r="AN378" i="2"/>
  <c r="L133" i="12" l="1"/>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alcChain>
</file>

<file path=xl/sharedStrings.xml><?xml version="1.0" encoding="utf-8"?>
<sst xmlns="http://schemas.openxmlformats.org/spreadsheetml/2006/main" count="14017" uniqueCount="2029">
  <si>
    <t>Insprint Yes/No</t>
  </si>
  <si>
    <t>Yes</t>
  </si>
  <si>
    <t>(Multiple Items)</t>
  </si>
  <si>
    <t>Module count for Mar 28 insprint</t>
  </si>
  <si>
    <t>PT Lead</t>
  </si>
  <si>
    <t>(All)</t>
  </si>
  <si>
    <t>PT lead</t>
  </si>
  <si>
    <t>No of US for insprint</t>
  </si>
  <si>
    <t>Modules Count</t>
  </si>
  <si>
    <t>Module names</t>
  </si>
  <si>
    <t>ETA for pipeline readiness for Prod</t>
  </si>
  <si>
    <t>Excluded code from</t>
  </si>
  <si>
    <t>Count of Parent Title</t>
  </si>
  <si>
    <t>Column Labels</t>
  </si>
  <si>
    <t>Row Labels</t>
  </si>
  <si>
    <t>Pirtheebaa</t>
  </si>
  <si>
    <t>PCAT Dashboard
Learn
SA Team manager
View MMS Details
Opportunity Workflow
Manage SA
Review Approval
Transition To Delivery
Define Team
WRWS
Estimators/Calculators</t>
  </si>
  <si>
    <t>completed</t>
  </si>
  <si>
    <t>No</t>
  </si>
  <si>
    <t>Grand Total</t>
  </si>
  <si>
    <t>Values</t>
  </si>
  <si>
    <t>Prompt related testing</t>
  </si>
  <si>
    <t>Himanshu</t>
  </si>
  <si>
    <t>PLD</t>
  </si>
  <si>
    <t>no</t>
  </si>
  <si>
    <t>Anand</t>
  </si>
  <si>
    <t>Insprint Tester</t>
  </si>
  <si>
    <t>Average of If insprint YES - % of completion</t>
  </si>
  <si>
    <t>Email functionality</t>
  </si>
  <si>
    <t>Shini</t>
  </si>
  <si>
    <t>BPMS and DCSO</t>
  </si>
  <si>
    <t>Mar 24 EOD</t>
  </si>
  <si>
    <t>Devika</t>
  </si>
  <si>
    <t>Mary.jacob</t>
  </si>
  <si>
    <t>Excel functionality</t>
  </si>
  <si>
    <t>SI Online</t>
  </si>
  <si>
    <t>Hajara</t>
  </si>
  <si>
    <t>sagarika.a.singh</t>
  </si>
  <si>
    <t>IMS BAU</t>
  </si>
  <si>
    <t>Nandini</t>
  </si>
  <si>
    <t>Estimator Calculator Workflow, Value Shaping, Asset Calculator,Automation Calculator</t>
  </si>
  <si>
    <t>PR pending</t>
  </si>
  <si>
    <t>pavithra.b.palani</t>
  </si>
  <si>
    <t>PBI report validation</t>
  </si>
  <si>
    <t>GEN AI</t>
  </si>
  <si>
    <t>Mar 26 EOD</t>
  </si>
  <si>
    <t>Jaya</t>
  </si>
  <si>
    <t>abhijit.a.nandi</t>
  </si>
  <si>
    <t>External Team Integration</t>
  </si>
  <si>
    <t>Leena</t>
  </si>
  <si>
    <t>DSP</t>
  </si>
  <si>
    <t>In progress</t>
  </si>
  <si>
    <t>Kavi</t>
  </si>
  <si>
    <t>v.b.sivakumar</t>
  </si>
  <si>
    <t>PPT/PDF Validation</t>
  </si>
  <si>
    <t>AMS_OCP_DCTA</t>
  </si>
  <si>
    <t>amresh.l.kumar</t>
  </si>
  <si>
    <t>Too many screen validation involved and complex to automate within insprint timeline</t>
  </si>
  <si>
    <t>SI OCP, DCTA-MMP</t>
  </si>
  <si>
    <t>pending 2 stories will not be considered . They can be run stand alone by insprint testers</t>
  </si>
  <si>
    <t>navya.majji</t>
  </si>
  <si>
    <t>OBM (GEN AI) Not possible to automate</t>
  </si>
  <si>
    <t>Omkar</t>
  </si>
  <si>
    <t>Anitha.a.ramesh</t>
  </si>
  <si>
    <t>Full regression required</t>
  </si>
  <si>
    <t>Raji</t>
  </si>
  <si>
    <t>s.af.natarajan</t>
  </si>
  <si>
    <t>BPMS BAU</t>
  </si>
  <si>
    <t>Rajeswari</t>
  </si>
  <si>
    <t>anusha.goriparthi</t>
  </si>
  <si>
    <t>One time update related</t>
  </si>
  <si>
    <t>sathya.senthilkumar</t>
  </si>
  <si>
    <t>UI alignment and Font related</t>
  </si>
  <si>
    <t>Surbhi</t>
  </si>
  <si>
    <t>arun.thangapandian</t>
  </si>
  <si>
    <t>Story added Last 7 days of release</t>
  </si>
  <si>
    <t>Vaidheki</t>
  </si>
  <si>
    <t>a.nanditha.uddaraju</t>
  </si>
  <si>
    <t>(blank)</t>
  </si>
  <si>
    <t>ayush.ad.singh</t>
  </si>
  <si>
    <t>nalluri.vishnupriya</t>
  </si>
  <si>
    <t>bandi.sunanda</t>
  </si>
  <si>
    <t>nitish.kumar.prusty</t>
  </si>
  <si>
    <t>Bhavana.reddy.alla</t>
  </si>
  <si>
    <t>r.yuvanitharsana</t>
  </si>
  <si>
    <t>divya.belli</t>
  </si>
  <si>
    <t>s.manmit.vanarase</t>
  </si>
  <si>
    <t>divya.sree.chatla</t>
  </si>
  <si>
    <t>sangeetha.pandian</t>
  </si>
  <si>
    <t>ganga.m.reddy.padala</t>
  </si>
  <si>
    <t>ShaliniB.Pandey</t>
  </si>
  <si>
    <t>gayatri.korikana</t>
  </si>
  <si>
    <t>vadde.veena.sree</t>
  </si>
  <si>
    <t>guddeti.srilekha</t>
  </si>
  <si>
    <t>Manisha.m.sharma</t>
  </si>
  <si>
    <t>h.anbalagan.deepa</t>
  </si>
  <si>
    <t>mohammad.samreen</t>
  </si>
  <si>
    <t>h.kouser</t>
  </si>
  <si>
    <t>namrata.g.umardand</t>
  </si>
  <si>
    <t>harish.vijiyakumar</t>
  </si>
  <si>
    <t>nithish.mode</t>
  </si>
  <si>
    <t>haritha.bomma.reddy</t>
  </si>
  <si>
    <t>p.haribhau.tadke</t>
  </si>
  <si>
    <t>ihsana.p.abdulla</t>
  </si>
  <si>
    <t>pawan.m.kumar.singh</t>
  </si>
  <si>
    <t>jabeen.iqbal</t>
  </si>
  <si>
    <t>reshmi.doddi</t>
  </si>
  <si>
    <t>jothika.sundaram</t>
  </si>
  <si>
    <t>s.boya.kumarii</t>
  </si>
  <si>
    <t>k.p.palanisamy</t>
  </si>
  <si>
    <t>s.namdev.suryawanshi</t>
  </si>
  <si>
    <t>k.tamilzharasu</t>
  </si>
  <si>
    <t>sai.priyanka.vasa</t>
  </si>
  <si>
    <t>khageswar.nayak</t>
  </si>
  <si>
    <t>santhwana.m.r</t>
  </si>
  <si>
    <t>komal.balu.darekar</t>
  </si>
  <si>
    <t>shaik.yasin</t>
  </si>
  <si>
    <t>lakshmi.e.j</t>
  </si>
  <si>
    <t>sushmeta.rajkumar</t>
  </si>
  <si>
    <t>logapriya.govindaraj</t>
  </si>
  <si>
    <t>v.uma.maheswari</t>
  </si>
  <si>
    <t>m.ishwar.jaxanni</t>
  </si>
  <si>
    <t>Vinayak.sangale</t>
  </si>
  <si>
    <t>m.sheik.fusulee.a</t>
  </si>
  <si>
    <t>manisa.bid</t>
  </si>
  <si>
    <t>Vinesha.ravi</t>
  </si>
  <si>
    <t>sohana.khan</t>
  </si>
  <si>
    <t>karnati.aruna.jyothi</t>
  </si>
  <si>
    <t>User story Freeze Date</t>
  </si>
  <si>
    <t>Cut off for PT hand over</t>
  </si>
  <si>
    <t>Cut off for UAT hand over</t>
  </si>
  <si>
    <t>UAT Completion</t>
  </si>
  <si>
    <t>Functional Bug closure</t>
  </si>
  <si>
    <t>Regression</t>
  </si>
  <si>
    <r>
      <t>Regression bug Closure</t>
    </r>
    <r>
      <rPr>
        <sz val="12"/>
        <color rgb="FF000000"/>
        <rFont val="Aptos"/>
        <family val="2"/>
      </rPr>
      <t xml:space="preserve"> </t>
    </r>
  </si>
  <si>
    <t>Code Freeze</t>
  </si>
  <si>
    <t>Initial GNG decision</t>
  </si>
  <si>
    <t>Final Go/No Go Decision</t>
  </si>
  <si>
    <t>Final Go-Live</t>
  </si>
  <si>
    <t>19-Mar to 23-Mar</t>
  </si>
  <si>
    <t>Module (TextVerification)</t>
  </si>
  <si>
    <t>Parent Title</t>
  </si>
  <si>
    <t>Feature ID</t>
  </si>
  <si>
    <t>Title</t>
  </si>
  <si>
    <t>ID</t>
  </si>
  <si>
    <t>Primary Tester</t>
  </si>
  <si>
    <t>Secondary Tester</t>
  </si>
  <si>
    <t>If Insprint NO - Reason</t>
  </si>
  <si>
    <t>Pre defined No Reason</t>
  </si>
  <si>
    <t>Complexity</t>
  </si>
  <si>
    <t>In sprint test case count</t>
  </si>
  <si>
    <t>If insprint YES - % of completion</t>
  </si>
  <si>
    <t>Automated cases generated from GHC</t>
  </si>
  <si>
    <t>Useful Automated cases from GHC</t>
  </si>
  <si>
    <t>Tester created automated count (not given by GHC)</t>
  </si>
  <si>
    <t>Reviwed Final automation count</t>
  </si>
  <si>
    <t>Coverage for automated test case from GHC%</t>
  </si>
  <si>
    <t>Accuracy of Automated Test case from GHC%</t>
  </si>
  <si>
    <t>Test Planning</t>
  </si>
  <si>
    <t>BA Review</t>
  </si>
  <si>
    <t>TFS upload</t>
  </si>
  <si>
    <t>PT Status</t>
  </si>
  <si>
    <t>Manual Test cases generated from GHC</t>
  </si>
  <si>
    <t>Useful Test cases from GHC</t>
  </si>
  <si>
    <t>Tester Created test case count</t>
  </si>
  <si>
    <t>Reviwed Final Test case count</t>
  </si>
  <si>
    <t>Coverage for Manual Test cases from GHC%</t>
  </si>
  <si>
    <t>Accuracy for Manual test cases from GHC%</t>
  </si>
  <si>
    <t>TFS state</t>
  </si>
  <si>
    <t>Passed</t>
  </si>
  <si>
    <t>Failed</t>
  </si>
  <si>
    <t>Blocked</t>
  </si>
  <si>
    <t>Not Run</t>
  </si>
  <si>
    <t>Total</t>
  </si>
  <si>
    <t>Execution %</t>
  </si>
  <si>
    <t>Pass %</t>
  </si>
  <si>
    <t>Comments</t>
  </si>
  <si>
    <t>Node Name</t>
  </si>
  <si>
    <t>MPOC</t>
  </si>
  <si>
    <t>Value Shaping - As a myISP user, I want to introduce a new role "V2V Configurator" that lands on the dashboard with an action available in the Tools section, so that SMEs can navigate to the Configurator Value Tree link and configure Value Tree templates</t>
  </si>
  <si>
    <t>Pawan</t>
  </si>
  <si>
    <t>Yasin</t>
  </si>
  <si>
    <t>Medium</t>
  </si>
  <si>
    <t>Completed</t>
  </si>
  <si>
    <t>As a myISP user I should be able to see expand and collapse icon in Estimator and calculator screen as per UI revamp standards</t>
  </si>
  <si>
    <t>Yuvani</t>
  </si>
  <si>
    <t>Sunanda</t>
  </si>
  <si>
    <t>bugid :4427095</t>
  </si>
  <si>
    <t>Value Shaping -As a myISP User - V2V Configurator - I want to access the Estimators/Calculators in read-only mode and navigate using the fixed breadcrumb path so that I can maintain workflow continuity.</t>
  </si>
  <si>
    <t>Srilekha</t>
  </si>
  <si>
    <t>Yasin/Reshmi</t>
  </si>
  <si>
    <t>Complex</t>
  </si>
  <si>
    <t>As a myISP user working on automation ROI section I want AD and AM views to mirror the Productivity Assessment layout (lever/sub-lever grid with Y1H1-Y5H5 periods) and auto-populate values based on PA completion status</t>
  </si>
  <si>
    <t>Soundhar</t>
  </si>
  <si>
    <t>Yuvani/Sunanda</t>
  </si>
  <si>
    <r>
      <t xml:space="preserve">Data validation is highly complex because the required information is integrated directly from the </t>
    </r>
    <r>
      <rPr>
        <b/>
        <sz val="9"/>
        <color rgb="FF000000"/>
        <rFont val="Aptos Narrow"/>
        <family val="2"/>
      </rPr>
      <t>R2 (PA) screen</t>
    </r>
    <r>
      <rPr>
        <sz val="9"/>
        <color rgb="FF000000"/>
        <rFont val="Aptos Narrow"/>
        <family val="2"/>
      </rPr>
      <t xml:space="preserve">, </t>
    </r>
    <r>
      <rPr>
        <b/>
        <sz val="9"/>
        <color rgb="FF000000"/>
        <rFont val="Aptos Narrow"/>
        <family val="2"/>
      </rPr>
      <t>to Calc ROI screen ,Specific SG‑based criteria, scenario‑dependent,</t>
    </r>
  </si>
  <si>
    <t>As a myISP user, I want all sections in the Summary tab to be displayed as accordions with expand and collapse functionality, So that I can easily navigate and review specific sections without clutter.</t>
  </si>
  <si>
    <t>Value Shaping � As a myISP user, I want to be navigated to the Configurator Dashboard landing page when I click on the Tools link, so that I can continue creating the Value Tree.</t>
  </si>
  <si>
    <t>Reshmi</t>
  </si>
  <si>
    <t>As a myISP user I want the revamped Summary screen to include an overall summary and a ROI section that is a replica of the ROI screen with all sections So that the Summary PDF download contains all newly introduced revamp changes without missing data.</t>
  </si>
  <si>
    <t>Value Shaping - [SVP] As a myISP user, I want SOP Input values linked in configurator link to be automatically populated for KPIs across a value tree , so that usability is improved and manual effort is reduced.</t>
  </si>
  <si>
    <t>In Progress</t>
  </si>
  <si>
    <t>As a myISP user, I want the system to automatically calculate AD and AM Assessment productivity values using a default tech stack split of 50% Custom and 50% Package in the ROI tab</t>
  </si>
  <si>
    <t>ramya</t>
  </si>
  <si>
    <t>As a myISP user, I want to view a new Overall Summary section that consolidates key cost metrics, So that I can quickly review the overall financial view before validation or submission.</t>
  </si>
  <si>
    <t>Rohitha</t>
  </si>
  <si>
    <t>As a myISP user viewing the ROI screen in the Automation Calculator I want to see Agentic AI productivity as a separate lever alongside Opera and Gen AI with a combined yearly breakdown view</t>
  </si>
  <si>
    <r>
      <rPr>
        <sz val="9"/>
        <color rgb="FF000000"/>
        <rFont val="Aptos Narrow"/>
        <family val="2"/>
      </rPr>
      <t xml:space="preserve">Data validation is highly complex because the required information is integrated directly from the </t>
    </r>
    <r>
      <rPr>
        <b/>
        <sz val="9"/>
        <color rgb="FF000000"/>
        <rFont val="Aptos Narrow"/>
        <family val="2"/>
      </rPr>
      <t>R2 (PA) screen</t>
    </r>
    <r>
      <rPr>
        <sz val="9"/>
        <color rgb="FF000000"/>
        <rFont val="Aptos Narrow"/>
        <family val="2"/>
      </rPr>
      <t xml:space="preserve">, </t>
    </r>
    <r>
      <rPr>
        <b/>
        <sz val="9"/>
        <color rgb="FF000000"/>
        <rFont val="Aptos Narrow"/>
        <family val="2"/>
      </rPr>
      <t>to Calc ROI screen ,Specific SG‑based criteria, scenario‑dependent,</t>
    </r>
  </si>
  <si>
    <t>Value Shaping - As a myISP User - V2V Configurator - I want to access the Value Shaping tile in read-only mode and navigate using the fixed breadcrumb path so that I can maintain workflow continuity.</t>
  </si>
  <si>
    <t>Samreen</t>
  </si>
  <si>
    <t>As a myISP user I want to see a clear system message when Productivity Assessment is not submitted for an eligible deal So that I understand that default productivity values are being applied</t>
  </si>
  <si>
    <t>Value Shaping - As a myISP user, I should be able to download output (Benchmark and size of prize View) as PDF from summary screen of SVP page, so that it can be used for other purposes</t>
  </si>
  <si>
    <t>cannot automate, verifying downloaded PDF sheet data with UI</t>
  </si>
  <si>
    <t>[Asset Calculator] - As a myISP User I want to implement Platform Asset Blueprint � Oracle &amp; Platform Asset Blueprint � SAP Assets as taggable assets so that it aligns with business changes and the new design reframe</t>
  </si>
  <si>
    <t>Yuvani/Soundhar</t>
  </si>
  <si>
    <t>Value Shaping - As a myISP user, I should be able to download output (Global View) as PDF from summary screen of SVP page, so that it can be used for other purposes</t>
  </si>
  <si>
    <t>cannot automate, verifying downloaded PDF data with UI</t>
  </si>
  <si>
    <t>Value Shaping - As a myISP user, I want to export the current benchmark table data So that I can perform bulk updates efficiently while preserving data integrity and validation rules.</t>
  </si>
  <si>
    <t>UAT In Test</t>
  </si>
  <si>
    <t>Value Shaping - As a myISP user, I want to enable import benchmark functionality so that I can import updated records back into Configurator Link for SA to update and modify the data efficiently based on changing requirements.</t>
  </si>
  <si>
    <t>cannot automate, verifying downloaded excel sheet data with UI</t>
  </si>
  <si>
    <t>Value Shaping - [Configurator Link ]As a myISP user, I want to link the SOP inputs with client baseline and benchmark values so that user configuring value tree is improved</t>
  </si>
  <si>
    <t>[Asset Calculator] As a myISP ,I want to implement Other Assets Accordion in Asset Catalog as taggable asset so that Asset Calculator can have this as taggable asset</t>
  </si>
  <si>
    <t>This US needs to be validated for all SG and we will have to cover multiple combinations to achieve 100% automation which is very complex</t>
  </si>
  <si>
    <t>As a myIntegrated Solution Planner User, I want to de-tag the GenWizard Assets and Platforms under differentiation in SI so that acceptance criteria are achieved.</t>
  </si>
  <si>
    <t>Sunanda/Soundhar</t>
  </si>
  <si>
    <t>Need to compare the data in two excel file</t>
  </si>
  <si>
    <t>Value Shaping - (MFHost)As a myISP User - Configurator V2V - I want to access all myISP screens as per SME role, read-only mode and navigate using the fixed breadcrumb path so that I can maintain workflow continuity</t>
  </si>
  <si>
    <t>This US includes Navigation to all tiles</t>
  </si>
  <si>
    <t>PT In Test</t>
  </si>
  <si>
    <t>As a myISP user, I want the ROI section in the Summary tab to include all subsections from the ROI screen, So that I can review Agentic, Opera AI, and Gen AI percentage breakdowns across years and contract duration, along with the graphical representation</t>
  </si>
  <si>
    <t>Impact Check: As a Myisp user, I want the role "Enterprise SA" to be renamed to "Market Maker ESA" in myISP So that the role name clearly reflects the Market Make ESA in Value Shaping module.</t>
  </si>
  <si>
    <t>Roles are getting deactivated which cant be automatable</t>
  </si>
  <si>
    <t xml:space="preserve"> </t>
  </si>
  <si>
    <t>As an Advisory song SA, I want to access the Value Shaping tile in read-only mode so that I can maintain and view workflow continuity.</t>
  </si>
  <si>
    <t>As a myISP Solution Architect, I want to see the What Are We Solving For - MFE App migrated to Angular 21</t>
  </si>
  <si>
    <t>Vinayak</t>
  </si>
  <si>
    <t>Sadhik</t>
  </si>
  <si>
    <t>Angular Upgrade can be covered in regression testing.</t>
  </si>
  <si>
    <t>As a myISP Solution Architect, I want to see the Revamp Assessment App migrated to Angular 21</t>
  </si>
  <si>
    <t>Mary</t>
  </si>
  <si>
    <t>Angular Migration</t>
  </si>
  <si>
    <t>As a mysp user, I want to view the newly assigned MMS IDs at the top on the opportunities Table so that acceptance criteria are achieved.</t>
  </si>
  <si>
    <t>Shalini</t>
  </si>
  <si>
    <t>Bhavana</t>
  </si>
  <si>
    <t>Session Timeout Check</t>
  </si>
  <si>
    <t>Not Started</t>
  </si>
  <si>
    <t>Opportunity Workflow</t>
  </si>
  <si>
    <t>As a myISP User, I should be able to see the timestamp for the "Updated On" field in the View History of the Status Update screen so that I can accurately track when changes were made</t>
  </si>
  <si>
    <t>Namrata</t>
  </si>
  <si>
    <t>Manisha</t>
  </si>
  <si>
    <t>yes</t>
  </si>
  <si>
    <t>As a myISP user, I want the ability to search content using hashtags and information from inside pages, so that I can quickly locate relevant learning materials and resources without having to navigate through multiple pages.</t>
  </si>
  <si>
    <t>Saranya</t>
  </si>
  <si>
    <t>As a my Solution planner Solution Architect, I want the Alignment field to be enabled for Operations deployment in Register now pop up with an updated dropdown list , so that user can select specific alignment</t>
  </si>
  <si>
    <t>Email Functionality , register now popup</t>
  </si>
  <si>
    <t>As a my Solution planner Solution Architect, I want the Alignment field to be enabled for Operations Deployment with an updated dropdown list in pending user requests tab, so that user can select specific alignment</t>
  </si>
  <si>
    <t>n.selvakumar</t>
  </si>
  <si>
    <t>One time update</t>
  </si>
  <si>
    <t>As a my Solution planner Solution Architect, I want the POCs to be changed based on Deployment and Market in pending user requests tab, So that Approver/Rejection mail is sent to correct POCs</t>
  </si>
  <si>
    <t>As a my Solution planner Solution Architect, I want the POCs to be changed based on Deployment and Market in Register now pop up, So that Approver/Rejection mail is sent to correct POCs</t>
  </si>
  <si>
    <t>As a my Solution planner Solution Architect, I want the Registration pop-up to include the mentioned changes for Adding and updating fields ,so that users are able to see the required changes</t>
  </si>
  <si>
    <t>As a myISP User, I should be able to see the SG Revenue($M) value displayed in dollar millions with proper comma formatting in all raise request emails so that the recipients can quickly understand and interpret the revenue</t>
  </si>
  <si>
    <t>Email Functionality</t>
  </si>
  <si>
    <t>Delivered for UAT</t>
  </si>
  <si>
    <t>As a myISP user, I want to see new steps added under the Solution Components &amp; Define team tabs when the Gen-AI toggle is enabled.</t>
  </si>
  <si>
    <t>View MMS Details</t>
  </si>
  <si>
    <t>As a MyISP user reviewing MMS Details, I want to see a Rolled‑Up Revenue view by Service Group (AMS, IMS, etc.) under the Deal Hierarchy section, so that I can easily understand the combined revenue of parent and child for each service group</t>
  </si>
  <si>
    <t>Janardhan</t>
  </si>
  <si>
    <t>As a MySP user, I want the "Add Event" button to be positioned in the top-right corner of the My Calendar screen popup So that I can quickly and intuitively create a new event without scrolling or searching for the action</t>
  </si>
  <si>
    <t>UI Design Change, can not be validated</t>
  </si>
  <si>
    <t>As a Myisp user, I want the role "Enterprise SA" to be renamed to "Market Maker ESA" in myISP So that the role name clearly reflects the Market Make ESA in across myISP.</t>
  </si>
  <si>
    <t>Related to MMS External app</t>
  </si>
  <si>
    <t>As a myISP user, I should be able to enable one text area for "Advisory SA - Song" role to add the comment in the "Status Update" screen from "Log Status" Ui for Song Service Status</t>
  </si>
  <si>
    <t>Delivered To UAT</t>
  </si>
  <si>
    <t>Manage SA</t>
  </si>
  <si>
    <t>As a myIntegrated Solution Planner User, I want to rename "Solution To Win Approach " value to "Solution To Win Score" inside Utilities tile under manage so that acceptance criteria are achieved.</t>
  </si>
  <si>
    <t>Simple</t>
  </si>
  <si>
    <t>As a my Solution planner Solution Architect, I want the SA team manager screen to include the mentioned changes for Adding and updating fields ,so that users are able to see the required changes</t>
  </si>
  <si>
    <t>One time update included</t>
  </si>
  <si>
    <t>Define Team</t>
  </si>
  <si>
    <t>As a Myisp user, I want the role Sync "Advisory SA - Song" role in define team screen under SA category So that the assigned role name populate in define team as read only.</t>
  </si>
  <si>
    <t>Partially can we automated
interlinked with PLD Screen</t>
  </si>
  <si>
    <t>As a myISP user, I want to see �BPMS� as a support option alongside AMS, SI, and IMS in both the �Email� and �Raise a Ticket� support sections So that I can easily raise BPMS-related support requests.</t>
  </si>
  <si>
    <t>Review Approval</t>
  </si>
  <si>
    <t>Impact Check: As a Myisp user, I want the role "Enterprise SA" to be renamed to "Market Maker ESA" in myISP So that the role name clearly reflects the Market Make ESA in Solution Review &amp; Approvals and Reporting &amp; Compliance screens</t>
  </si>
  <si>
    <t>Anitha</t>
  </si>
  <si>
    <t>As a Solution Architect, I want the ability to enter decimal values in the FTE and LCR fields under the Tier 2 City tab</t>
  </si>
  <si>
    <t>As a MYISP developer, I want to Restrict Tier 2 City Selection to Single Option for AMS, SI &amp; IMS SG</t>
  </si>
  <si>
    <t>As a myISP user, I want to enable "KDA Adherence Score - Status" for IMS SG in reporting &amp; compliance section</t>
  </si>
  <si>
    <t>AMS - Generative AI Tab: As a mySolutionPlanner developer, I want to make enhancement changes in Generative AI tab for AMS service group, so that the issues that are currently faced by SAs are resolved.</t>
  </si>
  <si>
    <t>Opportunities</t>
  </si>
  <si>
    <t>Song Compliant Logic Update - As a myISP User, I want to update the "Song Compliance Logic" in the Opportunities screen, so that users can quickly assess the compliance health of each deal.</t>
  </si>
  <si>
    <t>One time update US</t>
  </si>
  <si>
    <t xml:space="preserve">Delivered to UAT with 80% completion
</t>
  </si>
  <si>
    <t>Song Compliant Logic Update[RA] - As a myISP user, I want to see "Overall Song Delivery Approver" role added in Review Approvals dashboard so that User can approve the required deals needed to achieve Song Compliance.</t>
  </si>
  <si>
    <t>Delivered to parallel UAT</t>
  </si>
  <si>
    <t>Song Compliant Logic Update[RA] - As a myISP User,I want to provide onetime update for the existing deals and update the RAG , Score as per updated Song Compliance Logic so that all historical and active deals reflect accurate compliance status - RA Screen</t>
  </si>
  <si>
    <t>Namrata/manisha/Bhavana</t>
  </si>
  <si>
    <t>Logapriya/Harish</t>
  </si>
  <si>
    <t>Song Compliant Logic Update [RA] - As a myISP User, I want to update the "Song Compliance Logic" in the Opportunities screen, so that users can quickly assess the compliance health of each deal. - Copy</t>
  </si>
  <si>
    <t>Namrata/manisha/sadhik</t>
  </si>
  <si>
    <t>Value Shaping - As a myISP User - Configurator V2V - I want to access the Review Approvals tile in read-only mode and navigate using the fixed breadcrumb path so that I can maintain workflow continuity.</t>
  </si>
  <si>
    <t>Estimators/Calculators</t>
  </si>
  <si>
    <t>As a myISP Solution Architect, I want to see the Estimators/Calculators App migrated to Angular 21</t>
  </si>
  <si>
    <t>Angular upgrade,Regression</t>
  </si>
  <si>
    <t>As an Advisory song SA, I want to access the Review Approvals tile in read-only mode so that I can maintain and view workflow continuity.</t>
  </si>
  <si>
    <t>Impact Check: As a Myisp user, I want the role "Enterprise SA" to be renamed to "Market Maker ESA" in myISP So that the role name clearly reflects the Market Make ESA in mentioned modules .</t>
  </si>
  <si>
    <t>Impact Check: As a Myisp user, I want the role "Enterprise SA" to be renamed to "Market Maker ESA" in myISP So that the role name clearly reflects the Market Make ESA in mentioned scopes</t>
  </si>
  <si>
    <t>One time update US from MMS</t>
  </si>
  <si>
    <t xml:space="preserve">Delivered to UAT 
</t>
  </si>
  <si>
    <t>Transition To Delivery</t>
  </si>
  <si>
    <t>Value Shaping - As a myISP User - Configurator V2V - I want to access the Transition To Delivery tile in read-only mode and navigate using the fixed breadcrumb path so that I can maintain workflow continuity.</t>
  </si>
  <si>
    <t xml:space="preserve">Delivered to UAT
</t>
  </si>
  <si>
    <t>As an Advisory song SA, I want to access the Transition To Delivery tile in read-only mode so that I can maintain and view workflow continuity.</t>
  </si>
  <si>
    <t xml:space="preserve">Delivered To UAT 
</t>
  </si>
  <si>
    <t>Value Shaping - As a myISP User - Configurator V2V - I want to access the Define Team tile in read-only mode and navigate using the fixed breadcrumb path so that I can maintain workflow continuity.</t>
  </si>
  <si>
    <t xml:space="preserve">Delivered to UAT 
</t>
  </si>
  <si>
    <t>WRWS</t>
  </si>
  <si>
    <t>Value Shaping - As a myISP User - Configurator V2V - I want to access the WRWS tile in read-only mode and navigate using the fixed breadcrumb path so that I can maintain workflow continuity.</t>
  </si>
  <si>
    <t xml:space="preserve">Delivered for UAT </t>
  </si>
  <si>
    <t>Value Shaping - As a myISP User - Configurator V2V - I want to access the Opportunity Workflow in read-only mode and navigate using the fixed breadcrumb path so that I can maintain workflow continuity.</t>
  </si>
  <si>
    <t>As an Advisory song SA, I want to access the Estimators/Calculators tile in read-only mode so that I can maintain and view workflow continuity.</t>
  </si>
  <si>
    <t>As an Advisory song SA, I want to access the WRWS tile in read-only mode so that I can maintain and view workflow continuity.</t>
  </si>
  <si>
    <t>Song Compliant Logic Update -(MFHost) As a myISP User - I want to access all myISP screens as per Solution Reviewer role, read-only mode and navigate using the fixed breadcrumb path so that I can maintain workflow continuity</t>
  </si>
  <si>
    <t xml:space="preserve">Delievred to UAT </t>
  </si>
  <si>
    <t>As a myIntegrated Solution Planner user, I should be able to see Ripple On/Off toggle for Productivity Grid in Generative AI screen under Reporting &amp; Compliance screen for BPMS Opportunity</t>
  </si>
  <si>
    <t>Pavithra</t>
  </si>
  <si>
    <t>As a my solution planner solution architect, Read more &amp; hide should be available in description for Maturity Index and Due Diligence Questionnaire for BPMS Opportunity</t>
  </si>
  <si>
    <t>As a my solution planner solution architect, I want all dropdown values to be displayed in alphabetical order, with the "Other Reasons" option always appearing last</t>
  </si>
  <si>
    <t>DCSO SI- API: As a mySolutionPlanner developer, I want the Persist Solution line Across Solution Operations, so that user can maintain consistency and traceability of a demand across different solution versions and operations.</t>
  </si>
  <si>
    <t>Arun</t>
  </si>
  <si>
    <t>4414032
4428646
4434960</t>
  </si>
  <si>
    <t>As a Solution Architect, I want to enable Generate DCSO for multiple versions into an Opportunity-level DCSO(multiple SGs) so that I can have a unified view of staffing data</t>
  </si>
  <si>
    <t>As a BPMS User, I should be able to save Solution Simplification screen without mandatory checks on ?PriceOne used for Stage 0/1/2A? and ?Approval Committee Approach Followed? so that I can proceed smoothly without validation errors.</t>
  </si>
  <si>
    <t>Sakshi</t>
  </si>
  <si>
    <t>As a BPMS User, I should be able to see Solution Simplification marked as compliant if ?PriceOne used for Stage 0/1/2A? and ?Approval Committee Approach Followed? are filled in the solution simplification screen so that the compliance score is updated.</t>
  </si>
  <si>
    <t>As a Solution Architect, I want to Generate DCSO for selected SG versions from the SI / IMS Digital DCSO screen, so that I can create accurate staffing overviews for each solution group.</t>
  </si>
  <si>
    <t>As a BPMS SA, I want the Capco template to automatically format revenue numbers with commas</t>
  </si>
  <si>
    <t>Jeba</t>
  </si>
  <si>
    <t>Capco Template has Mail Functionality So it Can't be automated</t>
  </si>
  <si>
    <t>As a Solution Architect, I want to land on the Digital DCSO section from last activity tab if user have recently made changes to Digital DCSO for all SGs so that I can generate and manage DCSO files efficiently.</t>
  </si>
  <si>
    <t>As a CXTA and Tfo stakeholder, I want the document upload to be optional in TfO and CXTA tabs so that I can initiate approval stages without being blocked when supporting documents are not yet available.</t>
  </si>
  <si>
    <t>Mohamed</t>
  </si>
  <si>
    <t>As a myISP Solution Architect , I want to access DCSO for all SGs based on roles assigned, so that I can generate, update, publish, and manage DCSO versions, while other roles should have only read‑only access for visibility.</t>
  </si>
  <si>
    <t xml:space="preserve">bug id : 4438224 (deferred to may release)
</t>
  </si>
  <si>
    <t>As a Solution Architect, I want the system to Filter the DCSO line items based on certain conditions , so that the DCSO generated provide accurate results to user.</t>
  </si>
  <si>
    <t>Shital</t>
  </si>
  <si>
    <t>Validation should be done in the Downloded Excel file</t>
  </si>
  <si>
    <t>Mobilization CXTA Calculator : As a mySP CXTA user I should be able to see the field CXIL renamed to "Transition Executive" under Execution Preparation so that it is as per Business standards</t>
  </si>
  <si>
    <t>Lakshmi</t>
  </si>
  <si>
    <t>Mobilization - CXTA Calculator : As a mySP CXTA user I need to add fields under Deal Details section so that it is as per Business standards</t>
  </si>
  <si>
    <t>As a Solution Architect, I want a new tab for DCSO Versions inside the Digital DCSO for AMS SG , so that I can generate and manage multiple DCSO versions efficiently</t>
  </si>
  <si>
    <t>4423576:</t>
  </si>
  <si>
    <t>As a Solution Architect, I want to Generate DCSO for selected SG versions from the AMS Digital DCSO screen, so that I can create accurate staffing overviews for each solution group</t>
  </si>
  <si>
    <t>As a Solution Architect, I want the DCSO grid to dynamically update based on user actions for AMS SG, so that I can view accurate status and perform subsequent actions easily.</t>
  </si>
  <si>
    <t>Heena</t>
  </si>
  <si>
    <t>UI bug: 4425268, 4425283(M), 4423855</t>
  </si>
  <si>
    <t>As a Solution Architect, I want a new tab for DCSO Versions inside the Digital DCSO for SI / IMS SG , so that I can generate and manage multiple DCSO versions efficiently</t>
  </si>
  <si>
    <t>4443655 Closed</t>
  </si>
  <si>
    <t>As a Solution Architect, I want to view and manage generated DCSOs in a grid for AMS SG, so that I can track status and perform actions</t>
  </si>
  <si>
    <t>4423511 Closed</t>
  </si>
  <si>
    <t>As a Solution Architect, I want to upload the DCSO template back into MyISP for IMS/ SI / AMS SG so that I can validate changes and sync with staffing and pricing tools.</t>
  </si>
  <si>
    <t>Excel Validation and more functionality is covered.(Temparing/ adding additon row to excel is not possible in automation)</t>
  </si>
  <si>
    <t>4443431, 4443521, 4443476, 4443655
Closed- 4427354, 4429664(H),4429516,4428859</t>
  </si>
  <si>
    <t>As a Solution Architect, I want to download the generated DCSO file for AMS SG so that I can review and update staffing details offline before uploading</t>
  </si>
  <si>
    <t>Automation not feasible because the application checks integrity of
the exported Excel file.If the file is modified and uploaded again through automation,
the system detects it as a tampered file and rejects it.</t>
  </si>
  <si>
    <t>4429278, 4428859(Duplicate to 4427541),
4429516(H)</t>
  </si>
  <si>
    <t>As a Solution Architect, I want to land on the Digital DCSO section when I click on Digital DCSO from the Opportunity workflow for AMS SG so that I can generate and manage DCSO files efficiently.</t>
  </si>
  <si>
    <t>SImple</t>
  </si>
  <si>
    <t>4422932-Deffered</t>
  </si>
  <si>
    <t>As a Solution Architect, I want to land on the Digital DCSO section when I click on Digital DCSO from the Opportunity workflow for SI SG so that I can generate and manage DCSO files efficiently.</t>
  </si>
  <si>
    <t>As a Solution Architect, I want to land on the Digital DCSO section when I click on Digital DCSO from the Opportunity workflow for IMS SG so that I can generate and manage DCSO files efficiently.</t>
  </si>
  <si>
    <t>As a Solution Architect, I want to add a new section under Digital Documentation named Digital DCSO for AMS in the opportunity workflow, so that I can manage DCSO-related functionalities in one place.</t>
  </si>
  <si>
    <t>As a Solution Architect, I want to add a new section Digital DCSO inside the Digital Documentation for AMS SG, so that I can manage DCSO-related functionalities.</t>
  </si>
  <si>
    <t>As a Solution Architect, I want to add a new section under Digital Documentation named Digital DCSO for SI in the opportunity workflow, so that I can manage DCSO-related functionalities in one place.</t>
  </si>
  <si>
    <t>As a Solution Architect, I want to add a new section Digital DCSO inside the Digital Documentation for SI SG, so that I can manage DCSO-related functionalities.</t>
  </si>
  <si>
    <t>As a Solution Architect, I want to add a new section under Digital Documentation named Digital DCSO for IMS in the opportunity workflow, so that I can manage DCSO-related functionalities in one place.</t>
  </si>
  <si>
    <t>As a Solution Architect, I want to add a new section Digital DCSO inside the Digital Documentation for IMS SG, so that I can manage DCSO-related functionalities.</t>
  </si>
  <si>
    <t>As a my solution planner solution architect, I want to apply FTE split logic in the DCSO template for AMS SG so that resource allocation across multiple roles or projects is accurately represented.</t>
  </si>
  <si>
    <t>Nithish</t>
  </si>
  <si>
    <t>As a myisp Solution Architect, I want the SI SG Old DCSO template to use updated field names and simplified skill representation So that the template aligns with current terminology</t>
  </si>
  <si>
    <t>Mahesh</t>
  </si>
  <si>
    <t>As a myisp Solution Architect, I want the AMS SG Old DCSO template to use updated field names and simplified skill representation So that the template aligns with current terminology</t>
  </si>
  <si>
    <t>As a BPMS SA, I want the below Role to be added in Raise Request email template, so that deal-level visibility are consistently maintained across role requests.</t>
  </si>
  <si>
    <t>Raise request has mail functionality so it can't automated</t>
  </si>
  <si>
    <t>As a Solution Architect, I want to view and manage generated DCSOs in a grid for SI/IMS SG, so that I can track status and perform actions</t>
  </si>
  <si>
    <t>As a Solution Architect, I want to download the generated DCSO file for SI/IMS SG so that I can review and update staffing details offline before uploading</t>
  </si>
  <si>
    <t>As a BPMS Solution Architect, I Want to See Rolled‑Up BPMS Revenue used in the Global Watchlist Flag under operations Attributes of reporting &amp; Compliance</t>
  </si>
  <si>
    <t>As a PMO or Super User, I want the ability to set an approver as Auto Approver so that approvals across all stages can be automatically processed without manual intervention</t>
  </si>
  <si>
    <t>As a BPMS SA , I want to select a “Custom” meeting slot and provide start and end times so that I can request meetings outside predefined time options and have them synchronized with the Outlook meeting invite.</t>
  </si>
  <si>
    <t>As a BPMS SA/PMO, I want the system to prevent auto‑inserting the Risk &amp; Compliance approval request when Foxtrot Q1 is answered as NO, so that incorrect approval requests do not progress further in the workflow.</t>
  </si>
  <si>
    <t>As a Solution Architect, I want the DCSO grid to dynamically update based on user actions for SI / IMS SG, so that I can view accurate status and perform subsequent actions easily.</t>
  </si>
  <si>
    <t>As a Enterprise SA, I should be able to have Read–Write access to the Reporting &amp; Compliance module (Maturity Index, Due Diligence, Solution Simplification) so that I can update compliance information for my solutions.</t>
  </si>
  <si>
    <t>As a myIntegrated Solution Planner (myISP) user, I want BPMS Net Revenue to be rolled up across and used consistently wherever BPMS Net Revenue is referenced, so that the CCI Delta against the target margin (27%) is calculated accurately</t>
  </si>
  <si>
    <t>As a BPMS user, I should be able to see only the Operations toggle for the BPMS service group on the Status Update screen so that I can update status only for the Operations service.</t>
  </si>
  <si>
    <t>As a BPMS User, I should be able to see only four options (Active, Won, Withdrawn, Archive) in the Solution Status dropdown for BPMS stream - Transition Status so that the status selection remains standardized</t>
  </si>
  <si>
    <t>As a BPMS stakeholder, I want the auto‑assignment logic during auto insert to use rolled‑up revenue instead of BPMS Net Revenue so that final approvers are selected accurately based on the full deal value.</t>
  </si>
  <si>
    <t>We need to validate with download Final Approval Matrix excel file</t>
  </si>
  <si>
    <t>As a BPMS User, I should be able to auto‑trigger the FTS email on Define Team save based on opportunity criteria using rolled‑up BPMS revenue for FTS calculation,</t>
  </si>
  <si>
    <t>As a BPMS User, I should be able to auto‑trigger the Fast Track Solutioning (FTS) email on WRWS screen save based on opportunity criteria using rolled‑up BPMS revenue for FTS calculation</t>
  </si>
  <si>
    <t>As a BPMS User, I should be able to auto‑trigger the Fast Track Solutioning (FTS) email from the Self Assign screen save based on opportunity criteria using rolled‑up BPMS revenue for FTS calculation</t>
  </si>
  <si>
    <t>As a BPMS User, I should be able to view and update the FTS toggle based on defined criteria using rolled‑up BPMS revenue, with the ability to manually override when required, so that system compliance is ensured.</t>
  </si>
  <si>
    <t>As a mySolution Planner user, I want to view the auto mailers get triggered for deals with no solution ID updates to flow into CDAT process, so that there is a seamless flow</t>
  </si>
  <si>
    <t>Sowndarya</t>
  </si>
  <si>
    <t>Mailer scenario</t>
  </si>
  <si>
    <t>As a CDAT user, I want to send out the first reminder mail for MMS Stage 3_ Multi tower so that acceptance criteria are achieved.</t>
  </si>
  <si>
    <t>As a CDAT user, I want to send out the second reminder mail for MMS Stage 3_ Multi tower so that acceptance criteria are achieved.</t>
  </si>
  <si>
    <t>Aldrin</t>
  </si>
  <si>
    <t>Komal</t>
  </si>
  <si>
    <t>Gen AI cannot be automated</t>
  </si>
  <si>
    <t>SI-As a myISP user, I want Areas and Sub-Areas in the CDAT Online Platform to be mapped with Gen-AI Nudges and Sub-Nudges, So that Gen-AI findings can be accurately classified, auto-converted into gaps, and placed under the correct Service Group.</t>
  </si>
  <si>
    <t>AMS-As a myISP user, I want Areas and Sub-Areas in the CDAT Online Platform to be mapped with Gen-AI Nudges and Sub-Nudges, So that Gen-AI findings can be accurately classified, auto-converted into gaps, and placed under the correct Service Group.</t>
  </si>
  <si>
    <t>IMS-As a myISP user, I want Areas and Sub-Areas in the CDAT Online Platform to be mapped with Gen-AI Nudges and Sub-Nudges,So that Gen-AI findings can be accurately classified, auto-converted into gaps, and placed under the correct Service Group.</t>
  </si>
  <si>
    <t>Multiple Roles and Screens dependency</t>
  </si>
  <si>
    <t>As a CDAT user, I want the tooltip text displayed on the Assessment outcome screen to remain visible as long as the user in that place So that I can clearly read, understand gap details.</t>
  </si>
  <si>
    <t>Impact Check: As a Myisp user, I want the role "Enterprise SA" to be renamed to "Market Maker ESA" in myISP So that the role name clearly reflects the Market Make ESA in "Solution to Contract Analysis"</t>
  </si>
  <si>
    <t>As a CDAT user, I want to select a GCC classification from a predefined dropdown list while updating the tracker tab So that GCC engagement information is consistently captured</t>
  </si>
  <si>
    <t>Regression based</t>
  </si>
  <si>
    <t>As a CDAT Lead, I want to access only Contract Gap Analyis tab so that Acceptance Criteria are achieved.</t>
  </si>
  <si>
    <t>As a CDAT user, I want to check the condition to send out the reminder mail so that acceptance criteria are achieved.</t>
  </si>
  <si>
    <t>As a CDAT user, I want to send out the first reminder mail so that acceptance criteria are achieved.</t>
  </si>
  <si>
    <t>As a CDAT user, I want to send out the Second reminder mail so that acceptance criteria are achieved.</t>
  </si>
  <si>
    <t>As a CDAT user, I want to send out the appropriate mail template based the dropdown selected so that acceptance criteria are achieved.</t>
  </si>
  <si>
    <t>Shiva</t>
  </si>
  <si>
    <t>As a CDAT PMO, I want to automatically send reminders and escalations after an initial CDAT automailer, based on deal date type, radar windows, deal status, and PMO selections-Dropdown1 &amp; Dropdown2 so that acceptance criteria are achieved.</t>
  </si>
  <si>
    <t>As a CDAT user, I want to have table columns to track the reminder mail 1,2 and escalation so that acceptance criteria are achieved.</t>
  </si>
  <si>
    <t>Excel validation required</t>
  </si>
  <si>
    <t>As a CDAT PMO, I want to view the integration of PMO Dashboard and CDAT so that acceptance criteria are achieved.</t>
  </si>
  <si>
    <t>As a CDAT PMO, I want to automatically send reminders and escalations after an initial CDAT automailer, based on deal date type, radar windows, deal status, and PMO selections-Dropdown1 &amp; Dropdown2 so that acceptance criteria are achieved. - Copy</t>
  </si>
  <si>
    <t>Song Compliant Logic Update [PLD] - As a myISP User, I want to update the Song Compliance Status logic popup in PLD screen in the Opportunities screen, so that users can quickly assess the compliance health of each deal.</t>
  </si>
  <si>
    <t>Uma</t>
  </si>
  <si>
    <t>Karpagrpiya</t>
  </si>
  <si>
    <t>Data validation</t>
  </si>
  <si>
    <t>Delivered to UAT</t>
  </si>
  <si>
    <t>Song Compliant Logic Update[PLD] - As a myISP User, I want to provide onetime update for the existing deals and update the RAG , Score as per updated Song Compliance Logic so that all historical and active deals reflect accurate compliance status</t>
  </si>
  <si>
    <t>Sangeetha</t>
  </si>
  <si>
    <t>VishnuPriya</t>
  </si>
  <si>
    <t>This user story is one time update US where we need to compare datas using excel sheet. So, this cannot be automated</t>
  </si>
  <si>
    <t>As a DFD Requestor, I should get the updated routing logic for Captive DLs based on the campaign name in Technology SA request</t>
  </si>
  <si>
    <t>Manjunath</t>
  </si>
  <si>
    <t>Anusha</t>
  </si>
  <si>
    <t>Email related</t>
  </si>
  <si>
    <t>As a DFD user, I should get updated routing logic for SC.GlobalNetwork.Platform.SAP.SA DL</t>
  </si>
  <si>
    <t>As a DFD user, I should get, GenWiz_sa_assignment@accenture.com DL added in Automation and Gen AI SME routing logic</t>
  </si>
  <si>
    <t>Email related User stories</t>
  </si>
  <si>
    <t>As a DFD requestor, I should get the updated year as 2025-2026 in all DFD mails</t>
  </si>
  <si>
    <t>Song Compliant Logic Update - As a Overall Song Delivery Approver , I want to access the Define Team tile in read-only mode and navigate using the fixed breadcrumb path so that I can maintain workflow continuity.</t>
  </si>
  <si>
    <t>Song Compliant Logic Update - As a Overall Song Delivery Approver , I want to access the WRWS tile in read-only mode and navigate using the fixed breadcrumb path so that I can maintain workflow continuity.</t>
  </si>
  <si>
    <t>Song Compliant Logic Update - As a Overall Song Delivery Approver ,I want to access the Digital Documentation tile in read-only mode and navigate using the fixed breadcrumb path so that I can maintain workflow continuity.</t>
  </si>
  <si>
    <t>Song Compliant Logic Update - As a Overall Song Delivery Approver I want to access the AMS Solution Components tile in read-only mode and navigate using the fixed breadcrumb path so that I can maintain workflow continuity.</t>
  </si>
  <si>
    <t>As we have 15+ screens and n no. of sub tabs and lengthy to Automate so we are not taking this US for insprint and need to consider for Regression</t>
  </si>
  <si>
    <t>Song Compliant Logic Update - As a Overall Song Delivery Approver, I want to access the SI Solution Components tile in read-only mode and navigate using the fixed breadcrumb path so that I can maintain workflow continuity.</t>
  </si>
  <si>
    <t>Logapriya</t>
  </si>
  <si>
    <t>Harish</t>
  </si>
  <si>
    <t>As we have many screens and no. of sub tabs and lengthy to Automate so we are not taking this US for insprint and need to consider for Regression</t>
  </si>
  <si>
    <t>Song Compliant Logic Update - As a Overall Song Delivery Approver, I want to access the Value Shaping tile in read-only mode and navigate using the fixed breadcrumb path so that I can maintain workflow continuity.</t>
  </si>
  <si>
    <t>Song Compliant Logic Update - As a Overall Song Delivery Approver I want to access the Transition To Delivery tile in read-only mode and navigate using the fixed breadcrumb path so that I can maintain workflow continuity.</t>
  </si>
  <si>
    <t>Song Compliant Logic Update - As a Overall Song Delivery Approver I want to access the Estimators/Calculators tile in read-only mode and navigate using the fixed breadcrumb path so that I can maintain workflow continuity.</t>
  </si>
  <si>
    <t>Song Compliant Logic Update - As a Overall Song Delivery Approver, I want to access the DSP tile in read-only mode and navigate using the fixed breadcrumb path so that I can maintain workflow continuity.</t>
  </si>
  <si>
    <t>Song Compliant Logic Update - As a Overall Song Delivery Approver, I want to access the Opportunity workflow in read-only mode and navigate using the fixed breadcrumb path so that I can maintain workflow continuity.</t>
  </si>
  <si>
    <t>As a Song portfolio lead I want to have a New Role called “Advisory SA – SONG” so that I can assign stakeholders for this role for unassigned deals under my portfolio</t>
  </si>
  <si>
    <t>This user story is having sync, mail and count related validations. Hence , cannot be automated</t>
  </si>
  <si>
    <t>[Advisory SA - Song] As a PLD Lead, I want to Implement Cancel assignments Functionality in Song and Cross service PLD dashboard for Advisory SA role</t>
  </si>
  <si>
    <t>harish</t>
  </si>
  <si>
    <t>Mail related User story, cannot be automated</t>
  </si>
  <si>
    <t>As a Song portfolio lead I want to have a Role called “Advisory SA – SONG” so that I can assign stakeholders for this role for assigned deals under my portfolio</t>
  </si>
  <si>
    <t>This story includes sync,email and count , email functionality . Hence cannot be automated</t>
  </si>
  <si>
    <t>As a Cross service portfolio lead I want to have a Role called “Advisory SA – SONG” so that I can assign stakeholders for this role for assigned and unassigned deals under my portfolio</t>
  </si>
  <si>
    <t>As my solution planner Architect ,I want a request to automatically move to the �Assigned� for DFD Request opportunity type under PMO Dashboard when an assignment is completed through Self Assign, So that PMO can track and reflect the correct status</t>
  </si>
  <si>
    <t>Integration</t>
  </si>
  <si>
    <t>[Advisory SA - Song] As a PLD user, I want to implement E-Mail functionality for assignment cancellation, so the users are notified when an assignment is cancelled in PLD for Advisory SA role</t>
  </si>
  <si>
    <t>[Advisory SA - Song] As a DFD user, I should be able to receive the Advisory SA assignment/cancellation details from PLD, so the status should be in sync</t>
  </si>
  <si>
    <t>Synch related user story</t>
  </si>
  <si>
    <t>As a Cross Services Portfolio Lead, I want to access the OCP and KDA variance screens in read-only mode and navigate using the fixed breadcrumb path so that I can maintain workflow continuity</t>
  </si>
  <si>
    <t>This story is bugs validation which includes many SG's, Hence need t be considered for regression.</t>
  </si>
  <si>
    <t>As a BPMS User, I should be able to auto‑trigger the Fast Track Solutioning (FTS) email from PLD Dashboard save based on opportunity criteria using rolled‑up BPMS revenue for FTS calculation</t>
  </si>
  <si>
    <t>As a PLD Lead, I should get the updated year as 2025-2026 in all cancellation mail trigger from PLD</t>
  </si>
  <si>
    <t>As a DFD requestor, I should get GenAI specific mails when GenAI/LLM in Scope is selected as Yes in SA requests</t>
  </si>
  <si>
    <t>Email related User story, So, cannot be automated</t>
  </si>
  <si>
    <t>As a Cross service portfolio lead I want to have a Role called “Advisory SA – SONG” so that I can assign stakeholders for this role for assigned deals under my portfolio - Copy</t>
  </si>
  <si>
    <t>Many combination needs to be covered for this Userstroy cannot be automated</t>
  </si>
  <si>
    <t>As a Cross service portfolio lead I want to notify “Advisory SA – SONG” assignments so that I can assign stakeholders for this role and inform them via mail trigger for deals under my portfolio</t>
  </si>
  <si>
    <t>As a SONG portfolio lead I want to notify “Advisory SA – SONG” assignments so that I can assign stakeholders for this role and inform them via mail trigger for deals under my portfolio - Copy</t>
  </si>
  <si>
    <t>This story involves email functionality</t>
  </si>
  <si>
    <t>As a DFD requestor, instead of ESA, I should get Market Maker ESA role name in DFD once the assignment is done from wither PLD or Define team</t>
  </si>
  <si>
    <t>As a PLD lead, I should get "Market Maker ESA" role instead of "ESA" in all the assignment cancellation popups and email template</t>
  </si>
  <si>
    <t>As a Define Team user, I should be able to send/receive Market Maker ESA role status to DFD,PLD to make the assignment status in sync across all the systems</t>
  </si>
  <si>
    <t>This is sync Userstory across all dashboard cannot be automated</t>
  </si>
  <si>
    <t>[GEN AI - RFP Synthesis ] Response formatting for all Nudges in RFP Synthesis</t>
  </si>
  <si>
    <t>Gayatri</t>
  </si>
  <si>
    <t>Veena</t>
  </si>
  <si>
    <t>Responses will be generated to LLM so cannot be automated</t>
  </si>
  <si>
    <t>[GEN AI - DLC]As a myISP user, I should be able to develop and design new DLC screen to show all DLC sections in the left and right panel so that I can easily navigate between different parts of the deal information.</t>
  </si>
  <si>
    <t>Sushmeta</t>
  </si>
  <si>
    <t>Prasanna</t>
  </si>
  <si>
    <t>[GEN AI - DLC] As a myISP user, I should be able to view the Deal Level Canvas with default columns in Agent Hub and tiles when no previous versions exist so that I can start creating a new canvas from the scratch..</t>
  </si>
  <si>
    <t>[GEN AI - DLC] As a myISP user, I should be able to navigate from the Agent Hub (Deal Level Canvas) to the "DLC Version List screen" when no versions exist so that I can create a new Deal Level Canvas version.</t>
  </si>
  <si>
    <t>[GEN AI - DLC] As a myISP user, I should be able to view recommended responses for each nudges from MMS and generate more recommendations for a new DLC version so that I can create a comprehensive and tailored Deal Level Canvas.</t>
  </si>
  <si>
    <t>It includes validating multiple MMS and SGC mapping</t>
  </si>
  <si>
    <t>Bug-4431417,4434972,4434984,4434989</t>
  </si>
  <si>
    <t>[GEN AI - DLC] As a myISP user, I should be able to view the Deal Level Canvas with default columns and tiles when "DLC versions exist to choose from the list" so that I can start creating a new canvas.</t>
  </si>
  <si>
    <t>[GEN AI - DLC] As a myISP user, I should be able to view the Response Summary in the "Recommended from Opportunity Context "section for selected available DLC versions so that I can quickly review AI-generated insights aligned to the opportunity context.</t>
  </si>
  <si>
    <t>Bug-44314174434972,4434984,4434989</t>
  </si>
  <si>
    <t>As a myISP user, I should be able to view the Response Summary in the Recommended from Opportunity Context section for a selected DLC version using another source selection so that I can compare and enrich the canvas with additional insights.</t>
  </si>
  <si>
    <t>Shanmukii</t>
  </si>
  <si>
    <t>Narmatha</t>
  </si>
  <si>
    <t>Complex US involves response generation and nudge data validation, Hence cant be automated</t>
  </si>
  <si>
    <t>As a myISP user, I should be able to select the Recommended from Past Solution tab for any DLC version and view top 5 opportunities filtered by given criteria so that SA can select one opportunity and generate a contextual response.</t>
  </si>
  <si>
    <t>[GEN AI - SGC] DSP Version to be included for IMS SGC Ingestion.</t>
  </si>
  <si>
    <t>Delivered to UAT for parallel testing</t>
  </si>
  <si>
    <t>[GEN AI - Opportunity Benchmark] Solution Super Agent Chat in Opportunity Benchmarks including similar deals flow using Span of search.</t>
  </si>
  <si>
    <t>Prasanna.Pandian</t>
  </si>
  <si>
    <t>KDA Configurations Should be Compared to OBM which Cant be Automated</t>
  </si>
  <si>
    <t>20</t>
  </si>
  <si>
    <t>2</t>
  </si>
  <si>
    <t>6</t>
  </si>
  <si>
    <t>8</t>
  </si>
  <si>
    <t>40%</t>
  </si>
  <si>
    <t>Delivered for Parallel Testing</t>
  </si>
  <si>
    <t>[GEN AI - Opportunity Benchmark] Opportunities search based on Logged in opportunity deal characteristic details through SSA Chat excluding the Retrospective Learnings for generating Opportunity benchmarks.</t>
  </si>
  <si>
    <t>30</t>
  </si>
  <si>
    <t>5</t>
  </si>
  <si>
    <t>18</t>
  </si>
  <si>
    <t>12</t>
  </si>
  <si>
    <t>[Gen AI - SSA] - As a myISP user, I should be able to view dynamic process steps, capabilities, and data sources based on the module I select so that I can understand the relevant intelligence for that module</t>
  </si>
  <si>
    <t>Santhwana</t>
  </si>
  <si>
    <t>Nayak</t>
  </si>
  <si>
    <t>This story is mainly UI and content validation with dynamic visual elements</t>
  </si>
  <si>
    <t>[GenAI - SSA] - As a myISP User, I should be able to see the Local span of search fields default to �All� when no opportunity is selected for Learn from Past Solutions.</t>
  </si>
  <si>
    <t>[GenAI - SSA] - As a MyISP user, I want to set the maximum character limit for all the user inputs fields to 6000 characters, in question and prompt addition pop-ups.</t>
  </si>
  <si>
    <t>Haritha</t>
  </si>
  <si>
    <t>Need Admin Access Cant automate</t>
  </si>
  <si>
    <t>[GenAI - SSA] - As a myISP User, I should be able to view follow?up nudges displayed horizontally in a single line above the SSA chat input box.</t>
  </si>
  <si>
    <t>UI validation US, so automation not feasible</t>
  </si>
  <si>
    <t>[GEN AI - SVC] Solution Version Comparator navigation addition in SSA at Global View.</t>
  </si>
  <si>
    <t>Delivered to UAT for Parallel Testing</t>
  </si>
  <si>
    <t>[GEN AI - Opportunity Benchmark] - Redirect User to Retrospective Insights &amp; Learning When Opportunity Benchmark Query is Detected</t>
  </si>
  <si>
    <t>Sai kumar</t>
  </si>
  <si>
    <t>Haripriya</t>
  </si>
  <si>
    <t>sai.kumar.mandala</t>
  </si>
  <si>
    <t>LLM Response based OBM story</t>
  </si>
  <si>
    <t>[Gen AI - SSA] - Alternative Recommendations for Negative Data/PII Scenarios (Conversational SSA)</t>
  </si>
  <si>
    <t>[GEN AI � Solution Version Comparator] Route User to Solution Version Comparator When Version Comparison Query Is Detected</t>
  </si>
  <si>
    <t>[GEN AI - Opportunity Benchmark] Add/Editing of opportunities based on the deal characteristic filters in SSA Chat for Opportunity Benchmarks outside the Learning.</t>
  </si>
  <si>
    <t>Harshitha</t>
  </si>
  <si>
    <t>Reshma</t>
  </si>
  <si>
    <t>h.udhayakumar</t>
  </si>
  <si>
    <t>Prompt response validation can't be automated</t>
  </si>
  <si>
    <t xml:space="preserve">Delivered for Parallel UAT </t>
  </si>
  <si>
    <t>[GEN AI - Opportunity Benchmark] Add/Editing of opportunities based on the selected filters/Benchmarks using span of search in SSA Chat for Retrospective learnings.</t>
  </si>
  <si>
    <t>So complex user story as it contains more screen validation of Gen AI scenarios and more filters criterias with multiple deals</t>
  </si>
  <si>
    <t>[GEN AI - Opportunity Benchmark] Prompt library enablement in Solution Super Agent chat for Opportunity Benchmarks tab.</t>
  </si>
  <si>
    <t>[GEN AI - Opportunity Benchmark] - Search for Benchmark Opportunities via SSA</t>
  </si>
  <si>
    <t>[Gen AI - SSA] - As a MyISP user, I want to add an information icon on the 'PII reporting' form to display the purpose of the form.</t>
  </si>
  <si>
    <t>[Gen AI - SSA] - As a myISP User, I should be able to see the 'Format' icon only for valid, AI?generated content responses so that I am not allowed to modify the tone for system messages, error messages that are not intended to be rewritten.</t>
  </si>
  <si>
    <t>Invalid responses and multiple responses needs to be validated</t>
  </si>
  <si>
    <t>[GenAI - SSA] - As a myISP User, I should be able to view the Alliance/Technology field within the Common Section in the global span of search.</t>
  </si>
  <si>
    <t>[Gen AI - SSA] - As a myISP User, I should be able to access the 'Refine Span of Search' option at the top of the response near the See Filters control.</t>
  </si>
  <si>
    <t>[Gen AI - SSA] - As a myISP User, I should be able to view the Solution Super Agent chat in a compact layout with reduced vertical spacing between elements.</t>
  </si>
  <si>
    <t>Spacing validation cannot be automated</t>
  </si>
  <si>
    <t>[Gen AI - SSA] - As a myISP User, I should be able to quickly report PII from the SSA chat interface using a dedicated �Report PII� icon so that I can immediately report PII.</t>
  </si>
  <si>
    <t>Complex US involves many complex scenariosand UI Validation, Hence cant be automated</t>
  </si>
  <si>
    <t>[Gen AI - SRA] - I should be able to click on any L2 nudge and perform a review in the Review Agent.</t>
  </si>
  <si>
    <t>Kalpana</t>
  </si>
  <si>
    <t>Complex US involves response generation and nudge data validation and UI validation Hence cant be automated</t>
  </si>
  <si>
    <t>[Gen AI - SSA] - As a myISP User, I should be able to view and complete the PII Reporting form in a clear, two?column layout.</t>
  </si>
  <si>
    <t>[Gen AI - SSA] - As a myISP User, I should be able to see a �Total responses completed� metric in the SSA Accuracy / Agent Info pane for an agent so that I can quickly understand how many proper responses that agent has successfully generated.</t>
  </si>
  <si>
    <t>[GEN AI – HSP] Image Processing</t>
  </si>
  <si>
    <t>Sujana</t>
  </si>
  <si>
    <t>Dinesh</t>
  </si>
  <si>
    <t>Validation of LLM responses is not possible</t>
  </si>
  <si>
    <t>UAT in Test</t>
  </si>
  <si>
    <t>[Gen AI - SSA]- View Predefined Legal Responses Without Selecting MMS ID</t>
  </si>
  <si>
    <t>Vignesh</t>
  </si>
  <si>
    <t>[Gen AI - SSA]-View Generated Contract Content for Selected Nudge Using DSP</t>
  </si>
  <si>
    <t>[Gen AI - SSA]- Check SWD Status and Download Scope &amp; Watch List Document</t>
  </si>
  <si>
    <t>[Gen AI - SSA]- Check Email Status and Trigger Email to Business SME</t>
  </si>
  <si>
    <t>Email user story cannot be automated</t>
  </si>
  <si>
    <t>[Gen AI - SSA]- Display Disclaimer for Predefined and Generated Legal Responses</t>
  </si>
  <si>
    <t>As a myISP user, I want the existing Output Document generation behavior to continue working for previously supported nudges and also apply to newly added nudges.</t>
  </si>
  <si>
    <t>Varshini</t>
  </si>
  <si>
    <t>Varadha</t>
  </si>
  <si>
    <t>As this US needs comparision between UI and word document</t>
  </si>
  <si>
    <t>As a myISP user, I want to add a few more nudges under the System Integration SI SG, so that the newly added SI nudges follow the same structure, logic, and response behavior as the existing SI nudges.</t>
  </si>
  <si>
    <t>CDAT Integration from GenAI to Online cannot be Automated</t>
  </si>
  <si>
    <t>As a myISP user, I want to add a few more nudges under the System Integration AMS SG, so that the newly added AMS nudges follow the same structure, logic, and response behavior as the existing AMS nudges.</t>
  </si>
  <si>
    <t>As a myISP user, I want to add a few more nudges under the System Integration IMS SG, so that the newly added IMS nudges follow the same structure, logic, and response behavior as the existing IMS nudges.</t>
  </si>
  <si>
    <t>[GEN AI - HSP] Prompts update for 8 categories based on SG wise in HSP.</t>
  </si>
  <si>
    <t>Shyam</t>
  </si>
  <si>
    <t>Naveen A</t>
  </si>
  <si>
    <t>shyam.pranav.vs</t>
  </si>
  <si>
    <t>[GEN AI � HSP] SP Ingestion GC 5.5 - Both New and existing files</t>
  </si>
  <si>
    <t>Venkat</t>
  </si>
  <si>
    <t>[DSP Core Solution Plan] MMD to DSP Published version navigation.</t>
  </si>
  <si>
    <t>This US has MMD website dependency so cannot be automated</t>
  </si>
  <si>
    <t>uat testing is not required</t>
  </si>
  <si>
    <t>[GEN AI - SGC] Version logic update for GEN AI SGC version selection.</t>
  </si>
  <si>
    <t>Jabeen</t>
  </si>
  <si>
    <t>[MMD DSP] Role Access restriction from MMD to DSP.</t>
  </si>
  <si>
    <t>Role specific MMD related</t>
  </si>
  <si>
    <t>[GEN AI - RFP Synthesis] Business Value section from Opportunity Context Refinement with updated prompts as same as Technology service for Security, S&amp;C, Ops and IX services.</t>
  </si>
  <si>
    <t>Prompts related dynamic response</t>
  </si>
  <si>
    <t>[GEN AI - RFP Synthesis] New nudges to be added in Scope section under RFP Synthesis for Security, IX, Ops and S&amp;C Services.</t>
  </si>
  <si>
    <t>[DSP - DLC] Enter Answer data From WRWS to be pulled into Deal Level Canvas when user created a new Deal Level Canvas version.</t>
  </si>
  <si>
    <t>Aruna</t>
  </si>
  <si>
    <t>Delivered for parallel UAT</t>
  </si>
  <si>
    <t>[DSP - Core Solution Plan] Toggle selection to be visible in download popups for selecting Inscope and All Scope items for Detailed Scope section</t>
  </si>
  <si>
    <t>PDF/PPT cannot be validated</t>
  </si>
  <si>
    <t>[DSP - Core Solution Plan] Productivity Assessment - Assessment Outcome to be added in downloaded PPT/PDF</t>
  </si>
  <si>
    <t>[GEN AI - RFP Synthesis] New nudges to be visible in the output documents for RFP Synthesis for Security , Ops, IX and S&amp;C services.</t>
  </si>
  <si>
    <t>PPT/PDF cannot be validated</t>
  </si>
  <si>
    <t>[DSP - Core Solution Plan] As a myISP user, I want to be able to view all updated changes within the MDA-related screens in the downloaded PPT/PDF files for SI SG.</t>
  </si>
  <si>
    <t>Sonia</t>
  </si>
  <si>
    <t>PPT and PDF validation cannot be automated</t>
  </si>
  <si>
    <t>[DSP - Core Solution Plan] As a myISP user, I want to be able to view all updated changes within the MDA-related screens in the downloaded PPT/PDF files for AMS SG.</t>
  </si>
  <si>
    <t>[DSP - Core Solution Plan] IMS Deal Pivot views updates for UI Headcount/Pyramid/Financial/DNP reports.</t>
  </si>
  <si>
    <t>PBI report validation cannot be automated</t>
  </si>
  <si>
    <t>[DSP - SGC] Enter Answer data to be pulled into Service Group Canvas when user created a new DSP version.</t>
  </si>
  <si>
    <t>Divya Belli</t>
  </si>
  <si>
    <t>Delivered To Uat</t>
  </si>
  <si>
    <t>[DSP - Core Solution Plan] Automation Calculator Changes to be updated in DSP Automation Calculator screens for both AMS/SI -UI.</t>
  </si>
  <si>
    <t>MDA Related validation cannot be automated</t>
  </si>
  <si>
    <t>[DSP - Core Solution Plan] DSP Fileds to be pulled from CXTA Calculator to Transition Overview in BPMS.</t>
  </si>
  <si>
    <t>Configuration of the data from the source screen ,Need to validate data from the source screen cannot be automated</t>
  </si>
  <si>
    <t xml:space="preserve">Delivered to Uat for Parallel Testing (4424797(M))
</t>
  </si>
  <si>
    <t>[DSP - Core Solution Plan] DSP Fileds to be pulled from CXTA Calculator to Transition Overview in BPMS PPT/PDF.</t>
  </si>
  <si>
    <t>PPT and PDF cannot be automated</t>
  </si>
  <si>
    <t>[GEN AI - OBM] Masking of Opp ID , Opp Name and Client Name in both Opportunity Cost and Opportunity Metrics tabs.</t>
  </si>
  <si>
    <t>reshma.sundar</t>
  </si>
  <si>
    <t>Newly added only on 19th March</t>
  </si>
  <si>
    <t>Bug ID: 4439739(M) Delivered to Parallel UAT</t>
  </si>
  <si>
    <t>[GEN AI – Opportunity Benchmark] SG Tab‑Wise Enhancement – Costing &amp; Metrics at a Glance</t>
  </si>
  <si>
    <t>As it involves the validation of generated learnings against the KDA, it is complex for automation</t>
  </si>
  <si>
    <t>Delivered to Parallel UAT</t>
  </si>
  <si>
    <t>[GEN AI - Opportunity Benchmark] Masking of Opp ID, Opportunity Name and Client name and to be displayed with Industry Segment - Client Type in OBM.</t>
  </si>
  <si>
    <t>Bug ID: 4436955(M) Delivered to Parallel UAT</t>
  </si>
  <si>
    <t>[GEN AI - Opportunity Benchmark] Table columns to be highlighted for Both solution standards and Benchmark varinces in OBM.</t>
  </si>
  <si>
    <t>[GEN AI - Opportunity Benchmark] Opportunity Cost Sub Tab - Configuration and displaying the data in Graph view (Additional Graphs)</t>
  </si>
  <si>
    <t>[GEN AI - Opportunity Benchmark] Opportunity Metrics Sub Tab - Configuration and displaying the data in Graph view(Additional Graphs)</t>
  </si>
  <si>
    <t>[GEN AI - SVC] Cost Comparison Table flow in Solution Version Comparator.</t>
  </si>
  <si>
    <t>Swati</t>
  </si>
  <si>
    <t>swati.bo.sharma</t>
  </si>
  <si>
    <t>2H, 1L, 5 M Bugs</t>
  </si>
  <si>
    <t>[GEN AI - SVC] KDA Comparison Table flow in Solution Version Comparator.</t>
  </si>
  <si>
    <t>[GEN AI - Opportunity Benchmark] Edit span of search logic update for QDI / Opportunity Benchmarks</t>
  </si>
  <si>
    <t>Complex user story cannot automate as iwe need to generate multiple learnings and it contains multiple checks</t>
  </si>
  <si>
    <t xml:space="preserve">Delivered to UAT  </t>
  </si>
  <si>
    <t>[GEN AI - SVC] Solution Version Comparator flow to be added in Opportunity Benchmarks tab for all SGs.</t>
  </si>
  <si>
    <t>Naveen Arunachalam</t>
  </si>
  <si>
    <t>naveen.arunachalam</t>
  </si>
  <si>
    <t>OBM generate learning related stories so can't be automated</t>
  </si>
  <si>
    <t>Deliver to parallel UAT testing</t>
  </si>
  <si>
    <t>[GEN AI - Opportunity Benchmark] Navigation to the Opportunity Benchmarks tab from Select Span of search popup.</t>
  </si>
  <si>
    <t>Navya</t>
  </si>
  <si>
    <t>kalpana.boodidha</t>
  </si>
  <si>
    <t>[GEN AI - Opportunity Benchmark] Solution version selection not available for any one of the SG Flow.</t>
  </si>
  <si>
    <t>[GEN AI - Opportunity Benchmark] Updated Span of search for QDI/Opportunity Benchmark.</t>
  </si>
  <si>
    <t>more filters criterias to be validated cannot automated</t>
  </si>
  <si>
    <t>Delivered For UAT</t>
  </si>
  <si>
    <t>[GEN AI - Opportunity Benchmark ] Both Benchmarks and Solution Version Selection flow -- Opportunity Benchmarks Learning Type.</t>
  </si>
  <si>
    <t>So complex user story as it contains more screen validation of Gen AI scenarios and more filters criterias</t>
  </si>
  <si>
    <t>[GEN AI - Opportunity Benchmark] -Add or Edit Opportunities in Benchmark Analysis</t>
  </si>
  <si>
    <t>10</t>
  </si>
  <si>
    <t>[GEN AI - Opportunity Benchmark] Benchmark opportunity selection for refreshing the data for Cost and KDA Metrics table/graph details for all SGs.</t>
  </si>
  <si>
    <t>3 M, 1 L Bugs</t>
  </si>
  <si>
    <t>[GEN AI - SVC] Solution Version Comparator Inside agent flow from SSA.</t>
  </si>
  <si>
    <t>n.g.senthil.kumar</t>
  </si>
  <si>
    <t>[GEN AI - Opportunity Benchmark] Benchmarks flow -- Benchmarks Only selected flow for Opportunity Benchmarks Learning Type.</t>
  </si>
  <si>
    <t>[GEN AI - Retrospective Learning] Learning Landing Page is updated with the new design.</t>
  </si>
  <si>
    <t>[GEN AI - Opportunity Benchmark] Refresh button for refreshing the data for Cost and KDA Metrics details in the Solution Version for all SGs.</t>
  </si>
  <si>
    <t>Deliverd to UAT</t>
  </si>
  <si>
    <t>[GEN AI - Opportunity Benchmark] Notes/Edit Span of search/Notification icon to be made as common and will be visible for Opportunity Benchmarks</t>
  </si>
  <si>
    <t>[GEN AI - Opportunity Benchmark] Metrics at a glance flow with both Benchmarks/Solution Version Selection flow under Opportunity Metrics sub tab.</t>
  </si>
  <si>
    <t>[GEN AI - Opportunity Benchmark] After generating the Opportunity Benchmarks and Sub Tabs displaying of Opportunity Benchmarks.</t>
  </si>
  <si>
    <t>[GEN AI - Opportunity Benchmark] Mail and learning name update for Retrospective learnings</t>
  </si>
  <si>
    <t>Email Validation cannot be automated</t>
  </si>
  <si>
    <t>[GEN AI - Opportunity Benchmark] Validations for Solution Comparator/Opportunity Benchmarks.</t>
  </si>
  <si>
    <t>[GEN AI - Opportunity Benchmark] Opportunity Benchmark/Solution Comparator - Was this all content useful ? feedback option to be added in each subtab.</t>
  </si>
  <si>
    <t>[GEN AI - Opportunity Benchmark] QDI/Opportunity Benchmarks/Solution Version Comparator Notification Messages.</t>
  </si>
  <si>
    <t>[GEN AI - Opportunity Benchmark ] Solution Version Selection flow -- Solution Version Only selected flow for Opportunity Benchmarks Learning Type.</t>
  </si>
  <si>
    <t>[GEN AI - Retrospective Learnings] Result set should be on Top level and under each result QDI, Opportunity Benchmarks tabs will be present.</t>
  </si>
  <si>
    <t>[GEN AI - Opportunity Benchmark] Navigating to Opportunity Cost Sub tab under Opportunity Benchmarks.</t>
  </si>
  <si>
    <t>[GEN AI - Opportunity Benchmark] Costing at a glance flow with Only Benchmarks flow under Opportunity Cost sub tab.</t>
  </si>
  <si>
    <t>[GEN AI - Opportunity Benchmark] Opportunity Cost Sub Tab - Configuration and displaying the data in Graph view</t>
  </si>
  <si>
    <t>Pratik</t>
  </si>
  <si>
    <t>vignesh.jagathisan</t>
  </si>
  <si>
    <t>OBM related US also involves graph validation , automation not feasible</t>
  </si>
  <si>
    <t>[GEN AI - Opportunity Benchmark] Navigating to Opportunity Metrics Sub tab under Opportunity Benchmarks.</t>
  </si>
  <si>
    <t>[GEN AI - Opportunity Benchmark] Metrics at a glance flow with Only Benchmarks flow under Opportunity Metrics sub tab.</t>
  </si>
  <si>
    <t>[GEN AI - Opportunity Benchmark] Opportunity Metrics Sub Tab - Configuration and displaying the data in Table view</t>
  </si>
  <si>
    <t>38</t>
  </si>
  <si>
    <t>50%</t>
  </si>
  <si>
    <t>Delivered for Parallel Testing 4428627(H)</t>
  </si>
  <si>
    <t>[GEN AI - Opportunity Benchmark] Opportunity Metrics Sub Tab - Configuration and displaying the data in Graph view</t>
  </si>
  <si>
    <t>[GEN AI - Opportunity Benchmark] Costing at a glance flow with both Benchmarks/Solution Version Selection flow under Opportunity Cost sub tab.</t>
  </si>
  <si>
    <t>[GEN AI - Opportunity Benchmark] Opportunity Cost Sub Tab - Configuration and displaying the data in Table view</t>
  </si>
  <si>
    <t>As a SA working with multi-technology S2C deals I want "Use As-Is from Solution Plan" to be enabled only for the DSP-sourced technology So that I maintain content integrity by ensuring access to original DSP content</t>
  </si>
  <si>
    <t>As this US contains more screen validation of Gen AI scenarios</t>
  </si>
  <si>
    <t>As a S2C Reviewer I want single section review capabilities with technology-specific independence so that I can efficiently review, validate, and provide feedback on nudge content across multiple technologies with appropriate role-based access</t>
  </si>
  <si>
    <t>As a myISP user, I want to update the Review Status in the Scope and Watchlist Summary tab so that acceptance criteria is achieved.</t>
  </si>
  <si>
    <t>email trigger validation is not possible</t>
  </si>
  <si>
    <t>As a myISP user, I want to access the Alerts and Reviewer Comments tab under Output Documents so that SA can address all notified responses for each nudge efficiently in one go</t>
  </si>
  <si>
    <t>As a Solution Architect working with multi-technology S2C deals I want generated documents to clearly show nudge names with technology suffixes and appropriate content tagging So that I can easily identify which technology each nudge applies.</t>
  </si>
  <si>
    <t>As a Solution Architect, I want Salesforce to be selectable and configurable for SI deals (DSP?driven) with multi?technology add/remove behavior so that SI enablement and S2C workflow parity are maintained</t>
  </si>
  <si>
    <t>As this US contains 5 Technology configuration in WRS For S2C Ingestion</t>
  </si>
  <si>
    <t>As a SA, when I select "Predefined Legal Suggestions," I want the system to generate responses for all sections in one go so that I can view all generated responses for the selected Technologies Independently</t>
  </si>
  <si>
    <t>this story contains LLM response validation</t>
  </si>
  <si>
    <t>As a Solution Architect, I want to see Salesforce technology prominently displayed at the top of the Content to Contract section, so that I maintain clear context of my technology selections and can proceed with targeted contract generation</t>
  </si>
  <si>
    <t>As a reviewer, I want to download an Excel file with all Nudges that have content by clicking the One-Click Review File button, So that I can easily review all filled Nudges in one place and access any associated files quickly.</t>
  </si>
  <si>
    <t>Excel file validation not possible</t>
  </si>
  <si>
    <t>Delivered to uat</t>
  </si>
  <si>
    <t>As a Solution Architect I want to select a predefined definition that includes an image So that the selected definition and image are copied into the contract content</t>
  </si>
  <si>
    <t>Word document validation and image validation is not feasible</t>
  </si>
  <si>
    <t>As a SA generating responses using One-Click functionality, I want the system to display a success toaster message immediately after each Level 3 nudge is generated, So that I have clear, real-time confirmation of successful generation for each nudge.</t>
  </si>
  <si>
    <t>S2C contains 100+ nudges so validating all is not feasible</t>
  </si>
  <si>
    <t>[GEN AI - DLC] - Ingestion of DLC Documents for Deal Level Canvas</t>
  </si>
  <si>
    <t>Document Upload Story</t>
  </si>
  <si>
    <t>[GEN AI - DLC] - File Type Flagging to Control DLC and HSP Processing</t>
  </si>
  <si>
    <t>File upload label validation, automation not feasible</t>
  </si>
  <si>
    <t>[GEN AI - DLC] - Generate Recommendations from Similar Past Opportunities</t>
  </si>
  <si>
    <t>[GEN AI - DLC] - Pre‑Processing of DLC Documents for Nudge‑Based Recommendations</t>
  </si>
  <si>
    <t>Venkat/Dinesh</t>
  </si>
  <si>
    <t>Technical: [Gen AI - SRA] - I should be able to generate review response for the L2 attributes using 'Initiate Review' and 'One Click Comprehensive Review'.</t>
  </si>
  <si>
    <t>[Gen AI - SRA] - I should be able to click on any L2 attribute and perform review in the Review Agent.</t>
  </si>
  <si>
    <t>[Gen AI - SSA] - Single Agent Query Inside Module Without @ Selection (For all the Modules)</t>
  </si>
  <si>
    <t>[Gen AI - SSA] - Single Agent Query Inside Module With @ Selection (for all the modules)</t>
  </si>
  <si>
    <t>[GEN AI - Opportunity Benchmark] - Display Industry Segment and Client Type Instead of Opportunity ID and Name</t>
  </si>
  <si>
    <t>x`</t>
  </si>
  <si>
    <t>Song Compliant Logic Update [Digital Documentation]-As a myISP User, I want to provide onetime update for existing deals ,update the RAG , Score as per updated Song Compliance Logic so that all historical and active deals reflect accurate compliance status</t>
  </si>
  <si>
    <t>One time Update related US</t>
  </si>
  <si>
    <t>Song Compliant Logic Update[Digital Documentation] - As a myISP user, I want to update the ?Song Compliance Logic? in the Digital Documentation screen so that the solution plan document upload is considered for making deals Song-compliant.</t>
  </si>
  <si>
    <t>Value Shaping - As a myISP User - V2V Configurator - I want to access the Digital Documentation tile in read-only mode and navigate using the fixed breadcrumb path so that I can maintain workflow continuity.</t>
  </si>
  <si>
    <t>Vinesha</t>
  </si>
  <si>
    <t>Multiple checkpoints and complexity is high</t>
  </si>
  <si>
    <t>Value Shaping - As a myISP User - V2V Configurator - I want to access the DSP in read-only mode and navigate using the fixed breadcrumb path so that I can maintain workflow continuity.</t>
  </si>
  <si>
    <t>As a myISP user, I want the option to generate Primary response by clicking on Predefined Legal suggestions in "Generate content for single section" so that the acceptance criteria is achieved</t>
  </si>
  <si>
    <t>Prompt generation</t>
  </si>
  <si>
    <t>[Gen AI - SRA] - As a myISP User, I should be able to expand or collapse L2 nudges using arrow icons and navigate across L2 and L3 nudges using directional arrows.</t>
  </si>
  <si>
    <t>[Gen AI - SRA] - As a myISP user, I want to click the Review Agent tile to open the Solution Review page, where I can view review preparation details on the left and input selection options on the right.</t>
  </si>
  <si>
    <t>[Gen AI - SRA] - As a myISP user, I want to click the Review Agent tile to open the Solution Review page, where I can select required inputs on the right for the Solution Review.</t>
  </si>
  <si>
    <t>[Gen AI - SSA] - Agent Discovery and Guidance via User Queries</t>
  </si>
  <si>
    <t>LLM related response validation cannot be automated</t>
  </si>
  <si>
    <t>[GEN AI - Retrospective Learning] Add QDI related metrics data</t>
  </si>
  <si>
    <t>Delivered for Parallel UAT</t>
  </si>
  <si>
    <t>Impact Check: As a Myisp user, I want the role "Enterprise SA" to be renamed to "Market Maker ESA" in myISP So that the role name clearly reflects the Market Make ESA in Digital Documentation module</t>
  </si>
  <si>
    <t>Renaming validation to be done across all impacted screens in myISP including mail, so automation not feasible</t>
  </si>
  <si>
    <t>As an Advisory song SA, I want to access the Digital Documentation tile in read-only mode so that I can maintain and view workflow continuity.</t>
  </si>
  <si>
    <t>As this user story has more than 50+screens and complex as well to automate</t>
  </si>
  <si>
    <t>As a S2C Reviewer, I want only the assigned reviewer to be able to update reviewer comments and review status for a line item, so that data integrity is maintained.</t>
  </si>
  <si>
    <t>As a S2C user, I want an email to be sent to the specific assigned reviewer when the status is changed to Ready to Review So that the correct reviewer is notified promptly while keeping other reviewers informed via CC.</t>
  </si>
  <si>
    <t>[Gen AI - SRA] - As a myISP User, I should be able to view the Opportunity Details (MMS ID, Opportunity Name, Client, Stage, RDE) in a single?line header on the right side of the screen</t>
  </si>
  <si>
    <t>Bug:4430241(M)-F-Closed</t>
  </si>
  <si>
    <t>[Gen AI - SRA] As a myISP user, I should be able to view the Opportunity Summary and key opportunity details on the Opportunity Context screen so that I can quickly understand the background and critical parameters before starting the review.</t>
  </si>
  <si>
    <t>Multiple checkpoints with screens to automate</t>
  </si>
  <si>
    <t>Bug:4441809(M)-F-cLOSED</t>
  </si>
  <si>
    <t>[Gen AI - SRA] - As a myISP user, I should be able to access a �Review Outcomes� page from the Solution Review page so that I can view or edit any existing review versions.</t>
  </si>
  <si>
    <t>Multiple checkpoints with screens to automate.</t>
  </si>
  <si>
    <t>Bug-4423700(F)-M-Closed</t>
  </si>
  <si>
    <t>[Gen AI - SRA] As a myISP user, I should be able to access the RFP Synthesis and Deal Level Canvas documents from the Opportunity Context screen so that I can review reference materials before beginning the comprehensive review.</t>
  </si>
  <si>
    <t>[Gen AI - SRA] - As a myISP User, I should be able to view contextual guidance, intuitive navigation controls, and be redirected smartly based on existing documents avoiding unnecessary clicks.</t>
  </si>
  <si>
    <t>[DSP - Review/Approval] Comments column to be added in Review/Approver screen under DSP Summary so that SAs can view the feedback/comments given for each record in DSP.</t>
  </si>
  <si>
    <t>[DSP - PPT/PDF] Comments/Feedback to be displayed in downloaded PPT/PDF for Review/Approval Slides after Signoff Status.</t>
  </si>
  <si>
    <t>PPT download functionality</t>
  </si>
  <si>
    <t>[DSP - MDA] Abort button to be added for cancelling the generation of MSDA version from Digital Solution Version.</t>
  </si>
  <si>
    <t>MSDA generation</t>
  </si>
  <si>
    <t>[DSP - Core Solution Plan] Delete should be removed for Accenture Shift/On call rows in Shift/On call Coverage screen.</t>
  </si>
  <si>
    <t>[DSP - Risks] Risk template validations to be added while uploading to the system for all SGs</t>
  </si>
  <si>
    <t>Downloaded template cannot be automated</t>
  </si>
  <si>
    <t>Delivered To Uat for parallel Testing</t>
  </si>
  <si>
    <t>[DSP - Assumptions] Assumptions template validations to be added while uploading to the system for all SGs</t>
  </si>
  <si>
    <t>[DSP - Dependency] Dependency template validations to be added while uploading to the system for all SGs</t>
  </si>
  <si>
    <t>Download scenarios validation is there so can't be automated</t>
  </si>
  <si>
    <t>As a myISP user , i want to change the document type name from "Solution to win Approach" to "Solution to win scorecard" in upload document section.</t>
  </si>
  <si>
    <t>[DSP - Assessment Outcome] Renaming Assessment Outcome to Productivity % in AMS/IMS/BPMS SGs.</t>
  </si>
  <si>
    <t>[DSP - Scope] Test field to be highlighted in DSP Detailed Scope if the sub sections are selected in WRWS Scope Services/Offerings for SI.</t>
  </si>
  <si>
    <t>Validation should be done in the Downloded PPT&amp;PDF file</t>
  </si>
  <si>
    <t>[DSP - DNP/Expenses] In all download popups for DNP/Expenses toggle selection should be available for SAs to select Other Cost Custom DNP s - Details/Summary.</t>
  </si>
  <si>
    <t>[DSP - Appendix] List of Applications row to be added as default row in Appendix for all SGs.</t>
  </si>
  <si>
    <t>Document file validation not possible</t>
  </si>
  <si>
    <t xml:space="preserve">Delivered to UAT </t>
  </si>
  <si>
    <t>[Digital Documentaion] Ordering to be exchanged for Digital Solution Plan and Multi Service Deal Analytics positions in all places.</t>
  </si>
  <si>
    <t>[Gen AI - SRA] - As a myISP user, I want to rename the existing indication messages to clearly understand the review options and also add a confirmation pop‑up before starting a Full Review.</t>
  </si>
  <si>
    <t>[Gen AI - SSA] - As a myISP User, I should be able to see a confirmation pop-up when I select or remove the “Solution Configuration Agent” in the SSA chat.</t>
  </si>
  <si>
    <t>[GEN AI – HSP] Agentic API changes</t>
  </si>
  <si>
    <t>API Changes</t>
  </si>
  <si>
    <t>[Gen AI - SSA] -Provide Contextual Follow-Ups Based on Business Area, Not Agent (Conversational SSA)</t>
  </si>
  <si>
    <t>[DSP – Core Solution Plan] Enhancement to remove the shift/on-call coverage checkbox under Costing/Pricing section from all download pop-ups for AMS/SI SG.</t>
  </si>
  <si>
    <t>[CR - DSP] Sub Sevice Slides update for IMS Productivity in downloaded PPT/PDF</t>
  </si>
  <si>
    <t>CR Created for Download Document</t>
  </si>
  <si>
    <t>[Gen AI - SSA] - As a myISP User, I want to add the current release updates module‑wise in the What’s New section so that I can quickly understand recent enhancements without navigating external documentation.</t>
  </si>
  <si>
    <t>Added on Mar 25th</t>
  </si>
  <si>
    <t>[GEN AI - Opportunity Benchmark] As an OBM user I want a footer with Confidentiality Notice, Gen AI Disclaimer, and Data Privacy Statement Pop-ups So that I am aware of compliance and data privacy obligations</t>
  </si>
  <si>
    <t>[GEN AI - SVC] As a Solution Version Comparator user I want a footer with Confidentiality Notice, Gen AI Disclaimer, and Data Privacy Statement Pop-ups So that I am aware of compliance and data privacy obligatio</t>
  </si>
  <si>
    <t>As a Deal Level Canvas user I want a footer with Confidentiality Notice, Gen AI Disclaimer, and Data Privacy Statement pop-ups (replicating SRA format, rebranded to DLC) So that I am aware of compliance and data privacy obligations</t>
  </si>
  <si>
    <t>AMS - As a mySolutionPlanner developer, I want user must be able to Import Offline Utility (OU) from one version to another version on the same Opportunity in Staffing screen.</t>
  </si>
  <si>
    <t>Anu</t>
  </si>
  <si>
    <t>Abhijit</t>
  </si>
  <si>
    <t>Excel import not possible</t>
  </si>
  <si>
    <t>Bug -  4436907, 4436854</t>
  </si>
  <si>
    <t>AMS - OCP/DCTA: As a mySolutionPlanner developer, I should get Contract year level details by default in Resource Level Summary report</t>
  </si>
  <si>
    <t>Priyanka</t>
  </si>
  <si>
    <t>Ayush, Jothika</t>
  </si>
  <si>
    <t>Excel story cannot be automated</t>
  </si>
  <si>
    <t>AMS OCP/DCTA: As a mySolutionPlanner developer, I should get productivity values from Productivity Assessment in KDA Report, and the values should be in sync</t>
  </si>
  <si>
    <t>AMS OCP/DCTA: As a mySolutionPlanner developer, I want to populate updated Lever values for AD and AM (Custom and Package) in OCP and DCTA reports</t>
  </si>
  <si>
    <t xml:space="preserve">Delivered to UAT for parallel testing </t>
  </si>
  <si>
    <t>AMS RUM: As a mySolutionPlanner developer, I want to add the Named Resource Column Title in the RUM export file, so that the associated columns can be easily addressed</t>
  </si>
  <si>
    <t>AMS, IMS, SI-DCTA: As a mySolutionPlanner developer, I want to update the logic for deal RAG status to display in KDA Variance Analysis when the user triggers KDA, so that RAG color is aligned with the RAG color displayed for Adherence score in View KDA.</t>
  </si>
  <si>
    <t>Sriram</t>
  </si>
  <si>
    <t>Backend data required</t>
  </si>
  <si>
    <t>AMS, IMS, SI-OCP: As a mySolutionPlanner developer, I want to update the logic for deal RAG status to display in KDA Variance Analysis when the user triggers KDA, so that RAG color is aligned with the RAG color displayed for Adherence score in View KDA.</t>
  </si>
  <si>
    <t>AMS: As a mySolutionPlanner developer, I should be able to import staffing OU file successfully post generating ADL</t>
  </si>
  <si>
    <t>AMS: As a mySolutionPlanner developer, I want to populate updated Lever values for AD and AM (Custom and Package) in Productivity Assessment</t>
  </si>
  <si>
    <t>AMS-DCTA: As a mySolutionPlanner developer, I want to populate Negotiation Contingency and Price to Client after Negotiation Contingency fields in MMP reports</t>
  </si>
  <si>
    <t>Ayush</t>
  </si>
  <si>
    <t>Excel parts cannot be automated</t>
  </si>
  <si>
    <t>Bug - 4412417 (C)</t>
  </si>
  <si>
    <t>As myISP SA, I want to share Roles field from Labor JSON and Open for SA Notes field from Cost and Labor JSON to MSDA so that better reporting and comprehensive analysis can be done</t>
  </si>
  <si>
    <t>JSON and Excel story cannot be automated</t>
  </si>
  <si>
    <t>As a myISP SA, I want to send metrices to MMD for FFP-MMP KDA and MMD DATA Processing</t>
  </si>
  <si>
    <t>Saivinodhini</t>
  </si>
  <si>
    <t>Bhavana/Sathya</t>
  </si>
  <si>
    <t>MMD Integration Cannot be automated involves more calculation</t>
  </si>
  <si>
    <t>As a myISP SA, I want to send new definition type for billable expense in the expense tab in pricing input screen to OCP for calculations</t>
  </si>
  <si>
    <t>Amresh</t>
  </si>
  <si>
    <t>Sai/Sohana</t>
  </si>
  <si>
    <t>Requires excel report validation</t>
  </si>
  <si>
    <t xml:space="preserve"> Delivered to UAT for parallel testing</t>
  </si>
  <si>
    <t>As a Solution Architect, I want enhanced Skill Data Structure with ATCI/ATCP options and Domain/Business Group hierarchy in AMS staffing so that I can accurately categorize skills based on regional and organizational requirements</t>
  </si>
  <si>
    <t>BPMS - OCP/DCTA: As a mySolutionPlanner developer, I should get Contract year level details by default in Resource Level Summary report</t>
  </si>
  <si>
    <t>BPMS OCP- As a mySolutionPlanner developer, I want to add new tab under financial section of detailed report and make changes in Resource Level View Report when the user trigger Pricing, so users can view the Benchmark report with all the required details.</t>
  </si>
  <si>
    <t>Jothika</t>
  </si>
  <si>
    <t>Requires more scenarios validation and calculations</t>
  </si>
  <si>
    <t>BPMS-OCP: AS a mySolutionPlanner developer, I want Client Volume Discount to be computed by BPMS OCP engine so that Revenue can be generated from Price To Client considering Client Volume Discount along with other existing pricing/ discounting attributes.</t>
  </si>
  <si>
    <t>This user story requires excel export validation aswell, so cannot
be automated</t>
  </si>
  <si>
    <t>IMS - OCP/DCTA: As a mySolutionPlanner developer, I should get Contract year level details by default in Resource Level Summary report</t>
  </si>
  <si>
    <t>IMS-DCTA: As a mySolutionPlanner developer, I want to populate Negotiation Contingency and Price to Client after Negotiation Contingency fields in MMP reports</t>
  </si>
  <si>
    <t>Bug - 4412411 (C)</t>
  </si>
  <si>
    <t>IMS-OCP: As a mySolutionPlanner developer, I want to populate Negotiation Contingency and Price to Client after Negotiation Contingency fields in OCP reports</t>
  </si>
  <si>
    <t>Song Compliant Logic Update - As a Overall Song Delivery Approver I want to access the AMS Solution Components - OCP/DCTA section and KDA reports in read-only mode and navigate the fixed breadcrumb path so that I can maintain workflow continuity.</t>
  </si>
  <si>
    <t>Value Shaping - As a myISP User - Configurator V2V - I want to access the AMS Solution Components - OCP/DCTA section and KDA reports in read-only mode and navigate the fixed breadcrumb path so that I can maintain workflow continuity.</t>
  </si>
  <si>
    <t>Bug - 4432486 (M)</t>
  </si>
  <si>
    <t>As an Advisory song SA, I want to access the AMS OCP tile in read-only mode so that I can maintain and view workflow continuity.</t>
  </si>
  <si>
    <t>As a mySP user, I want to view the updated RAG logic for IPC DCT and IPC Lead PMO in SIVT Report</t>
  </si>
  <si>
    <t>Chaitanya</t>
  </si>
  <si>
    <t>Vinesh</t>
  </si>
  <si>
    <t>As a myISP user, I want to rename/deactivate for "IE SA" column in a data dump (Reporting Layer and SA Assignment layer) for mentioned roles so that IE SA can see the assignment for few applicable roles only for each Service Level in concatenated based.</t>
  </si>
  <si>
    <t>Alekhya</t>
  </si>
  <si>
    <t>As a myISP user, I should be able to enable list of BPMS - Operations (Offerings) in Alignment filter column and below filtered grid columns so that in SA Bandwidth Report so that calendar details should show based on the Offerings.</t>
  </si>
  <si>
    <t>Vamshi</t>
  </si>
  <si>
    <t>As a BPMS reporting Layer User, I want Incremental GenAI Productivity � YoY, Initial Productivity � YoY, and Total Productivity � YoY to be exposed in the BPMS Reporting Layer as separate columns for Year 1 through Year 10.</t>
  </si>
  <si>
    <t>[Technical] As a PMO user, I want to verify that the MasterCustomerNM is available in BPMS reporting layer so that user has better insights on client details</t>
  </si>
  <si>
    <t>As a BPMS User, I should be able to view the Lead SA - Operations field in the Benchmark Report so that I can get insights into the resource assigned to an Opportunity.</t>
  </si>
  <si>
    <t>As a myISP User, I should be able to include a new sheet named BPMS CXTA Details in the BPMS reporting layer so that CXTA details can be visible to PMOs.</t>
  </si>
  <si>
    <t>As a myISP User, I should be able to new fields added in the BPMS reporting layer so that PMOs can better insights</t>
  </si>
  <si>
    <t>As a myISP user, I want to enable "Advisory SA - SONG" role and assignments in a data dump (Reporting Layer and SA Assignment layer) for across SG.</t>
  </si>
  <si>
    <t>As a Myisp user, I want the role "Enterprise SA" to be renamed to "Market Maker ESA" in myISP So that the role name clearly reflects the Market Make ESA in Analytics Reports.</t>
  </si>
  <si>
    <t>As DATA team member, I want to refresh the latest data from OMDIA in backend DB tables so that impacted screens and reports will get the latest data from DB post successful refresh.</t>
  </si>
  <si>
    <t>[MDA-IMS]: As a SA, I want to append the 3 new tabs after the Staffing data tab in MDA Export Staffing Data Excel so that the export includes all required datasets in the correct structure</t>
  </si>
  <si>
    <t>Sahithya</t>
  </si>
  <si>
    <t>Manasa</t>
  </si>
  <si>
    <t>Excel data validation</t>
  </si>
  <si>
    <t>Delivered for parallel UAT testing</t>
  </si>
  <si>
    <t>[MDA-SI]: As a mySP user, I want to view the updated RAG logic in MSDA in sync with View KDA for IPC DCT and IPC Lead PMO</t>
  </si>
  <si>
    <t>Ankita</t>
  </si>
  <si>
    <t>Test Complete</t>
  </si>
  <si>
    <t>Testing is completed from PT end. UAT Testing Not Required.</t>
  </si>
  <si>
    <t>[MDA-IMS]: As a SA, I want to enable navigation in Financial Report to a dedicated page via the Cost Deal pivot breadcrumb only for OCP Route</t>
  </si>
  <si>
    <t>Bug-4430563(H) Delivered for Parallel UAT</t>
  </si>
  <si>
    <t>[MDA-AMS]: As a SA, I want to add I want to add a new Group filter in the Headcount (HC) Report for the OCP route</t>
  </si>
  <si>
    <t>Mohan</t>
  </si>
  <si>
    <t xml:space="preserve">
Delivered for Parallel UAT</t>
  </si>
  <si>
    <t>[MDA-AMS]: As a SA, I want to add I want to add a new Group filter in the Pyramid (PY) Report for the OCP route</t>
  </si>
  <si>
    <t>45</t>
  </si>
  <si>
    <t>21</t>
  </si>
  <si>
    <t>Bug ID: 4446233(M) - Defect moved to May 9th
Delivered for Parallel UAT</t>
  </si>
  <si>
    <t>[MDA-AMS]: As a SA, I want to add I want to add a new Group filter in the Financial Summary Report for the OCP route</t>
  </si>
  <si>
    <t>Bug ID:  4435622(M) - Defect moved to May 9th
Delivered for Parallel UAT</t>
  </si>
  <si>
    <t>[MDA-AMS]: As a SA, I want to add I want to add a new Group filter in the Pyramid Report for MMP route</t>
  </si>
  <si>
    <t>Gowsick</t>
  </si>
  <si>
    <t>47</t>
  </si>
  <si>
    <t>Deferred bug ID: 4435622(M)
Delivered for Parallel UAT</t>
  </si>
  <si>
    <t>CR-[MDA-PBI]: As a SA, I want to see the UI changes required in PBI reports for better visibility</t>
  </si>
  <si>
    <t>[MDA-IMS]: As a SA, I want to see Open for SA Note Column in IMS Pyramid Deal Pivot All Phases tab for OCP Route</t>
  </si>
  <si>
    <t>11</t>
  </si>
  <si>
    <t>Bug ID: 4423780(L)
Delivered for parallel UAT testing</t>
  </si>
  <si>
    <t>CR-[MDA‑PBI]: Implement New Service, Sub‑Service and CareerLevel Filtering Logic for HC SDM/CSDM/PMO View under FTE Deal Pivot for HC report</t>
  </si>
  <si>
    <t>Delivered for parallel UAT testing
4429046(H)</t>
  </si>
  <si>
    <t>CR-[MDA-Common]: As a Solution Architect (SA) / Lead Solution Architect, I want to have system permissions to create MSDA Deal Versions</t>
  </si>
  <si>
    <t>[MDA-IMS]: As a SA, I want to enable navigation in Financial Report with multiple Static reporting tabs via the Cost Deal pivot breadcrumb only for OCP Route</t>
  </si>
  <si>
    <t>23</t>
  </si>
  <si>
    <t xml:space="preserve">Bug: 4436704(H), 4438953(H), 4437692(M), </t>
  </si>
  <si>
    <t>[MDA-Common] Song Compliant Logic Update - As a Overall Song Delivery Approver ,I want to access the Multi-Service Deal Analytics tile in read-only mode and navigate using the fixed breadcrumb path so that I can maintain workflow continuity.</t>
  </si>
  <si>
    <t>PBI report validation cannot be automated and also involves multiple validation</t>
  </si>
  <si>
    <t>16</t>
  </si>
  <si>
    <t>[MDA-Common] Value Shaping - As a myISP User - Configurator V2V - I want to access the Multi-Service Deal Analytics tile in read-only mode and navigate using the fixed breadcrumb path so that I can maintain workflow continuity.</t>
  </si>
  <si>
    <t xml:space="preserve"> Delivered to parallel UAT</t>
  </si>
  <si>
    <t>PCW - As a Solution Architect, I want to create Solution Line ID during the PCW check-in process in the pcw staffing sheet so that it can be used for tracking and synchronization across versions and refresh operations.</t>
  </si>
  <si>
    <t>Sairam</t>
  </si>
  <si>
    <t>Sneha</t>
  </si>
  <si>
    <t>Related to PCW</t>
  </si>
  <si>
    <t>Excel Functionality</t>
  </si>
  <si>
    <t>API - Copy the Pricing Input screen data from source to target PCW versions</t>
  </si>
  <si>
    <t>Naveen S</t>
  </si>
  <si>
    <t>Kiruthiga</t>
  </si>
  <si>
    <t>PCW US</t>
  </si>
  <si>
    <t>As a Solution Architect, I want enhanced Skill Data Structure with ATCI/ATCP options and Domain/Business Group hierarchy in SI staffing so that I can accurately categorize skills based on regional and organizational requirements</t>
  </si>
  <si>
    <t>Divyasree</t>
  </si>
  <si>
    <t>Viji</t>
  </si>
  <si>
    <t>As an Advisory song SA, I want to access the Solution Components - SI tile in read-only mode so that I can maintain and view workflow continuity.</t>
  </si>
  <si>
    <t>As a myISP Solution Architect, I want to see the Solution Components (SI) MFE App migrated to Angular 21</t>
  </si>
  <si>
    <t>Angular Upgrade US</t>
  </si>
  <si>
    <t>Bug: 4425162</t>
  </si>
  <si>
    <t>Value Shaping - As a myISP User - V2V Configurator - I want to access the SI Solution Components tile in read-only mode and navigate using the fixed breadcrumb path so that I can maintain workflow continuity.</t>
  </si>
  <si>
    <t xml:space="preserve">Delivered to UAT for Parallel testing </t>
  </si>
  <si>
    <t>As a Solution Architect I want enhanced AEP refresh functionality with real-time integration between costing and tax input screen</t>
  </si>
  <si>
    <t>AEP - Involves integration from AEP env , So cannot be Automatable</t>
  </si>
  <si>
    <t>External Team integration</t>
  </si>
  <si>
    <t>As a SA, I want the automatic staffing screen to be disabled/hidden so that users cannot access or use this feature</t>
  </si>
  <si>
    <t>API - Copy the % of Price view values from source to target PCW version while check in from Expenses screen under Pricing Input screen</t>
  </si>
  <si>
    <t>As a myISP AMS SCA Agent user, I want to configure multiple cost detail rows and use a clear and reliable profile/group name matching approach so that I can efficiently maintain solution standard cost configurations.</t>
  </si>
  <si>
    <t>Sushil</t>
  </si>
  <si>
    <t>Agent testing is prompt-driven and highly dependent on dynamic inputs. Hence it cannot be automated</t>
  </si>
  <si>
    <t>As a myISP AMS Solution Configuration Agent I want the staffing screen to automatically ensure that resources are allocated in pairs for both Transition and Service Delivery phases .</t>
  </si>
  <si>
    <t>Ramya</t>
  </si>
  <si>
    <t>Bug 4399197-H</t>
  </si>
  <si>
    <t>As an AMS SCA User, I want the AI agent to populate Load Type correctly for India profiles</t>
  </si>
  <si>
    <t>As a AMS SCA User , I want the Contract Offering to automatically populate based on the selected AMS Service Type</t>
  </si>
  <si>
    <t>Monisha</t>
  </si>
  <si>
    <t>As an AMS SCA agent user, I want to configure Group‑wide Pricing via the agent so that pricing is saved correctly without manual UI updates.</t>
  </si>
  <si>
    <t>Vaishnavi</t>
  </si>
  <si>
    <t>As an AMS SCA agent user, I want to configure solution parameters and country‑based profiles via the agent so that parameters and profiles are saved correctly without manual UI updates.</t>
  </si>
  <si>
    <t xml:space="preserve">4444090-L, </t>
  </si>
  <si>
    <t>As an AMS SCA agent user, I want to create groups via the agent so that group details are saved correctly without manual UI updates.</t>
  </si>
  <si>
    <t>As an AMS SCA agent user, I want to configure Other Cost via the agent so that other cost details are saved correctly without manual UI updates.</t>
  </si>
  <si>
    <t>As an AMS SCA agent user, I want the planner agent to map my request to the correct sequence of agents so that solution actions are executed in the right order based on defined orchestration rules.</t>
  </si>
  <si>
    <t>Nagaratna</t>
  </si>
  <si>
    <t>As a AMS SCA Agent user, I want to map and unmap, Delete, Copy, add Groups functionalities via agent, so that I can configure &amp; do the actions via agnet by providing the prompt.</t>
  </si>
  <si>
    <t>As a myISP AMS SCA Agent user, I want to update the Costing screen PMO Tax configuration functionality in agent, so that I can perform PMO Tax configuration via agent without navigating UI screens.</t>
  </si>
  <si>
    <t>As a myISP AMS SCA Agent user, I want the Agent to automatically correct any mismatch between Pyramid totals and Ramp?Up totals during version creation, so that version creation and OCP generation complete successfully without manual intervention.</t>
  </si>
  <si>
    <t>As a myISP AMS Solution Configuration Agent user I want to sync Solution Version data to MSDA from both OCP simulation and Pricing Factor screen So that Multi-Service Deal Analytics has the latest pricing and deal information for reporting and analysis</t>
  </si>
  <si>
    <t>As a AMS SCA User I want the Solution Configuration Agent to configure Deal?Wide Year?on?Year Custom Margin based on my Prompt instruction, So that I can update pricing inputs without navigating through the UI.</t>
  </si>
  <si>
    <t>As a AMS SCA User I want to provide Generative AI details to an AI agent in natural language So that the Gen AI configuration is automatically saved to my solution version Without manually filling out the Gen AI screen fields</t>
  </si>
  <si>
    <t>As an AMS SCA agent user, I want to download the EID template, import a Named Resource Report (NRR), and include profiles into the Active tab so that profiles are created efficiently without manual entry.</t>
  </si>
  <si>
    <t>Bug: 4444090-H, 4446315-H</t>
  </si>
  <si>
    <t>As an AMS SCA Agent User, I want to update the latest prompts in the SCA Prompt library so that users can refer to them and configure the solution.</t>
  </si>
  <si>
    <t>4437727-H, 4437658-H, 4437645-H</t>
  </si>
  <si>
    <t>As a AMS SCA Agent User I want to configure rate card and import-export functionality through agent prompt So that I can set up rate card based on user prompt without navigating to UI</t>
  </si>
  <si>
    <t>4439855-H(Deffered)</t>
  </si>
  <si>
    <t>Value Shaping - As a myISP User - Configurator V2V - I want to access the AMS Solution Components tile in read-only mode and navigate using the fixed breadcrumb path so that I can maintain workflow continuity.</t>
  </si>
  <si>
    <t>As an Advisory song SA, I want to access the Solution Components - AMS tile in read-only mode so that I can maintain and view workflow continuity.</t>
  </si>
  <si>
    <t>Value Shaping - As a myISP User - Configurator V2V - I want to access the BPMS Solution Components tile in read-only mode and navigate using the fixed breadcrumb path so that I can maintain workflow continuity.</t>
  </si>
  <si>
    <t>jeba.momin</t>
  </si>
  <si>
    <t xml:space="preserve">The entire functionality needs to be checked in INSPIRE. Since it is a vast application, coding from scratch is not possible in a short span of time. We will include this as part of regression testing.
 </t>
  </si>
  <si>
    <t>As an Advisory song SA, I want to access the Solution Components - BPMS tile in read-only mode so that I can maintain and view workflow continuity.</t>
  </si>
  <si>
    <t>As a Solution Architect, I want to add an information message in the AMS DCSO tab so that the user is aware that the legacy DCSO will be disabled and can start using Digital DCSO going forward.</t>
  </si>
  <si>
    <t>As a Solution Architect, I want to add an information message in the SI DCSO tab so that the user is aware that the legacy DCSO will be disabled and can start using Digital DCSO going forward.</t>
  </si>
  <si>
    <t>As a BPMS User, I should be able to auto‑trigger the Fast Track Solutioning (FTS) email on Operations attributes screen save based on opportunity criteria using rolled‑up BPMS revenue for FTS calculation</t>
  </si>
  <si>
    <t>As an Advisory song SA, I want to access the SI OCP tile in read-only mode so that I can maintain and view workflow continuity.</t>
  </si>
  <si>
    <t>Sathya</t>
  </si>
  <si>
    <t>As a mySP user, I want to view the updated RAG logic for IPC DCT and IPC Lead PMO in View KDA Screen</t>
  </si>
  <si>
    <t>Sohana</t>
  </si>
  <si>
    <t>As a mySP user, I want to view the updated RAG logic for IPC DCT and IPC Lead PMO in KDA Variance Analysis</t>
  </si>
  <si>
    <t>Requires SIVT Report Validation</t>
  </si>
  <si>
    <t>As a mySP user, I want to view the updated RAG logic for IPC DCT and IPC Lead PMO in Harmonized KDA Screen</t>
  </si>
  <si>
    <t>As a mySP user, I want to share the updated RAG logic for IPC DCT and IPC Lead PMO flowing from View KDA Screen to MDA</t>
  </si>
  <si>
    <t>Requires excel report validation &amp; MDA Also needs to be Validated</t>
  </si>
  <si>
    <t>SI - OCP/DCTA: As a mySolutionPlanner developer, I should get Contract year level details by default in Resource Level Summary report</t>
  </si>
  <si>
    <t>Value Shaping - As a myISP User - Configurator V2V - I want to access the SI Solution Components - OCP/DCTA section and KDA reports in read-only mode and navigate the fixed breadcrumb path so that I can maintain workflow continuity. - Copy</t>
  </si>
  <si>
    <t>Song Compliant Logic Update - As a Overall Song Delivery Approver I want to access the SI Solution Components - OCP/DCTA section and KDA reports in read-only mode and navigate the fixed breadcrumb path so that I can maintain workflow continuity.</t>
  </si>
  <si>
    <t>SI-DCTA: As a mySolutionPlanner developer, I want to populate Negotiation Contingency and Price to Client after Negotiation Contingency fields in MMP reports</t>
  </si>
  <si>
    <t>Sai</t>
  </si>
  <si>
    <t>As a myISP SA, I want to introduce new definition type for billable expense in the expense tab in pricing input screen</t>
  </si>
  <si>
    <t>JSON file cannot be validated</t>
  </si>
  <si>
    <t>Delivered the user story to UAT for parallel testing</t>
  </si>
  <si>
    <t>As a myISP SA, I want to send new definition type for billable expense in the expense tab in pricing input screen to MMP DCTA for calculations</t>
  </si>
  <si>
    <t>Delivered User story to UAT for Parallel testing</t>
  </si>
  <si>
    <t>As a myISP SA, I want to introduce new definition type for billable expense in the JSON file which can be shared with DCTA</t>
  </si>
  <si>
    <t>As a PLD Lead, I should get the updated year as 2001-2026 in all assignment mail trigger from PLD</t>
  </si>
  <si>
    <t>Vishnupriya</t>
  </si>
  <si>
    <t>FY26 [BPMS BAU] - To show Baseline FTEs for DNP costs in the reports</t>
  </si>
  <si>
    <t>Aman</t>
  </si>
  <si>
    <t>Sindhuja</t>
  </si>
  <si>
    <t>FY26 [BPMS BAU] - Pyramid and productivity Report changes</t>
  </si>
  <si>
    <t>FY26 [BPMS BAU] - Enable XLSM Format Support for Custom Rates Bulk Upload Template</t>
  </si>
  <si>
    <t>FY26 [BPMS BAU] - Cost Management - Country and CTEP filter - For all Models - Part 2 - Test only</t>
  </si>
  <si>
    <t>Akshay</t>
  </si>
  <si>
    <t>FY26 [BPMS BAU] - Publish Approver List on Costing Resource screen</t>
  </si>
  <si>
    <t>FY26 [BPMS BAU] - Request for exception from using INSPIRE (When Requestor and Approver are same)</t>
  </si>
  <si>
    <t>FY26 [BPMS BAU] - "Intelligence used according to costing data" field has to be shared at offering level - Analytics DB</t>
  </si>
  <si>
    <t>Prateek</t>
  </si>
  <si>
    <t>FY26 [BPMS OCP] - To share Client Volume Discount through OCP billing JSON</t>
  </si>
  <si>
    <t>FY26 [BPMS BAU] - Consumption of Rolled up revenue from myISP</t>
  </si>
  <si>
    <t>FY26 [BPMS BAU] - To enable data sharing with the Reporting DB during BDL generation and Send for Price</t>
  </si>
  <si>
    <t>FY26 [BPMS BAU] - SDO - Reimagined - inclusion in myISP platform</t>
  </si>
  <si>
    <t>Angular Upgrade - Home Screen</t>
  </si>
  <si>
    <t>Keerthana</t>
  </si>
  <si>
    <t>Sudha</t>
  </si>
  <si>
    <t>Angular Upgrade - IMS</t>
  </si>
  <si>
    <t>Angular Upgrade - SI</t>
  </si>
  <si>
    <t>As an Advisory song SA, I want to access the Solution Components - IMS tile in read-only mode so that I can maintain and view workflow continuity.</t>
  </si>
  <si>
    <t>DCSO - Home screen validation</t>
  </si>
  <si>
    <t>DCSO - IMS version checks</t>
  </si>
  <si>
    <t>DCSO - Mod Impacts</t>
  </si>
  <si>
    <t>DCSO - SI version checks</t>
  </si>
  <si>
    <t>Feb'26 Release - UAT CRs</t>
  </si>
  <si>
    <t>Including Negotiation Contingency Percentage in Deal Billing Json - MMP</t>
  </si>
  <si>
    <t>Including Negotiation Contingency Percentage in Deal Billing Json - Mod Impacts</t>
  </si>
  <si>
    <t>Including Negotiation Contingency Percentage in Deal Billing Json - OCP</t>
  </si>
  <si>
    <t>LCM Infrastructure Migration - New Sub Service - COTs App Migration - Calculation Logic</t>
  </si>
  <si>
    <t>LCM Infrastructure Migration - New Sub Service - COTs App Migration - Reports, Integrations, Regression &amp; Migration</t>
  </si>
  <si>
    <t>LCM Infrastructure Migration - New Sub Service - COTs App Migration - UI &amp; Delivery Approach</t>
  </si>
  <si>
    <t>MDA Mod Impacts</t>
  </si>
  <si>
    <t>MDA Personalization</t>
  </si>
  <si>
    <t>Regression Testing</t>
  </si>
  <si>
    <t>Removal of "Mobilization Tool Team" section from Mobilization Detailed Costing Service</t>
  </si>
  <si>
    <t>Remove the Sub service values from Service Mobilization under the Capacity model offline and online</t>
  </si>
  <si>
    <t>Remove the Sub service values from Service Mobilization under the Capacity model offline and online - Mod Impacts</t>
  </si>
  <si>
    <t>Sonar fixes - 1</t>
  </si>
  <si>
    <t>Sonar fixes - 2</t>
  </si>
  <si>
    <t>Sonar fixes - 3</t>
  </si>
  <si>
    <t>Value Shaping - As a myISP User - Configurator V2V - I want to access the IMS Solution Components tile in read-only mode and navigate using the fixed breadcrumb path so that I can maintain workflow continuity.</t>
  </si>
  <si>
    <t>Song Compliant Logic Update - As a Overall Song Delivery Approver ,I want to access the Digital DCSO tile in read-only mode and navigate using the fixed breadcrumb path so that I can maintain workflow continuity. - Copy</t>
  </si>
  <si>
    <t>As an Advisory song SA, I want to access the Contract Solution Gap Analysis tile in read-only mode so that I can maintain and view workflow continuity.</t>
  </si>
  <si>
    <t>Karpagapriya</t>
  </si>
  <si>
    <r>
      <rPr>
        <sz val="9"/>
        <color rgb="FF000000"/>
        <rFont val="Aptos Narrow"/>
        <family val="2"/>
      </rPr>
      <t xml:space="preserve">Data validation is highly complex because the required information is integrated directly from SSA, </t>
    </r>
    <r>
      <rPr>
        <b/>
        <sz val="9"/>
        <color rgb="FF000000"/>
        <rFont val="Aptos Narrow"/>
        <family val="2"/>
      </rPr>
      <t>Specific SG‑based criteria, scenario‑dependent</t>
    </r>
  </si>
  <si>
    <t>Impact Check: As a Myisp user, I want the role "Enterprise SA" to be renamed to "Market Maker ESA" in myISP So that the role name clearly reflects the Market Make ESA in PLD Dashboard</t>
  </si>
  <si>
    <t>Integration scenarios</t>
  </si>
  <si>
    <t>Delivered to UAT with 4425003(M)</t>
  </si>
  <si>
    <t>As an Advisory song SA, I want to access the Digital DCSO tile in read-only mode so that I can maintain and view workflow continuity.</t>
  </si>
  <si>
    <t>Manisa Bid</t>
  </si>
  <si>
    <t>Value Shaping - As a myISP User - Configurator V2V - I want to access the Digital DCSO tile in read-only mode and navigate using the fixed breadcrumb path so that I can maintain workflow continuity.</t>
  </si>
  <si>
    <t>FY26 [BPMS BAU] - Impact of Productivity&amp;Impacted Screens_Employee&amp;HR _E2E_(Part 1)_(EmpSupport &amp; WFDA)_Test Only</t>
  </si>
  <si>
    <t>Aayushi</t>
  </si>
  <si>
    <t>Vishnu</t>
  </si>
  <si>
    <t>As these are integrated features and complex to automate in current sprint</t>
  </si>
  <si>
    <t>As an AMS SCA User, I want an Agentic AI to capture and populate Gen AI configuration details using a natural-language prompt, so that the Gen AI tab is auto-filled and saved to my solution version without manual data entry.</t>
  </si>
  <si>
    <t>4429005-H,4434985-H</t>
  </si>
  <si>
    <t>Song Compliant Logic Update - As a Overall Song Delivery Approver, I want to access the IMS Solution Components tile in read-only mode and navigate using the fixed breadcrumb path so that I can maintain workflow continuity.</t>
  </si>
  <si>
    <t>FY26 [BPMS BAU] - Maintain Master Tech Tools</t>
  </si>
  <si>
    <t>GHC Savings - Vulnerabilities</t>
  </si>
  <si>
    <t>IMS BAU - MRDB changes- March 3rd</t>
  </si>
  <si>
    <t xml:space="preserve">4368021
</t>
  </si>
  <si>
    <t xml:space="preserve">  </t>
  </si>
  <si>
    <t>Leads</t>
  </si>
  <si>
    <t>Functional POC to work with automation SME</t>
  </si>
  <si>
    <t>Automation POC</t>
  </si>
  <si>
    <t>Janardhan.veluri
Saranya.datla
n.selvakumar</t>
  </si>
  <si>
    <t>Kamali &amp; Ashish</t>
  </si>
  <si>
    <t>1. Maintainence of regression automated cases and running for each rls 
2. Maintainence of insprint automated cases and running for each rls
3. From the P1 manual regression cases - we have to analyze and automate whatever possible
4. Code merge, head less execution and pipeline execution</t>
  </si>
  <si>
    <t xml:space="preserve">logapriya.govindaraj
k.p.palanisamy
</t>
  </si>
  <si>
    <t>Sarthak</t>
  </si>
  <si>
    <t>kristapati.v.reddy</t>
  </si>
  <si>
    <t>Ashish/pujitha/Suchitha/nathiya</t>
  </si>
  <si>
    <t>shivaprasad.malekar</t>
  </si>
  <si>
    <t>Abhijit.a.nandi/sriram.a.karthikeyan</t>
  </si>
  <si>
    <t>Sanjana/Riya</t>
  </si>
  <si>
    <t>bhavana.pamidi/sathya.senthilkumar</t>
  </si>
  <si>
    <t>Ashish/Ruchitha</t>
  </si>
  <si>
    <t>Hajara/Leena</t>
  </si>
  <si>
    <t>rose.benedict and ritwik.sathishmohan</t>
  </si>
  <si>
    <t>Surabhi</t>
  </si>
  <si>
    <t>naga.v.pachipulusu
r.maheen.abu.backer
vadde.bindu</t>
  </si>
  <si>
    <t>Ruchitha</t>
  </si>
  <si>
    <t>mySP Initiative</t>
  </si>
  <si>
    <t>Sub Initiative</t>
  </si>
  <si>
    <t>TextVerification</t>
  </si>
  <si>
    <t>Parent</t>
  </si>
  <si>
    <t>State</t>
  </si>
  <si>
    <t>Testing POC</t>
  </si>
  <si>
    <t>Planned for PT Date</t>
  </si>
  <si>
    <t>Actual PT Date</t>
  </si>
  <si>
    <t>Planned UAT Date</t>
  </si>
  <si>
    <t>Actual UAT Date</t>
  </si>
  <si>
    <t>Assigned To</t>
  </si>
  <si>
    <t>Production Deployment Date</t>
  </si>
  <si>
    <t>Story Points</t>
  </si>
  <si>
    <t>Original Estimate</t>
  </si>
  <si>
    <t>Priority</t>
  </si>
  <si>
    <t>ETA</t>
  </si>
  <si>
    <t>UT Results Attached</t>
  </si>
  <si>
    <t>Code Review Completed</t>
  </si>
  <si>
    <t>Created By</t>
  </si>
  <si>
    <t>Created Date</t>
  </si>
  <si>
    <t>Tags</t>
  </si>
  <si>
    <t>Area Path</t>
  </si>
  <si>
    <t>Iteration Path</t>
  </si>
  <si>
    <t>Plan</t>
  </si>
  <si>
    <t>Remaining</t>
  </si>
  <si>
    <t>TextVerification1</t>
  </si>
  <si>
    <t>ExternalRef ID</t>
  </si>
  <si>
    <t>AMS SCA MVP2 March 28th Release Scope</t>
  </si>
  <si>
    <t>Rapid Soln</t>
  </si>
  <si>
    <t>GenAI</t>
  </si>
  <si>
    <t xml:space="preserve">AMS Solution Configuration Agent </t>
  </si>
  <si>
    <t>agentcrafters</t>
  </si>
  <si>
    <t>Damodaran, J. &lt;j.damodaran@accenture.com&gt;</t>
  </si>
  <si>
    <t>Panchal, Dhwani &lt;dhwani.panchal@accenture.com&gt;</t>
  </si>
  <si>
    <t>Pradhan, Kiran &lt;kiran.pradhan@accenture.com&gt;</t>
  </si>
  <si>
    <t>Parallel UAT; SSA - SCA (MVP2)</t>
  </si>
  <si>
    <t>AutomationProcess_29697\mySPRapidSolutioning\agentcrafters</t>
  </si>
  <si>
    <t>AutomationProcess_29697\mySolutionPlanner</t>
  </si>
  <si>
    <t>AMS Solution flow</t>
  </si>
  <si>
    <t>shwetha.shriyan</t>
  </si>
  <si>
    <t>Rani Agurla, Sowmya &lt;sowmya.rani.agurla@accenture.com&gt;</t>
  </si>
  <si>
    <t>AutomationProcess_29697\mySolutionPlannerIntegratedSolutionPlatform</t>
  </si>
  <si>
    <t>As a AMS SCA User  I want to provide Generative AI details to an AI agent in natural language  So that the Gen AI configuration is automatically saved to my solution version  Without manually filling out the Gen AI screen fields</t>
  </si>
  <si>
    <t>As an AMS SCA Agent User, I want to configure Rate Cards via Agent‑based Excel Import/Export, so that rate card details can be configured without manual UI navigation.</t>
  </si>
  <si>
    <t>As a AMS SCA Agent user,   I want to map and unmap, Delete, Copy, add Groups functionalities via agent,  so that I can configure &amp; do the actions via agnet by providing the prompt.</t>
  </si>
  <si>
    <t>parallel testing; SSA - SCA (MVP2)</t>
  </si>
  <si>
    <t>As a myISP AMS SCA Agent user,   I want to update the Costing screen PMO Tax configuration functionality in agent,   so that I can perform PMO Tax configuration via agent without navigating UI screens.</t>
  </si>
  <si>
    <t>SSA - SCA (MVP2)</t>
  </si>
  <si>
    <t>As a AMS SCA User  I want the Solution Configuration Agent to configure Deal?Wide Year?on?Year Custom Margin based on my Prompt instruction, So that I can update pricing inputs without navigating through the UI.</t>
  </si>
  <si>
    <t>CCB Approved; Defect; Parallel UAT; SSA - SCA (MVP2)</t>
  </si>
  <si>
    <t>AMS MVP1 – Refactoring Scope for Mar 28 (Profiles, Groups, Group‑wide Pricing, Other Cost, Planner Agent)</t>
  </si>
  <si>
    <t>AMS Refactoring Scope</t>
  </si>
  <si>
    <t>As an AMS SCA agent user, I want to configure Group?wide Pricing via the agent so that pricing is saved correctly without manual UI updates.</t>
  </si>
  <si>
    <t>NA</t>
  </si>
  <si>
    <t>AMS SCA MVP1</t>
  </si>
  <si>
    <t>As an AMS SCA agent user, I want to configure solution parameters and country?based profiles via the agent so that parameters and profiles are saved correctly without manual UI updates.</t>
  </si>
  <si>
    <t>CCB Approved; Change in Requirement; Development Request; Parallel UAT</t>
  </si>
  <si>
    <t>ESA role rename to Market Maker ESA</t>
  </si>
  <si>
    <t>Platform Consolidation</t>
  </si>
  <si>
    <t>DFD</t>
  </si>
  <si>
    <t>As a DFD requestor, instead of ESA, I should get Market Maker ESA role name in DFD once the assignment is done from either PLD or Define team</t>
  </si>
  <si>
    <t>BackDoorGuardians</t>
  </si>
  <si>
    <t>Jain, Himanshu &lt;himanshu.m.jain@accenture.com&gt;</t>
  </si>
  <si>
    <t>Sudheer, Nadupuru &lt;nadupuru.sudheer@accenture.com&gt;</t>
  </si>
  <si>
    <t>Vijay Deshpande, Prajakta &lt;p.vijay.deshpande@accenture.com&gt;</t>
  </si>
  <si>
    <t>AutomationProcess_29697\BackDoorGuardians</t>
  </si>
  <si>
    <t>DFD Enhancement</t>
  </si>
  <si>
    <t>sona.job</t>
  </si>
  <si>
    <t>Advisory SA - PLD cancellation and Status sync across DFD, PLD and Define Team</t>
  </si>
  <si>
    <t>DFD - Advisory SA</t>
  </si>
  <si>
    <t>[DFD Enhancement] Routing logic update for SA and SME types and Copyright year update</t>
  </si>
  <si>
    <t>Goriparthi, Anusha &lt;anusha.goriparthi@accenture.com&gt;</t>
  </si>
  <si>
    <t>UAT Testing Not Required</t>
  </si>
  <si>
    <t>DFD - GenAI routing</t>
  </si>
  <si>
    <t>As a DFD requestor, I should get the updated year as 2001-2026 in all DFD mails</t>
  </si>
  <si>
    <t>Mar28th_DFDStories; Po Input; UAT Testing Not Required</t>
  </si>
  <si>
    <t>DFD - Mail</t>
  </si>
  <si>
    <t>Ishwar Jaxanni, Manjunath &lt;m.ishwar.jaxanni@accenture.com&gt;</t>
  </si>
  <si>
    <t>Mar28th_DFDStories; UAT Testing Not Required</t>
  </si>
  <si>
    <t>DFD Routing</t>
  </si>
  <si>
    <t>DFD - Routing</t>
  </si>
  <si>
    <t>Is this a Global Capability Centre (GCC) or Captive opportunity? field changes and sync between DFD and Define Team</t>
  </si>
  <si>
    <t>DFD - GCC field update</t>
  </si>
  <si>
    <t>RA BPMS Feedback</t>
  </si>
  <si>
    <t>NextGen</t>
  </si>
  <si>
    <t>BPMS Onboarding</t>
  </si>
  <si>
    <t>BPMSBloggers</t>
  </si>
  <si>
    <t>Vv, Shini &lt;shini.vv@accenture.com&gt;</t>
  </si>
  <si>
    <t>Thangaraj, Dinesh &lt;dinesh.thangaraj@accenture.com&gt;</t>
  </si>
  <si>
    <t>Parallel UAT; PO inputs</t>
  </si>
  <si>
    <t>AutomationProcess_29697\mySPIntegratedSolutionPlatform\myISP_BPMS\BPMSBloggers</t>
  </si>
  <si>
    <t>AutomationProcess_29697</t>
  </si>
  <si>
    <t>Reviewer Approver</t>
  </si>
  <si>
    <t>TfO Internal Approvals: Enable auto‑approval when lead does not approve the  approval request</t>
  </si>
  <si>
    <t>myISP_BPMS</t>
  </si>
  <si>
    <t>As a PMO or Super User, I want the ability to set an approver as  Auto Approver so that approvals across all stages can be automatically processed without manual intervention</t>
  </si>
  <si>
    <t>BPMS RA; Parallel UAT</t>
  </si>
  <si>
    <t>Custom meeting slots for BPMS meeting scheduler</t>
  </si>
  <si>
    <t>As a BPMS SA , I want to select a ?Custom? meeting slot and provide start and end times so that I can request meetings outside predefined time options and have them synchronized with the Outlook meeting invite.</t>
  </si>
  <si>
    <t>VMM out of scope status and risk and compliance auto insert block for Foxtrot Q1 = No</t>
  </si>
  <si>
    <t>As a BPMS SA/PMO, I want the system to prevent auto?inserting the Risk &amp; Compliance approval request when Foxtrot Q1 is answered as NO, so that incorrect approval requests do not progress further in the workflow.</t>
  </si>
  <si>
    <t>Diel hierarchy - rolled up revenue</t>
  </si>
  <si>
    <t>As a BPMS stakeholder, I want the auto?assignment logic during auto insert to use rolled?up revenue instead of BPMS Net Revenue so that final approvers are selected accurately based on the full deal value.</t>
  </si>
  <si>
    <t>March Release DLC Revamp - Gen AI</t>
  </si>
  <si>
    <t>Code Mavin</t>
  </si>
  <si>
    <t>Ayyubkhan, Hajara &lt;hajara.ayyubkhan@accenture.com&gt;</t>
  </si>
  <si>
    <t>Jaiswal, Shivani &lt;shivani.b.jaiswal@accenture.com&gt;</t>
  </si>
  <si>
    <t>Kumar, Akash &lt;akash.ce.kumar@accenture.com&gt;</t>
  </si>
  <si>
    <t>GEN AI; LLM</t>
  </si>
  <si>
    <t>AutomationProcess_29697\myISP_DSP\Code Mavin</t>
  </si>
  <si>
    <t>GEN AI - DLC</t>
  </si>
  <si>
    <t>n.d.krishnakumar</t>
  </si>
  <si>
    <t>[GEN AI - DLC] - Pre-Processing of DLC Documents for Nudge-Based Recommendations</t>
  </si>
  <si>
    <t>GEN AI March Enhancements</t>
  </si>
  <si>
    <t>Das, Leena &lt;leena.a.das@accenture.com&gt;</t>
  </si>
  <si>
    <t>Venkata Durgarao, Adabala &lt;a.venkata.durgarao@accenture.com&gt;</t>
  </si>
  <si>
    <t>parallel testing; Parallel UAT; RFP</t>
  </si>
  <si>
    <t>RFP Synthesis</t>
  </si>
  <si>
    <t>parallel testing; Parallel UAT; SGC</t>
  </si>
  <si>
    <t>SGC</t>
  </si>
  <si>
    <t>GEN AI Feb Enhancements</t>
  </si>
  <si>
    <t>Parallel UAT; RFP</t>
  </si>
  <si>
    <t>Parallel UAT; SGC</t>
  </si>
  <si>
    <t>Gen AI</t>
  </si>
  <si>
    <t>Verma, Sarita &lt;sarita.verma@accenture.com&gt;</t>
  </si>
  <si>
    <t>DLC; GenAI_DLC_Revamp; March 28th myISP; Parallel UAT</t>
  </si>
  <si>
    <t>[Gen AI-DLC]-As a myISP user, I should be able to view the Response Summary in the Recommended from Opportunity Context section for a selected DLC version using another source selection so that I can compare and enrich the canvas with additional insights.</t>
  </si>
  <si>
    <t>[Gen AI - DLC] - As a myISP user, I should be able to generate a contextual response from the top 5 opportunities filtered by given criteria so that SA can select one opportunity, under Recommendation From Past Solution.</t>
  </si>
  <si>
    <t>Mobilization - CXTA Calculator : CXTA enhancements</t>
  </si>
  <si>
    <t>V2V</t>
  </si>
  <si>
    <t>Calculator</t>
  </si>
  <si>
    <t>Mobilization Calculator</t>
  </si>
  <si>
    <t>CodeCatalyst</t>
  </si>
  <si>
    <t>Mohan, Vindhiya &lt;vindhiya.mohan@accenture.com&gt;</t>
  </si>
  <si>
    <t>AutomationProcess_29697\mySPVisionToValue\CodeCatalyst</t>
  </si>
  <si>
    <t>AutomationProcess_29697\Backlog</t>
  </si>
  <si>
    <t>BPMS - CXTA</t>
  </si>
  <si>
    <t>nityanand.giri</t>
  </si>
  <si>
    <t>Mobilization CXTA Calculator : As a mySP CXTA user I need to add fields under Deal Details section so that it is as per Business standards</t>
  </si>
  <si>
    <t>Value Shaping –Enhancements</t>
  </si>
  <si>
    <t>Value Shaping</t>
  </si>
  <si>
    <t>CodeCrafters</t>
  </si>
  <si>
    <t>Krishnan, Pirtheebaa &lt;pirtheebaa.krishnan@accenture.com&gt;</t>
  </si>
  <si>
    <t>Rama Naidu Mutyala, V. &lt;v.rama.naidu.mutyala@accenture.com&gt;</t>
  </si>
  <si>
    <t>Pandey, Ansh &lt;ansh.pandey@accenture.com&gt;</t>
  </si>
  <si>
    <t>AutomationProcess_29697\mySPIntegratedSolutionPlatform\CodeCrafters</t>
  </si>
  <si>
    <t>Value Shaping - Configurator Link</t>
  </si>
  <si>
    <t>March Release NextGen Enhancements</t>
  </si>
  <si>
    <t>ESA to Market Maker ESA</t>
  </si>
  <si>
    <t>Ravindra Yadav, Niraj &lt;niraj.ravindra.yadav@accenture.com&gt;</t>
  </si>
  <si>
    <t>March 28th myISP</t>
  </si>
  <si>
    <t>AutomationProcess_29697\mySolutionPlannerIntegratedSolutionPlatform\R52</t>
  </si>
  <si>
    <t>Role Rename</t>
  </si>
  <si>
    <t>Enterprise SA should have Read–Write access to the Reporting &amp; Compliance module</t>
  </si>
  <si>
    <t>As a Enterprise SA, I should be able to have Read-Write access to the Reporting &amp; Compliance module (Maturity Index, Due Diligence, Solution Simplification) so that I can update compliance information for my solutions.</t>
  </si>
  <si>
    <t>Rajendra Anikhindi, Akshata &lt;a.rajendra.anikhindi@accenture.com&gt;</t>
  </si>
  <si>
    <t>BPMS; Parallel UAT</t>
  </si>
  <si>
    <t>ESA access</t>
  </si>
  <si>
    <t>Saraogi, Aaditi &lt;aaditi.saraogi@accenture.com&gt;</t>
  </si>
  <si>
    <t>Reporting &amp; Compliance</t>
  </si>
  <si>
    <t>As a BPMS Solution Architect, I Want to See Rolled Up BPMS Revenue used in the Global Watchlist Flag under operations Attributes of reporting &amp; Compliance</t>
  </si>
  <si>
    <t>3/28/2026 12:00:00 AM; Parallel UAT</t>
  </si>
  <si>
    <t>IPC Calculator | Updated RAG logic for IPC Delivery Toolkit and IPC Lead PMO</t>
  </si>
  <si>
    <t>IPC Calculator</t>
  </si>
  <si>
    <t>Selvamani, Kavichandrika &lt;k.b.selvamani@accenture.com&gt;</t>
  </si>
  <si>
    <t>Kumar, Amresh &lt;amresh.l.kumar@accenture.com&gt;</t>
  </si>
  <si>
    <t>KDA Variance Analysis</t>
  </si>
  <si>
    <t>Updating the logic for populating the Deal Rag Status in KDA Variance Analysis Report</t>
  </si>
  <si>
    <t>OCP</t>
  </si>
  <si>
    <t>AMS, SI, OCP</t>
  </si>
  <si>
    <t>AMS, SI-OCP: As a mySolutionPlanner developer, I want to update the logic for deal RAG status to display in KDA Variance Analysis when the user triggers KDA, so that RAG color is aligned with the RAG color displayed for Adherence score in View KDA.</t>
  </si>
  <si>
    <t>Sharma, Megha &lt;megha.bo.sharma@accenture.com&gt;</t>
  </si>
  <si>
    <t>AMS; OCP; Parallel UAT; SI</t>
  </si>
  <si>
    <t>AutomationProcess_29697\mySolutionPlannerRapidSolutioning\R63\Sprint159</t>
  </si>
  <si>
    <t>AMS, SI, DCTA</t>
  </si>
  <si>
    <t>AMS, SI-DCTA: As a mySolutionPlanner developer, I want to update the logic for deal RAG status to display in KDA Variance Analysis when the user triggers KDA, so that RAG color is aligned with the RAG color displayed for Adherence score in View KDA.</t>
  </si>
  <si>
    <t>AMS; DCTA; Parallel UAT; SI</t>
  </si>
  <si>
    <t>Song Deals Compliant Logic Update</t>
  </si>
  <si>
    <t>DFD-myISP</t>
  </si>
  <si>
    <t>Parallel UAT</t>
  </si>
  <si>
    <t>Compliant Status</t>
  </si>
  <si>
    <t>Enhancement for Generative AI tab for AMS</t>
  </si>
  <si>
    <t>AMS</t>
  </si>
  <si>
    <t>AMS; GEN AI; Parallel UAT; PO inputs</t>
  </si>
  <si>
    <t>AutomationProcess_29697\mySolutionPlannerRapidSolutioning\R53\Sprint135</t>
  </si>
  <si>
    <t>Generative AI</t>
  </si>
  <si>
    <t>Revamp- Tier 2 city</t>
  </si>
  <si>
    <t>Reporting &amp; Compliance -Tier 2 City</t>
  </si>
  <si>
    <t>Sangale, Vinayak L. &lt;vinayak.l.sangale@accenture.com&gt;</t>
  </si>
  <si>
    <t>Laha, Subarna &lt;subarna.laha@accenture.com&gt;</t>
  </si>
  <si>
    <t>CR; Reporting &amp; Compliance Revamp; Tier 2 City; UAT Testing Not Required; UI_Revamp</t>
  </si>
  <si>
    <t>AutomationProcess_29697\mySolutionPlannerV2V\R64</t>
  </si>
  <si>
    <t>Solution Simplification mandatory field updates</t>
  </si>
  <si>
    <t>BPMS; CR; Parallel UAT; Pilot Testing</t>
  </si>
  <si>
    <t>Solution Simplification screen</t>
  </si>
  <si>
    <t>Solution Simplification score</t>
  </si>
  <si>
    <t>Capco Template - Enhancement</t>
  </si>
  <si>
    <t>Capco Template</t>
  </si>
  <si>
    <t>Sharma, Manisha &lt;m.manisha@accenture.com&gt;</t>
  </si>
  <si>
    <t>AutomationProcess_29697\mySolutionPlannerV2V\R64\Sprint160</t>
  </si>
  <si>
    <t>myISP Enhancements</t>
  </si>
  <si>
    <t>Feb 21st myISP; March 28th myISP; Parallel UAT</t>
  </si>
  <si>
    <t>AutomationProcess_29697\mySolutionPlannerV2V\R49\Sprint121</t>
  </si>
  <si>
    <t>Kumar, Abhishek &lt;a.iw.kumar@accenture.com&gt;</t>
  </si>
  <si>
    <t>March 28th myISP; Parallel UAT</t>
  </si>
  <si>
    <t>BPMS Reporting &amp; Compliance UI Suggestions post demo call</t>
  </si>
  <si>
    <t>R&amp;C UI Suggestion</t>
  </si>
  <si>
    <t>R&amp;C UI Suggestions</t>
  </si>
  <si>
    <t>As a BPMS User, I should be able to auto?trigger the Fast Track Solutioning (FTS) email on Operations attributes screen save based on opportunity criteria using rolled?up BPMS revenue for FTS calculation</t>
  </si>
  <si>
    <t>BPMS; CR; Development Request; Parallel UAT</t>
  </si>
  <si>
    <t>AutomationProcess_29697\mySolutionPlannerIntegratedSolutionPlatform\R62\Sprint156</t>
  </si>
  <si>
    <t>Fast Track Solutioning (FTS) mail</t>
  </si>
  <si>
    <t>PLD - Advisory SA Role</t>
  </si>
  <si>
    <t xml:space="preserve">Advisory SA - Song </t>
  </si>
  <si>
    <t>As an Advisory  song SA, I want to access the Review Approvals tile in read-only mode so that I can maintain  and view workflow continuity.</t>
  </si>
  <si>
    <t>Basty Ananth Shenoy &lt;basty.ananth.shenoy@accenture.com&gt;</t>
  </si>
  <si>
    <t>PLD Enhancement</t>
  </si>
  <si>
    <t>As a BPMS User, I should be able to view and update the FTS toggle based on defined criteria using rolled?up BPMS revenue, with the ability to manually override when required, so that system compliance is ensured.</t>
  </si>
  <si>
    <t>Fast Track Solutioning (FTS) section</t>
  </si>
  <si>
    <t>ROI &amp; Summary (Tab 8) will be as is in automation calculator with Split of GEN AI, Opera and Agentic and Ux upgrade</t>
  </si>
  <si>
    <t>Automation Calculator</t>
  </si>
  <si>
    <t>Codeplayers</t>
  </si>
  <si>
    <t>Baskaran, Nandini &lt;nandini.baskaran@accenture.com&gt;</t>
  </si>
  <si>
    <t>Sunanda, Bandi &lt;bandi.sunanda@accenture.com&gt;</t>
  </si>
  <si>
    <t>Anandhapadmanaban, Megana &lt;m.anandhapadmanaban@accenture.com&gt;</t>
  </si>
  <si>
    <t>AutomationProcess_29697\mySPVisionToValue\Codeplayers</t>
  </si>
  <si>
    <t xml:space="preserve">ROI - Default PA values </t>
  </si>
  <si>
    <t>Billable Expense as % of Price</t>
  </si>
  <si>
    <t>DCTA</t>
  </si>
  <si>
    <t>SI OCP</t>
  </si>
  <si>
    <t>CodingCrusaders</t>
  </si>
  <si>
    <t>Manasa, Gunnam &lt;gunnam.manasa@accenture.com&gt;</t>
  </si>
  <si>
    <t>Aggarwal, Sugandha &lt;sugandha.a.aggarwal@accenture.com&gt;</t>
  </si>
  <si>
    <t>AutomationProcess_29697\mySPRapidSolutioning\CodingCrusaders</t>
  </si>
  <si>
    <t>AutomationProcess_29697\mySolutionPlannerRapidSolutioning\R63\Sprint158</t>
  </si>
  <si>
    <t>K.devaraj</t>
  </si>
  <si>
    <t>BPMS OCP: Cost/FTE/Year report</t>
  </si>
  <si>
    <t>BPMS</t>
  </si>
  <si>
    <t>BPMS; DCTA; OCP; Parallel UAT; Po Input</t>
  </si>
  <si>
    <t>Financial Section</t>
  </si>
  <si>
    <t>Price to Client after Negotiation Contingency calculation</t>
  </si>
  <si>
    <t>IMS OCP</t>
  </si>
  <si>
    <t>28th March Release; OCP</t>
  </si>
  <si>
    <t>IMS OCP Reports</t>
  </si>
  <si>
    <t>Cognilytics</t>
  </si>
  <si>
    <t>Kalaivanan, Devika &lt;devika.kalaivanan@accenture.com&gt;</t>
  </si>
  <si>
    <t>Kolluru, Krishna Chaitanya &lt;krishna.c.kolluru@accenture.com&gt;</t>
  </si>
  <si>
    <t>AutomationProcess_29697\mySPIntegratedSolutionPlatform\Cognilytics</t>
  </si>
  <si>
    <t>SIVT Report</t>
  </si>
  <si>
    <t>anil.kadiri</t>
  </si>
  <si>
    <t>Generative AI productivity calculation by Year on Year productivity % in separate columns</t>
  </si>
  <si>
    <t>As a BPMS reporting Layer User, I want Incremental GenAI Productivity ? YoY, Initial Productivity ? YoY, and Total Productivity ? YoY to be exposed in the BPMS Reporting Layer as separate columns for Year 1 through Year 10.</t>
  </si>
  <si>
    <t>Reporting layer</t>
  </si>
  <si>
    <t>Client name should be mapped to MasterCustomerNM in Mob architect , CXTA email &amp; Reporting Layer</t>
  </si>
  <si>
    <t>MasterCustomerNM</t>
  </si>
  <si>
    <t>Benchmark Report - Add a column for Lead SA - Operations</t>
  </si>
  <si>
    <t>Lead SA – Operations</t>
  </si>
  <si>
    <t>Reporting Layer: CXTA Fields to be added</t>
  </si>
  <si>
    <t>BPMS CXTA Details</t>
  </si>
  <si>
    <t>BPMS Reporting Layer</t>
  </si>
  <si>
    <t>Advisory SA Role Sync in DFD, PLD, Define Team</t>
  </si>
  <si>
    <t>Analytics</t>
  </si>
  <si>
    <t>As a myISP user, I want to enable "Advisory SA - SONG" role  and assignments in a data dump (Reporting Layer and SA Assignment layer) for across SG.</t>
  </si>
  <si>
    <t>Analytics; March 28th myISP</t>
  </si>
  <si>
    <t>AutomationProcess_29697\mySolutionPlanner\R45\Sprint 111</t>
  </si>
  <si>
    <t>PMO Reports</t>
  </si>
  <si>
    <t>March Release Analytics Enhancements</t>
  </si>
  <si>
    <t>As a myISP user, I should be able to  enable list of  BPMS - Operations (Offerings)  in Alignment filter column and below filtered grid columns so that  in SA Bandwidth Report so that calendar details should show based on the Offerings.</t>
  </si>
  <si>
    <t>Analytics; Calendar; March 28th myISP</t>
  </si>
  <si>
    <t>SA Bandwidth Reports</t>
  </si>
  <si>
    <t>PMO Report</t>
  </si>
  <si>
    <t>ROI - Automation Calculator - Default Logic</t>
  </si>
  <si>
    <t>CrazyCoders</t>
  </si>
  <si>
    <t>AutomationProcess_29697\mySPVisionToValue\CrazyCoders</t>
  </si>
  <si>
    <t>Ramkumar, Yuvanitharsana &lt;r.yuvanitharsana@accenture.com&gt;</t>
  </si>
  <si>
    <t>OCP/DCTA - Updating the logic for Calculating productivity assessment values in Recommended Productivity section</t>
  </si>
  <si>
    <t>OCP/DCTA</t>
  </si>
  <si>
    <t>CreativeCoders</t>
  </si>
  <si>
    <t>AutomationProcess_29697\mySPRapidSolutioning\CreativeCoders</t>
  </si>
  <si>
    <t>OCP/DCTA Productivity Report</t>
  </si>
  <si>
    <t>Sending Roles and Open for SA notes to MSDA along with Cost Description and Category</t>
  </si>
  <si>
    <t>As  myISP SA, I want to share Roles field from Labor JSON and Open for SA Notes field from Cost and Labor JSON to MSDA so that better reporting and comprehensive analysis can be done</t>
  </si>
  <si>
    <t>Ready for UAT</t>
  </si>
  <si>
    <t>AutomationProcess_29697\mySolutionPlannerRapidSolutioning\R55\Sprint139</t>
  </si>
  <si>
    <t>Pricing</t>
  </si>
  <si>
    <t>Pricing - KDA Report</t>
  </si>
  <si>
    <t>Corrections in OCP/DCTA Resource Level Excel Export Reports</t>
  </si>
  <si>
    <t>28th March Release; DCTA; OCP</t>
  </si>
  <si>
    <t>OCP/DCTA Report</t>
  </si>
  <si>
    <t>Feb21||UAT1||PLD||In Cluster management under Generate Pricing-&gt;One Click Pricing, Add Group is enabled in Actions column for cross service lead role.</t>
  </si>
  <si>
    <t>Cross Service PLD</t>
  </si>
  <si>
    <t>AutomationProcess_29697\mySolutionPlannerRapidSolutioning\R64</t>
  </si>
  <si>
    <t>PLD Enhancements</t>
  </si>
  <si>
    <t>Including Client Volume Discount for BPMS OCP</t>
  </si>
  <si>
    <t>Pricing - BPMS</t>
  </si>
  <si>
    <t>As an Advisory  song SA, I want to access the AMS OCP  tile in read-only mode so that I can maintain  and view workflow continuity.</t>
  </si>
  <si>
    <t>Value Shaping - As a myISP User - Configurator V2V -  I want to access the AMS Solution Components - OCP/DCTA section and KDA reports in read-only mode and navigate the fixed breadcrumb path so that I can maintain workflow continuity.</t>
  </si>
  <si>
    <t>CCB Approved; Development Request</t>
  </si>
  <si>
    <t>k.devaraj</t>
  </si>
  <si>
    <t>CCB Approved; Development Request; Parallel UAT</t>
  </si>
  <si>
    <t>Omdia Mapping data FY2025 - for the platform</t>
  </si>
  <si>
    <t>DATA Refresh</t>
  </si>
  <si>
    <t>DataSupport</t>
  </si>
  <si>
    <t>AutomationProcess_29697\mySolutionPlanner Team\BAU\DataSupport</t>
  </si>
  <si>
    <t>OMDIA for Client IT insight report</t>
  </si>
  <si>
    <t>karthi.madheshwaran</t>
  </si>
  <si>
    <t>Song Compliant Logic Update[Opportunities Dashboard &amp; PLD] - As a myISP User,I want to provide onetime update for existing deals ,update the RAG , Score as per new Song Compliance Logic so that historical &amp; active deals reflect accurate compliance status</t>
  </si>
  <si>
    <t>DevNinjas</t>
  </si>
  <si>
    <t>AutomationProcess_29697\mySolutionPlanner Team - NextGen\DevNinjas</t>
  </si>
  <si>
    <t>Enhance AEP refresh feature to handle use cases where SA updates DNP, Pricing, other screens on myISP end</t>
  </si>
  <si>
    <t>NextGen SI</t>
  </si>
  <si>
    <t>AEP-myISP</t>
  </si>
  <si>
    <t>DevStormers</t>
  </si>
  <si>
    <t>B Gadad, Anand &lt;anand.b.gadad@accenture.com&gt;</t>
  </si>
  <si>
    <t>Ganesan, Mathangi &lt;mathangi.a.ganesan@accenture.com&gt;</t>
  </si>
  <si>
    <t>AutomationProcess_29697\mySPRapidSolutioning\DevStormers</t>
  </si>
  <si>
    <t>AutomationProcess_29697\mySolutionPlannerRapidSolutioning\R64\Sprint160</t>
  </si>
  <si>
    <t>Implementation</t>
  </si>
  <si>
    <t>mervinkumar.manickam</t>
  </si>
  <si>
    <t>Billable Expenses as % of Price UI</t>
  </si>
  <si>
    <t>SI DCTA</t>
  </si>
  <si>
    <t>AutomationProcess_29697\mySolutionPlannerRapidSolutioning\R64\Sprint161</t>
  </si>
  <si>
    <t>PLD - cancellation</t>
  </si>
  <si>
    <t>DynamicDev</t>
  </si>
  <si>
    <t>AutomationProcess_29697\mySPIntegratedSolutionPlatform\DynamicDev</t>
  </si>
  <si>
    <t>Advisory SA cancellation</t>
  </si>
  <si>
    <t>Year update to 2025-2026 in PLD Cancellation mails</t>
  </si>
  <si>
    <t>As a PLD Lead, I, should get the updated year as 2001-2026 in all cancellation mail trigger from PLD</t>
  </si>
  <si>
    <t>Vijiyakumar, Harish &lt;harish.vijiyakumar@accenture.com&gt;</t>
  </si>
  <si>
    <t>Po Input; UAT Testing Not Required</t>
  </si>
  <si>
    <t>PLD - Cancellation mail</t>
  </si>
  <si>
    <t>PLD - Assignment Cancellation</t>
  </si>
  <si>
    <t>[Gen AI - SRA] - UI changes in Review Agent</t>
  </si>
  <si>
    <t>Solution Super Agent</t>
  </si>
  <si>
    <t>Gen AI - Solution Review Agent</t>
  </si>
  <si>
    <t>Kiran Kumar, Alugolu &lt;alugolu.kiran.kumar@accenture.com&gt;</t>
  </si>
  <si>
    <t>AutomationProcess_29697\mySPIntegratedSolutionPlatform\Gen AI - Solution Review Agent</t>
  </si>
  <si>
    <t>AutomationProcess_29697\mySolutionPlannerIntegratedSolutionPlatform\R63\Sprint158</t>
  </si>
  <si>
    <t>Solution Review Agent</t>
  </si>
  <si>
    <t>[Gen AI - SRA] - As a myISP User, I should be able to expand or collapse L2 nudges and navigate across L2 and L3 nudges using directional arrows.</t>
  </si>
  <si>
    <t>L2 and L3 navigation</t>
  </si>
  <si>
    <t>[Gen AI - SRA] - SRA Landing Page with DSP, RFP Synthesis Version, Deal Level Canvas, Review Outcomes</t>
  </si>
  <si>
    <t>[Gen AI - SRA] - As a myISP user, I want to click the Review Agent tile to open the Solution Review (SRA landing Page) page, where I can view review preparation details on the left and input selection options on the right.</t>
  </si>
  <si>
    <t>UI</t>
  </si>
  <si>
    <t>Landing Page UI</t>
  </si>
  <si>
    <t>Review Preparation</t>
  </si>
  <si>
    <t>[Gen AI - SRA] Introducing Opportunity Context screen in Solution Review Agent</t>
  </si>
  <si>
    <t>Shalom Fernando, Monica &lt;m.shalom.fernando@accenture.com&gt;</t>
  </si>
  <si>
    <t>CCB Approved; Parallel UAT; PO inputs</t>
  </si>
  <si>
    <t>AutomationProcess_29697\mySolutionPlannerRapidSolutioning\R61\Sprint154</t>
  </si>
  <si>
    <t>Opportunity Context</t>
  </si>
  <si>
    <t>Review Outcomes button</t>
  </si>
  <si>
    <t>CCB Approved; PO inputs</t>
  </si>
  <si>
    <t>Document Management</t>
  </si>
  <si>
    <t>[Gen AI - SRA] - Review Agent L2 summarization</t>
  </si>
  <si>
    <t>Development Request; Parallel UAT; Technical Story</t>
  </si>
  <si>
    <t>L2 Summarization</t>
  </si>
  <si>
    <t>[Gen AI - SRA] - As a MyISP user, I want to perform L2 Level Summarization using the generated L3 level review responses as inputs.</t>
  </si>
  <si>
    <t>Development Request; Parallel UAT</t>
  </si>
  <si>
    <t>CCB Approved; PO inputs; UI</t>
  </si>
  <si>
    <t>AutomationProcess_29697\mySolutionPlannerIntegratedSolutionPlatform\R64\Sprint160</t>
  </si>
  <si>
    <t>Informative Messages</t>
  </si>
  <si>
    <t>[Gen AI - SRA] - As a MyISP user, I should be able to click on any L2 Level attribute and view its canvas in the Review Agent.</t>
  </si>
  <si>
    <t>Parallel UAT; UI</t>
  </si>
  <si>
    <t>[Gen AI - SSA] - PII Reporting form changes.</t>
  </si>
  <si>
    <t>[Gen AI - SSA] - As a myISP User, I should be able to view and complete the PII Reporting form in a clear, three column layout and also rename the existing field names.</t>
  </si>
  <si>
    <t>GEN AI - Solution Super Agent</t>
  </si>
  <si>
    <t>AutomationProcess_29697\mySPIntegratedSolutionPlatform\GEN AI - Solution Super Agent</t>
  </si>
  <si>
    <t>PII Reporting</t>
  </si>
  <si>
    <t>pandidurai.ks</t>
  </si>
  <si>
    <t>CR: [Gen AI - SSA] - Featuring SSA chat as part of the screen</t>
  </si>
  <si>
    <t>SSA Chat</t>
  </si>
  <si>
    <t>[Gen AI - SSA] - As a myISP User, I should be able to quickly report PII from the SSA chat interface using a dedicated ?Report PII? icon so that I can immediately report PII.</t>
  </si>
  <si>
    <t>Follow-up nudges</t>
  </si>
  <si>
    <t>[Gen AI - SSA] - S2C Use Cases</t>
  </si>
  <si>
    <t>[Gen AI - SSA]- S2C -View Predefined Legal Responses Without Selecting MMS ID</t>
  </si>
  <si>
    <t>Saxena, Akshay &lt;akshay.c.saxena@accenture.com&gt;</t>
  </si>
  <si>
    <t>LLM</t>
  </si>
  <si>
    <t>[Gen AI - SSA]- S2C- Check SWD Status and Download Scope &amp; Watch List Document</t>
  </si>
  <si>
    <t>LLM; Parallel UAT</t>
  </si>
  <si>
    <t>[Gen AI - SSA]-S2C - Check Email Status and Trigger Email to Business SME</t>
  </si>
  <si>
    <t>[Gen AI - SSA]-S2C- Display Disclaimer for Predefined and Generated Legal Responses</t>
  </si>
  <si>
    <t>S2C pre-defined responses</t>
  </si>
  <si>
    <t>[Gen AI - SSA] - Span of Search</t>
  </si>
  <si>
    <t>Refine span of search</t>
  </si>
  <si>
    <t>[SSA - SCA] - Prompt Library UI changes</t>
  </si>
  <si>
    <t>Prompt Library management</t>
  </si>
  <si>
    <t>[SSA-HSP] - As a myISP User, I should be able to see the Local span of search fields default to ?All? when no opportunity is selected for Learn from Past Solutions.</t>
  </si>
  <si>
    <t>HSP Span of Search</t>
  </si>
  <si>
    <t>GEN AI QDI March Enhancements</t>
  </si>
  <si>
    <t>Chandra Tripathi, Saurabh &lt;s.chandra.tripathi@accenture.com&gt;</t>
  </si>
  <si>
    <t>QDI</t>
  </si>
  <si>
    <t>Retrospective Learnings - Opportunity Benchmarks</t>
  </si>
  <si>
    <t>[GEN AI - Opportunity Benchmark] Solution Super Agent Chat in Opportunity Benchmarks including similar deals flow using Benchmark filters.</t>
  </si>
  <si>
    <t>OBM MVP2; Opportunity Benchmarks; Parallel UAT</t>
  </si>
  <si>
    <t>Opportunity Benchmark</t>
  </si>
  <si>
    <t>[GEN AI - Opportunity Benchmark] Add/Editing of opportunities based on the deal characteristic filters in SSA Chat for Opportunity Benchmarks outside the Learning(SSA Homepage).</t>
  </si>
  <si>
    <t>[GEN AI - Opportunity Benchmark] Benchmark Opportunities search based on Logged in opportunity deal characteristic details through SSA Chat excluding the Retrospective Learnings for generating Opportunity benchmarks.</t>
  </si>
  <si>
    <t>Opportunity Benchmarks; Parallel UAT; SSA</t>
  </si>
  <si>
    <t>[Gen AI - SSA] - Enhancement of SSA Agent info. pane.</t>
  </si>
  <si>
    <t xml:space="preserve">Gen AI </t>
  </si>
  <si>
    <t>SSA</t>
  </si>
  <si>
    <t>AutomationProcess_29697\mySolutionPlannerIntegratedSolutionPlatform\R61\Sprint154</t>
  </si>
  <si>
    <t>OBM MVP2; Parallel UAT</t>
  </si>
  <si>
    <t>[GEN AI ? Solution Version Comparator] Route User to Solution Version Comparator When Version Comparison Query Is Detected</t>
  </si>
  <si>
    <t>[Gen AI - SSA] - Enhancements of SSA Chat</t>
  </si>
  <si>
    <t>MVP 3</t>
  </si>
  <si>
    <t>Global Span of Search</t>
  </si>
  <si>
    <t>Solution Version Comparator Feature in SSA</t>
  </si>
  <si>
    <t>Parallel UAT; Solution Version Comparator</t>
  </si>
  <si>
    <t>Solution Version Comparator</t>
  </si>
  <si>
    <t>LLM; Parallel UAT; PO inputs</t>
  </si>
  <si>
    <t>CCB Approved; LLM; Parallel UAT</t>
  </si>
  <si>
    <t>Pandidurai.ks</t>
  </si>
  <si>
    <t>CCB Approved; CR; Defect; Parallel UAT</t>
  </si>
  <si>
    <t>SCA Confirmation pop-up</t>
  </si>
  <si>
    <t>[Gen AI - SSA]-S2C -View Generated Contract Content for Selected Nudge Using DSP</t>
  </si>
  <si>
    <t>[Gen AI - SSA] - As a myISP User, I should be able to see a ?Total responses completed? metric in the SSA Accuracy / Agent Info pane for an agent so that I can quickly understand how many proper responses that agent has successfully generated.</t>
  </si>
  <si>
    <t>Agent info pane</t>
  </si>
  <si>
    <t>Tone change</t>
  </si>
  <si>
    <t>CDAT Gen AI additional Nudges addition.</t>
  </si>
  <si>
    <t>CDAT</t>
  </si>
  <si>
    <t>As a myISP user,  I want the existing Output Document generation behavior to continue working for previously supported nudges and also apply to newly added nudges.</t>
  </si>
  <si>
    <t>GENAI-CDAT</t>
  </si>
  <si>
    <t>Kaliki, Tulasi Reddy &lt;tulasi.reddy.kaliki@accenture.com&gt;</t>
  </si>
  <si>
    <t>CDAT Gen AI; Parallel UAT</t>
  </si>
  <si>
    <t>AutomationProcess_29697\mySPIntegratedSolutionPlatform\GENAI-CDAT</t>
  </si>
  <si>
    <t>AutomationProcess_29697\mySolutionPlannerIntegratedSolutionPlatform\R60.1\Sprint151.1</t>
  </si>
  <si>
    <t>CDAT Gen AI</t>
  </si>
  <si>
    <t>SA Team manager User Registration Fields update and Mail POC changes</t>
  </si>
  <si>
    <t>SA Team manager</t>
  </si>
  <si>
    <t>GoRetro</t>
  </si>
  <si>
    <t>Ashok, Sindhuja &lt;sindhuja.ashok@accenture.com&gt;</t>
  </si>
  <si>
    <t>AutomationProcess_29697\mySPIntegratedSolutionPlatform\GoRetro</t>
  </si>
  <si>
    <t>AutomationProcess_29697\mySolutionPlannerRapidSolutioning</t>
  </si>
  <si>
    <t>sowjanya.kari</t>
  </si>
  <si>
    <t>Selvakumar, Nivetha &lt;n.selvakumar@accenture.com&gt;</t>
  </si>
  <si>
    <t>Pandey, Shalini &lt;shalini.b.pandey@accenture.com&gt;</t>
  </si>
  <si>
    <t>Alla, Bhavana Reddy &lt;bhavana.reddy.alla@accenture.com&gt;</t>
  </si>
  <si>
    <t>As a BPMS User, I should be able to auto?trigger the Fast Track Solutioning (FTS) email from the Self Assign screen save based on opportunity criteria using rolled?up BPMS revenue for FTS calculation</t>
  </si>
  <si>
    <t>Self Assign</t>
  </si>
  <si>
    <t>As my solution planner Architect ,I want a request to automatically move to the ?Assigned? for DFD Request opportunity type under PMO Dashboard when an assignment is completed through Self Assign, So that PMO can track and reflect the correct status</t>
  </si>
  <si>
    <t>Defect; March 28th myISP</t>
  </si>
  <si>
    <t>AutomationProcess_29697\mySolutionPlannerIntegratedSolutionPlatform\R44</t>
  </si>
  <si>
    <t>PMO Dashboard - DFD</t>
  </si>
  <si>
    <t>Common</t>
  </si>
  <si>
    <t>As a MyISP user reviewing MMS Details, I want to see a Rolled?Up Revenue view by Service Group (AMS, IMS, etc.) under the Deal Hierarchy section, so that I can easily understand the combined revenue of parent and child for each service group</t>
  </si>
  <si>
    <t>Veluri, Janardhan &lt;janardhan.veluri@accenture.com&gt;</t>
  </si>
  <si>
    <t>PO inputs; UAT Testing Not Required</t>
  </si>
  <si>
    <t>MMS Details</t>
  </si>
  <si>
    <t>PMO Dashboard</t>
  </si>
  <si>
    <t>HSP March Release Enhancements</t>
  </si>
  <si>
    <t>Harvesting solutionPlan</t>
  </si>
  <si>
    <t>CCB Approved; HSP_GenAI; Parallel UAT</t>
  </si>
  <si>
    <t>AutomationProcess_29697\mySPIntegratedSolutionPlatform\Harvesting solutionPlan</t>
  </si>
  <si>
    <t>Prompts update</t>
  </si>
  <si>
    <t>[GEN AI - HSP] Prompts update for Scope Summary &amp; RACI categories based on SG wise in HSP.</t>
  </si>
  <si>
    <t>HSP_GenAI; Parallel UAT</t>
  </si>
  <si>
    <t>HSP</t>
  </si>
  <si>
    <t>myISP - Digital DCSO</t>
  </si>
  <si>
    <t>KDA</t>
  </si>
  <si>
    <t>DCSO</t>
  </si>
  <si>
    <t>Insurgents</t>
  </si>
  <si>
    <t>Autocreate; DCSO</t>
  </si>
  <si>
    <t>AutomationProcess_29697\mySPRapidSolutioning\Insurgents</t>
  </si>
  <si>
    <t>As an Advisory SA song , I want to access the SI OCP  tile in read-only mode so that I can maintain  and view workflow continuity.</t>
  </si>
  <si>
    <t>Value Shaping - As a myISP User - Configurator V2V -  I want to access the SI Solution Components - OCP/DCTA section and KDA reports in read-only mode and navigate the fixed breadcrumb path so that I can maintain workflow continuity. - Copy</t>
  </si>
  <si>
    <t xml:space="preserve">View KDA </t>
  </si>
  <si>
    <t>Khan, Sohana &lt;sohana.khan@accenture.com&gt;</t>
  </si>
  <si>
    <t>Harmonized KDA</t>
  </si>
  <si>
    <t xml:space="preserve">MDA </t>
  </si>
  <si>
    <t>MMP release: Billable Expense as % of Price</t>
  </si>
  <si>
    <t>IMS BAU - Monthy MRDB</t>
  </si>
  <si>
    <t>Inspire</t>
  </si>
  <si>
    <t>March' 26 Release</t>
  </si>
  <si>
    <t>myISP_IMS</t>
  </si>
  <si>
    <t>Ls, Srividhya &lt;srividhya.ls@accenture.com&gt;</t>
  </si>
  <si>
    <t>P K, Prabitha &lt;prabitha.p.k@accenture.com&gt;</t>
  </si>
  <si>
    <t>Zanpure, Priti &lt;priti.s.zanpure@accenture.com&gt;</t>
  </si>
  <si>
    <t>AutomationProcess_29697\mySPIntegratedSolutionPlatform\myISP_IMS</t>
  </si>
  <si>
    <t>Monthy MRDB</t>
  </si>
  <si>
    <t>supriya.a.dhingra</t>
  </si>
  <si>
    <t>Srinivasan, Vaidheki &lt;vaidheki.srinivasan@accenture.com&gt;</t>
  </si>
  <si>
    <t>Negotiation Contingency % in Billing Json for MMP &amp; OCP</t>
  </si>
  <si>
    <t>Negotiation Contingency</t>
  </si>
  <si>
    <t>LCM Infra - COTs App Replatform</t>
  </si>
  <si>
    <t>COTs Apps Replatform</t>
  </si>
  <si>
    <t>As an Advisory  song SA, I want to access the Solution Components - IMS tile in read-only mode so that I can maintain  and view workflow continuity.</t>
  </si>
  <si>
    <t>IMS BAU - Change Requests</t>
  </si>
  <si>
    <t>Capacity Card &amp; Capacity Model</t>
  </si>
  <si>
    <t>Technical User Stories</t>
  </si>
  <si>
    <t>Sonar Fixes</t>
  </si>
  <si>
    <t>DCSO IMS changes</t>
  </si>
  <si>
    <t>IMS DCSO Changes</t>
  </si>
  <si>
    <t>MDA personalization</t>
  </si>
  <si>
    <t>IMS BAU - Angular Upgrade</t>
  </si>
  <si>
    <t>Angular Upgrade</t>
  </si>
  <si>
    <t>March'26 Release</t>
  </si>
  <si>
    <t>IMS BAU - Regression Testing</t>
  </si>
  <si>
    <t>GHC</t>
  </si>
  <si>
    <t>UAT CRs</t>
  </si>
  <si>
    <t>FEB UAT CRs</t>
  </si>
  <si>
    <t>Mobilization Detailed Solutioning</t>
  </si>
  <si>
    <t>MYISP_Revamp_UI</t>
  </si>
  <si>
    <t>AutomationProcess_29697\mySPIntegratedSolutionPlatform\MYISP_Revamp_UI</t>
  </si>
  <si>
    <t>vikrant.r.mohite</t>
  </si>
  <si>
    <t>Angular upgrade version 19 to version 21 - 28th March</t>
  </si>
  <si>
    <t>Drop 2 - Angular upgrade v19 to v21</t>
  </si>
  <si>
    <t>Tamilzharasu, Kiruthiga T &lt;k.tamilzharasu@accenture.com&gt;</t>
  </si>
  <si>
    <t>Kamble, Pallavi &lt;pallavi.kamble@accenture.com&gt;</t>
  </si>
  <si>
    <t>Angular upgrade v19 to v21; PT Regression; Solution Components (SI) – MFE; UAT Testing Not Required</t>
  </si>
  <si>
    <t>Solution Components (SI) – MFE</t>
  </si>
  <si>
    <t>Angular upgrade v19 to v21; Estimators/Calculators; PT Regression; UAT Testing Not Required</t>
  </si>
  <si>
    <t>Shaik, Sadhik A. &lt;sadhik.a.shaik@accenture.com&gt;</t>
  </si>
  <si>
    <t>Angular upgrade v19 to v21; PT Regression; UAT Testing Not Required; What Are We Solving For - MFE</t>
  </si>
  <si>
    <t>What Are We Solving For - MFE</t>
  </si>
  <si>
    <t>Jacob, Mary &lt;mary.jacob@accenture.com&gt;</t>
  </si>
  <si>
    <t>Angular upgrade v19 to v21; PT Regression; RevampAssessment; UAT Testing Not Required</t>
  </si>
  <si>
    <t>Revamp Assessment</t>
  </si>
  <si>
    <t>Small Deal - COE</t>
  </si>
  <si>
    <t>As a myISP user, I should be able to  enable one text area for "Advisory SA - Song" role to add the comment in the "Status Update" screen  from "Log Status" Ui for Song Service Status</t>
  </si>
  <si>
    <t>NGTransformers</t>
  </si>
  <si>
    <t>AutomationProcess_29697\mySolutionPlanner Team - NextGen\NGTransformers</t>
  </si>
  <si>
    <t>Reporting Layer</t>
  </si>
  <si>
    <t>Services - Learn &amp; Launch enhancements</t>
  </si>
  <si>
    <t>Learn</t>
  </si>
  <si>
    <t>As a myISP user, I want to see ?BPMS? as a support option alongside AMS, SI, and IMS in both the ?Email? and ?Raise a Ticket? support sections So that I can easily raise BPMS-related support requests.</t>
  </si>
  <si>
    <t>Learn; UAT Testing Not Required</t>
  </si>
  <si>
    <t>AutomationProcess_29697\mySolutionPlanner\R44\Sprint 107</t>
  </si>
  <si>
    <t>Launch, &amp; Services (PART 1)</t>
  </si>
  <si>
    <t>Utilities</t>
  </si>
  <si>
    <t>March 28th myISP; UAT Testing Not Required</t>
  </si>
  <si>
    <t>AutomationProcess_29697\mySolutionPlannerIntegratedSolutionPlatform\R48\Sprint119</t>
  </si>
  <si>
    <t>Solution to win score rename</t>
  </si>
  <si>
    <t>As a myISP user, I want to see new steps added under the Solution Components, Review Approvals &amp; Define team tabs when the Gen-AI toggle is enabled.</t>
  </si>
  <si>
    <t>Opportunities sorting</t>
  </si>
  <si>
    <t>Joy Joseph, Joshina &lt;joshina.joy.joseph@accenture.com&gt;</t>
  </si>
  <si>
    <t>March; UAT Testing Not Required</t>
  </si>
  <si>
    <t>Opportunities table sorting</t>
  </si>
  <si>
    <t>Value Shaping - As a myISP user, I want to introduce a new role "Configurator V2V" that lands on the dashboard with an action available in the Tools section, so that SMEs can navigate to the Configurator Value Tree link and configure Value Tree templates</t>
  </si>
  <si>
    <t>Value Shaping Configurator Link</t>
  </si>
  <si>
    <t>Autocreate; DCSO; Parallel UAT</t>
  </si>
  <si>
    <t>As a myISP user, I want the ability to search content using tags and information from inside pages, so that I can quickly locate relevant learning materials and resources without having to navigate through multiple pages.</t>
  </si>
  <si>
    <t>Song Updates in Reporting &amp; Compliance</t>
  </si>
  <si>
    <t>Umardand, Namrata G. &lt;namrata.g.umardand@accenture.com&gt;</t>
  </si>
  <si>
    <t>Feb 21st myISP; UAT Testing Not Required</t>
  </si>
  <si>
    <t>Updated On timestamp</t>
  </si>
  <si>
    <t>Solution status based on Transition status stream</t>
  </si>
  <si>
    <t>AutomationProcess_29697\mySolutionPlannerIntegratedSolutionPlatform\R58 and R59\Sprint148</t>
  </si>
  <si>
    <t>Solution Status dropdown</t>
  </si>
  <si>
    <t>Operations toggle enable only for BPMS SG</t>
  </si>
  <si>
    <t>Operations toggle</t>
  </si>
  <si>
    <t>SA Manage</t>
  </si>
  <si>
    <t>DSP March 14th CRs</t>
  </si>
  <si>
    <t>Ninjawarriors</t>
  </si>
  <si>
    <t>CCB Approved; CR; Parallel UAT; PO inputs</t>
  </si>
  <si>
    <t>AutomationProcess_29697\myISP_DSP\Ninjawarriors</t>
  </si>
  <si>
    <t>IMS Productivity</t>
  </si>
  <si>
    <t>PPT/PDF Updated for all SGs</t>
  </si>
  <si>
    <t>DNP/Expenses</t>
  </si>
  <si>
    <t>DSP Core Solution Plan Enhancements</t>
  </si>
  <si>
    <t>[DSP - Assessment Outcome] Renaming Assessment Outcome to Productivity Percentage in AMS/IMS/BPMS SGs.</t>
  </si>
  <si>
    <t xml:space="preserve">Assessment Outcome renaming </t>
  </si>
  <si>
    <t>Document Type Rename</t>
  </si>
  <si>
    <t>Digital Documentation</t>
  </si>
  <si>
    <t>DSP MDA Enhancements for PPT/PDF</t>
  </si>
  <si>
    <t>MDA DSP; Parallel UAT</t>
  </si>
  <si>
    <t>MDA SI</t>
  </si>
  <si>
    <t>MDA AMS</t>
  </si>
  <si>
    <t>[DSP - Core Solution Plan] Checkbox selection to be added in download popups for selecting Inscope and All Scope items for Detailed Scope - Sub Service Group section as same as Staffing Plan toggle option.</t>
  </si>
  <si>
    <t>AutomationProcess_29697\mySolutionPlannerIntegratedSolutionPlatform\R64</t>
  </si>
  <si>
    <t>Toggle addition in popups</t>
  </si>
  <si>
    <t>IMS Pivot views</t>
  </si>
  <si>
    <t>Assessment Outcome</t>
  </si>
  <si>
    <t>Scope Services/Offerings</t>
  </si>
  <si>
    <t>DLC</t>
  </si>
  <si>
    <t>[DSP – DLC] Auto‑Population of WRWS Data into Deal Level Canvas for New DLC Versions</t>
  </si>
  <si>
    <t>Parallel UAT; WRWS DLC</t>
  </si>
  <si>
    <t>DLC updates</t>
  </si>
  <si>
    <t>Advisory SA - SONG</t>
  </si>
  <si>
    <t>As a Song portfolio lead I want to have a Role called �Advisory SA � SONG� so that I can assign stakeholders for this role for assigned deals under my portfolio</t>
  </si>
  <si>
    <t>Pacemakers</t>
  </si>
  <si>
    <t>AutomationProcess_29697\mySolutionPlanner Team - NextGen\Pacemakers</t>
  </si>
  <si>
    <t>As a Cross service portfolio lead I want to have a Role called �Advisory SA � SONG� so that I can assign stakeholders for this role for unassigned deals under my portfolio</t>
  </si>
  <si>
    <t>As a Song portfolio lead I want to have a New Role called �Advisory SA � SONG� so that I can assign stakeholders for this role for unassigned deals under my portfolio</t>
  </si>
  <si>
    <t>As a BPMS User, I should be able to auto?trigger the Fast Track Solutioning (FTS) email from PLD Dashboard save based on opportunity criteria using rolled?up BPMS revenue for FTS calculation</t>
  </si>
  <si>
    <t>AutomationProcess_29697\mySPIntegratedSolutionPlatform\Pacemakers</t>
  </si>
  <si>
    <t>PLD - Assignment cancellation</t>
  </si>
  <si>
    <t>PLD Dashboard</t>
  </si>
  <si>
    <t>Pandian, Sangeetha &lt;sangeetha.pandian@accenture.com&gt;</t>
  </si>
  <si>
    <t>As a Cross service portfolio lead I want to have a Role called �Advisory SA � SONG� so that I can assign stakeholders for this role for assigned deals under my portfolio</t>
  </si>
  <si>
    <t>Development Request</t>
  </si>
  <si>
    <t>As a Cross service portfolio lead I want to notify �Advisory SA � SONG� assignments so that I can assign stakeholders for this role and inform them via mail trigger for deals under my portfolio</t>
  </si>
  <si>
    <t>As a SONG portfolio lead I want to notify �Advisory SA � SONG� assignments so that I can assign stakeholders for this role and inform them via mail trigger for deals under my portfolio - Copy</t>
  </si>
  <si>
    <t>FY26 [BPMS BAU] - Productivity Updates - Employee and HR</t>
  </si>
  <si>
    <t>Impact of Productivity&amp;Impacted Screens_Employee&amp;HR _E2E_(Part 1)_(EmpSupport &amp; WFDA)_Test Only</t>
  </si>
  <si>
    <t>Pinocchio</t>
  </si>
  <si>
    <t>Gandavarapu, Omkar &lt;omkar.gandavarapu@accenture.com&gt;</t>
  </si>
  <si>
    <t>Shaikh, M.Zeeshan &lt;m.zeeshan.shaikh@accenture.com&gt;</t>
  </si>
  <si>
    <t>Kannan, Aishwarya &lt;aishwarya.f.kannan@accenture.com&gt;</t>
  </si>
  <si>
    <t>BPMS; BPMS BAU; FY26; myISP</t>
  </si>
  <si>
    <t>AutomationProcess_29697\mySPIntegratedSolutionPlatform\myISP_BPMS\Pinocchio</t>
  </si>
  <si>
    <t>AutomationProcess_29697\mySolutionPlannerIntegratedSolutionPlatform\R64\Sprint162</t>
  </si>
  <si>
    <t>INSPIRE BPMS BAU</t>
  </si>
  <si>
    <t>m.ohlan</t>
  </si>
  <si>
    <t>[DSP – SGC] Display of WRWS Data in Service Group Canvas When a New DSP Version Is Created</t>
  </si>
  <si>
    <t>Pirates</t>
  </si>
  <si>
    <t>AutomationProcess_29697\myISP_DSP\Pirates</t>
  </si>
  <si>
    <t>As an Advisory  song SA, I want to access the Transition to Delivery tile in read-only mode so that I can maintain  and view workflow continuity. Transition to delivery - T2D</t>
  </si>
  <si>
    <t>T2D</t>
  </si>
  <si>
    <t>Appendix</t>
  </si>
  <si>
    <t>CCB Approved; PO inputs; UI changes</t>
  </si>
  <si>
    <t>Review/Approval</t>
  </si>
  <si>
    <t>R/A PPT/PDF</t>
  </si>
  <si>
    <t>CCB Approved; DSP MSDA; PO inputs</t>
  </si>
  <si>
    <t>Abort button in DSP</t>
  </si>
  <si>
    <t>Risks</t>
  </si>
  <si>
    <t>Assumptions</t>
  </si>
  <si>
    <t>Dependency</t>
  </si>
  <si>
    <t>Value Shaping - As a myISP User - Configurator V2V - I want to access the Transition to Delivery tile in read-only mode and navigate using the fixed breadcrumb path so that I can maintain workflow continuity. - Transition to delivery - T2D</t>
  </si>
  <si>
    <t>DSP MMD Integration</t>
  </si>
  <si>
    <t>Iqbal, Jabeen &lt;jabeen.iqbal@accenture.com&gt;</t>
  </si>
  <si>
    <t>DSP MMD; UAT Testing Not Required</t>
  </si>
  <si>
    <t>MMD Role access</t>
  </si>
  <si>
    <t>Korikana, Gayatri &lt;gayatri.korikana@accenture.com&gt;</t>
  </si>
  <si>
    <t>Core Solution Plan</t>
  </si>
  <si>
    <t>Pixel Pioneers</t>
  </si>
  <si>
    <t>AutomationProcess_29697\myISP_DSP\Pixel Pioneers</t>
  </si>
  <si>
    <t>Value Shaping - As a myISP User - Configurator V2V - I want to access the DSP in read-only mode and navigate using the fixed breadcrumb path so that I can maintain workflow continuity.</t>
  </si>
  <si>
    <t>Value Shaping  - As a myISP User - Configurator V2V - I want to access the Digital Documentation tile in read-only mode and navigate using the fixed breadcrumb path so that I can maintain workflow continuity.</t>
  </si>
  <si>
    <t>As an Advisory  song SA, I want to access the Digital Documentation tile in read-only mode so that I can maintain  and view workflow continuity.</t>
  </si>
  <si>
    <t>Ordering exchange</t>
  </si>
  <si>
    <t>Shift/On Call Coverage</t>
  </si>
  <si>
    <t>Delete removal for shift rows</t>
  </si>
  <si>
    <t>DSP Automation Calculator; Parallel UAT</t>
  </si>
  <si>
    <t>[DSP – Core Solution Plan] Display of CXTA Mobilization Calculator DSP Fields in BPMS DSP – Transition Overview</t>
  </si>
  <si>
    <t>CXTA DSP; Parallel UAT</t>
  </si>
  <si>
    <t>CXTA BPMS Changes</t>
  </si>
  <si>
    <t>PPT/PDF</t>
  </si>
  <si>
    <t>FY26 [BPMS BAU] - SDO - Reimagined</t>
  </si>
  <si>
    <t>SDO - Reimagined - inclusion in myISP platform</t>
  </si>
  <si>
    <t>Pluto</t>
  </si>
  <si>
    <t>Suman, Surbhi C. &lt;surbhi.c.suman@accenture.com&gt;</t>
  </si>
  <si>
    <t>Singh, Anu B. &lt;anu.b.singh@accenture.com&gt;</t>
  </si>
  <si>
    <t>AutomationProcess_29697\mySPIntegratedSolutionPlatform\myISP_BPMS\Pluto</t>
  </si>
  <si>
    <t>FY26 [BPMS BAU] - Enhancements and CRs related to Models, Excel Input uplaod, Templates  and Reports</t>
  </si>
  <si>
    <t>To enable data sharing with the Reporting DB during BDL generation</t>
  </si>
  <si>
    <t>FY26 [BPMS BAU] - Defect Management (INSPIRE) and Service Request Management</t>
  </si>
  <si>
    <t>Maintain Master Tech Tools</t>
  </si>
  <si>
    <t>Closed</t>
  </si>
  <si>
    <t>Kumari, Shikha A. &lt;shikha.a.kumari@accenture.com&gt;</t>
  </si>
  <si>
    <t>FY26 [BPMS BAU] - MMP - DCTA integration enhancements</t>
  </si>
  <si>
    <t>To share Client Volume Discount through OCP billing JSON</t>
  </si>
  <si>
    <t>FY26 [BPMS BAU] - Changes related to Output screens, general solutioning, across Inspire</t>
  </si>
  <si>
    <t>Pyramid and productivity Report changes</t>
  </si>
  <si>
    <t>Enable XLSM Format Support for Custom Rates Bulk Upload Template</t>
  </si>
  <si>
    <t>BPMS; BPMS BAU; FY26</t>
  </si>
  <si>
    <t>To show Baseline FTEs for DNP costs in the reports</t>
  </si>
  <si>
    <t>Rajesh Rathi, Brajesh &lt;brajesh.rajesh.rathi@accenture.com&gt;</t>
  </si>
  <si>
    <t>QDI - Opportunity Metrics</t>
  </si>
  <si>
    <t>Done; Opportunity Benchmarks; Parallel UAT</t>
  </si>
  <si>
    <t>AutomationProcess_29697\mySPIntegratedSolutionPlatform\QDI - Opportunity Metrics</t>
  </si>
  <si>
    <t>Done; Opportunity Benchmarks; Parallel; Parallel UAT</t>
  </si>
  <si>
    <t xml:space="preserve">GEN AI </t>
  </si>
  <si>
    <t>Done; Opportunity Benchmarks; Parallel</t>
  </si>
  <si>
    <t>Done; Opportunity Benchmarks</t>
  </si>
  <si>
    <t>Done; Parallel UAT; Solution Version Comparator</t>
  </si>
  <si>
    <t>Development Request; Done; Opportunity Benchmarks; Parallel</t>
  </si>
  <si>
    <t>OBM MVP2; Opportunity Benchmarks; Parallel UAT; PO inputs</t>
  </si>
  <si>
    <t>[GEN AI � Opportunity Benchmark] SG Tab?Wise Enhancement � Costing &amp; Metrics at a Glance</t>
  </si>
  <si>
    <t>CCB Approved; Legal Approval; Parallel UAT; PO inputs</t>
  </si>
  <si>
    <t>As an Advisory  song SA, I want to access the Solution Components - BPMS tile in read-only mode so that I can maintain  and view workflow continuity.</t>
  </si>
  <si>
    <t>Simba</t>
  </si>
  <si>
    <t>AutomationProcess_29697\mySPIntegratedSolutionPlatform\myISP_BPMS\Simba</t>
  </si>
  <si>
    <t>FY26 [BPMS BAU] - Adoption Tracking and Rolled Up Revenue Updates - March Release</t>
  </si>
  <si>
    <t>Request for exception from using INSPIRE</t>
  </si>
  <si>
    <t>Intelligence used according to costing data field has to be shared at offering level - Analytics DB</t>
  </si>
  <si>
    <t>Consumption of Rolled up revenue from myISP</t>
  </si>
  <si>
    <t>AutomationProcess_29697\mySolutionPlannerIntegratedSolutionPlatform\R64\Sprint161</t>
  </si>
  <si>
    <t>FY26 [BPMS BAU] - Cost Management - Country and CTEP filter - For all Models</t>
  </si>
  <si>
    <t>Cost Management - Country and CTEP filter</t>
  </si>
  <si>
    <t>BPMS; BPMS BAU; FY26; myISP; Parallel UAT</t>
  </si>
  <si>
    <t>Publish Approver List on Team Site</t>
  </si>
  <si>
    <t>Simulators</t>
  </si>
  <si>
    <t>28th March Release; DCTA; Parallel UAT</t>
  </si>
  <si>
    <t>AutomationProcess_29697\mySPRapidSolutioning\Simulators</t>
  </si>
  <si>
    <t>Pricing - MMP Reports</t>
  </si>
  <si>
    <t>IMS MMP</t>
  </si>
  <si>
    <t>28th March Release; DCTA</t>
  </si>
  <si>
    <t>IMS MMP Reports</t>
  </si>
  <si>
    <t>Sending metrices applicable for SI MMP-FFP, SI-DATA KDA and Solution Based KDA to MMD</t>
  </si>
  <si>
    <t>MMP-FFP</t>
  </si>
  <si>
    <t>As a myISP SA, I want to send metrices applicable for MMP-FFP KDA to MMD so that it can be used for MMD DATA Processing</t>
  </si>
  <si>
    <t>Nagannapudi, Sai Vinodini &lt;sai.v.nagannapudi@accenture.com&gt;</t>
  </si>
  <si>
    <t>Testing NA - Only For UAT</t>
  </si>
  <si>
    <t>S2C_UI and Role Access  changes</t>
  </si>
  <si>
    <t>Solution to Contract</t>
  </si>
  <si>
    <t>S2C</t>
  </si>
  <si>
    <t>AutomationProcess_29697\mySPIntegratedSolutionPlatform\Solution to Contract</t>
  </si>
  <si>
    <t>One-Click Review File – Excel Download with Nudge Details and DSP File Links</t>
  </si>
  <si>
    <t>Shanmuganathan, Kayalvizhi &lt;k.b.shanmuganathan@accenture.com&gt;</t>
  </si>
  <si>
    <t>UI changes</t>
  </si>
  <si>
    <t>Parallel UAT; UI changes</t>
  </si>
  <si>
    <t>S2C Salesforce Enablement Across Configuration Flows</t>
  </si>
  <si>
    <t>S2C_Salesforce</t>
  </si>
  <si>
    <t>Parallel UAT; S2C_Salesforce</t>
  </si>
  <si>
    <t>Change Request for MDA PBI reports- March Release</t>
  </si>
  <si>
    <t>MSDA</t>
  </si>
  <si>
    <t>MDA</t>
  </si>
  <si>
    <t>SolutionDataLake</t>
  </si>
  <si>
    <t>Taranum, Saniya &lt;saniya.taranum@accenture.com&gt;</t>
  </si>
  <si>
    <t>Change Request; MDA; Parallel UAT; PBI</t>
  </si>
  <si>
    <t>AutomationProcess_29697\mySPIntegratedSolutionPlatform\SolutionDataLake</t>
  </si>
  <si>
    <t>AutomationProcess_29697\mySolutionPlannerIntegratedSolutionPlatform\R63</t>
  </si>
  <si>
    <t>vishal.v.nadpurohit</t>
  </si>
  <si>
    <t>Change Request; MDA; MDA-IMS; Parallel UAT</t>
  </si>
  <si>
    <t>[MDA-AMS]: View Group-wise Data Across Headcount &amp; Pyramid Reports for Both OCP &amp; MMP routes for Both OCP &amp; MMP Route</t>
  </si>
  <si>
    <t>MDA; MDA-AMS; Parallel UAT</t>
  </si>
  <si>
    <t>[MDA-AMS]: As a SA, I want to add I want to add a new Group filter in the Headcount Report for the MMP route</t>
  </si>
  <si>
    <t>Blocked in UAT</t>
  </si>
  <si>
    <t>MDA IMS Personalization - March Release</t>
  </si>
  <si>
    <t>MDA; MDA-IMS; Parallel UAT</t>
  </si>
  <si>
    <t>[MDA-IMS]: As a SA, I want to enable navigation in Financial Report to a dedicated page (Custom View) via the Cost Deal pivot breadcrumb only for OCP Route</t>
  </si>
  <si>
    <t>MDA; MDA-Financial Report; MDA-IMS; Parallel UAT</t>
  </si>
  <si>
    <t>[MDA-IMS]: As a SA, I want to enable navigation in DNP Report (Other Cost Assumption Tab-OCPA) to a dedicated page-Custom View via the DNP Deal pivot link only for IMS Service Group</t>
  </si>
  <si>
    <t>MDA; MDA-DNP; MDA-IMS; Parallel UAT</t>
  </si>
  <si>
    <t>Bhattacharya, Ankita &lt;ankita.bhattacharya@accenture.com&gt;</t>
  </si>
  <si>
    <t>CR-[MDA-PBI]: Implement New Service, Sub-Service and CareerLevel Filtering Logic for SDM/CSDM/PMO View under IMS Pyramid Deal Pivot for Pyramid report</t>
  </si>
  <si>
    <t>MDA‑Common: Enable Lead Solution Architects to Create MSDA Deal Versions</t>
  </si>
  <si>
    <t>Change Request; MDA; Parallel UAT</t>
  </si>
  <si>
    <t>Development Request; MDA; MDA-Financial Report; MDA-IMS; Parallel UAT</t>
  </si>
  <si>
    <t>[MDA-IMS]: As a SA, I want to enable navigation in DNP Report (Other Cost Assumption Tab-OCPA) to multiple reporting Static tabs via the DNP Deal pivot link only for IMS Service Group</t>
  </si>
  <si>
    <t>Development Request; MDA; MDA-DNP; MDA-IMS; Parallel UAT</t>
  </si>
  <si>
    <t>[MDA-Common] Value Shaping  - As a myISP User - Configurator V2V - I want to access the Multi-Service Deal Analytics tile in read-only mode and navigate using the fixed breadcrumb path so that I can maintain workflow continuity.</t>
  </si>
  <si>
    <t>Spartans</t>
  </si>
  <si>
    <t>AutomationProcess_29697\mySPVisionToValue\Spartans</t>
  </si>
  <si>
    <t>Value  Shaping -  [SVP] As a myISP user, I want SOP Input values linked in configurator link to be automatically populated for KPIs across a value tree , so that usability is improved and manual effort is reduced.</t>
  </si>
  <si>
    <t>Value Shaping - SVP</t>
  </si>
  <si>
    <t>As an Advisory  song SA, I want to access the Value Shaping tile in read-only mode so that I can maintain  and view workflow continuity.</t>
  </si>
  <si>
    <t>Value Shaping ? As a myISP user, I want to be navigated to the Configurator Dashboard landing page when I click on the Tools link, so that I can continue creating the Value Tree.</t>
  </si>
  <si>
    <t>Value Shaping - As a myISP User - Configurator V2V - I want to access the Value Shaping  tile in read-only mode and navigate using the fixed breadcrumb path so that I can maintain workflow continuity.</t>
  </si>
  <si>
    <t>Song Compliant Logic Update - As a Overall Song Delivery Approver,  I want to access the Value Shaping tile in read-only mode and navigate using the fixed breadcrumb path so that I can maintain workflow continuity.</t>
  </si>
  <si>
    <t>Value  Shaping - As a myISP user, I want to  enable import benchmark functionality so that I can import updated records back into Configurator Link  for SA to update and modify the data efficiently based on changing requirements.</t>
  </si>
  <si>
    <t>Value  Shaping - [Configurator Link ]As a myISP user, I want to link the SOP inputs with client  baseline and benchmark values so that user configuring value tree is improved</t>
  </si>
  <si>
    <t>SI - pcw</t>
  </si>
  <si>
    <t>Tech Ensemble</t>
  </si>
  <si>
    <t>Angadi, Ashwini &lt;ashwini.angadi@accenture.com&gt;</t>
  </si>
  <si>
    <t>Autocreate; DCSO; Parallel UAT; PCW</t>
  </si>
  <si>
    <t>AutomationProcess_29697\mySPIntegratedSolutionPlatform\Tech Ensemble</t>
  </si>
  <si>
    <t>suraj.sukumaran</t>
  </si>
  <si>
    <t>Billable Expenses Method as % of Price inclusion in JSON in Lower environment</t>
  </si>
  <si>
    <t>PCW</t>
  </si>
  <si>
    <t>TechAvatar</t>
  </si>
  <si>
    <t>Akbar Basha, Musrath &lt;musrath.akbar.basha@accenture.com&gt;</t>
  </si>
  <si>
    <t>AutomationProcess_29697\mySPIntegratedSolutionPlatform\TechAvatar</t>
  </si>
  <si>
    <t>AutomationProcess_29697\mySolutionPlannerRapidSolutioning\R58 and R59\Sprint148</t>
  </si>
  <si>
    <t>Pricing Input</t>
  </si>
  <si>
    <t>PCW Enhancements and User Feedback - March Release</t>
  </si>
  <si>
    <t>Parallel UAT; PCW</t>
  </si>
  <si>
    <t>Value Shaping - As a myISP User - Configurator V2V - I want to access the SI Solution Components tile in read-only mode and navigate using the fixed breadcrumb path so that I can maintain workflow continuity.</t>
  </si>
  <si>
    <t>TechAvengers</t>
  </si>
  <si>
    <t>AutomationProcess_29697\mySPIntegratedSolutionPlatform\TechAvengers</t>
  </si>
  <si>
    <t>Disable the automatic staffing</t>
  </si>
  <si>
    <t>Online SI</t>
  </si>
  <si>
    <t>Automatic staffing</t>
  </si>
  <si>
    <t>Skill Data Structure Migration -SI/AMS</t>
  </si>
  <si>
    <t>Skill Inventory</t>
  </si>
  <si>
    <t>Chatla, Divya Sree &lt;divya.sree.chatla@accenture.com&gt;</t>
  </si>
  <si>
    <t>ATCP</t>
  </si>
  <si>
    <t>As an Advisory  song SA, I want to access the Solution Components - SI tile in read-only mode so that I can maintain  and view workflow continuity.</t>
  </si>
  <si>
    <t>Text verification</t>
  </si>
  <si>
    <t>As an Advisory  song SA, I want to access the Solution Components - AMS tile in read-only mode so that I can maintain  and view workflow continuity.</t>
  </si>
  <si>
    <t>TechCoders</t>
  </si>
  <si>
    <t>AutomationProcess_29697\mySPRapidSolutioning\TechCoders</t>
  </si>
  <si>
    <t>Francis.Deepak</t>
  </si>
  <si>
    <t>AMS - Staffing OU Across versions for AMS &amp; edit in File name</t>
  </si>
  <si>
    <t>AMS; Parallel UAT; Staffing Screen</t>
  </si>
  <si>
    <t>Staffing screen</t>
  </si>
  <si>
    <t>Differentiation asset de-tagging- March</t>
  </si>
  <si>
    <t xml:space="preserve">Differentiation </t>
  </si>
  <si>
    <t>De-tagging; Technical; UAT Testing Not Required</t>
  </si>
  <si>
    <t>AutomationProcess_29697\mySolutionPlannerRapidSolutioning\R60</t>
  </si>
  <si>
    <t>Removal of Class A Assets</t>
  </si>
  <si>
    <t>Updating the logic for calculating productivity assessment values</t>
  </si>
  <si>
    <t>28th March Release; DCTA; OCP; Parallel UAT</t>
  </si>
  <si>
    <t>AMS - Productivity Assessment</t>
  </si>
  <si>
    <t>Updating the Staffing  OU Import Export Validation logic based on Modified On column</t>
  </si>
  <si>
    <t>28th March Release; AMS; Defect; Parallel UAT</t>
  </si>
  <si>
    <t>AMS - Staffing</t>
  </si>
  <si>
    <t>TechMavericks</t>
  </si>
  <si>
    <t>Nandi, Abhijit &lt;abhijit.a.nandi@accenture.com&gt;</t>
  </si>
  <si>
    <t>AMS; UAT Testing Not Required</t>
  </si>
  <si>
    <t>AutomationProcess_29697\mySPRapidSolutioning\TechMavericks</t>
  </si>
  <si>
    <t>Leadership Reporting Feedback</t>
  </si>
  <si>
    <t>Karthikeyan, Sriram &lt;sriram.a.karthikeyan@accenture.com&gt;</t>
  </si>
  <si>
    <t>Dutta, Saurav &lt;saurav.c.dutta@accenture.com&gt;</t>
  </si>
  <si>
    <t>AMS; RUM; UAT Testing Not Required</t>
  </si>
  <si>
    <t>AutomationProcess_29697\mySolutionPlannerRapidSolutioning\R58 and R59\Sprint146</t>
  </si>
  <si>
    <t>RUM Export File</t>
  </si>
  <si>
    <t>Automailer, Follow-Ups &amp; Escalation Steps</t>
  </si>
  <si>
    <t>CDAT Auto-mailers</t>
  </si>
  <si>
    <t>As a CDAT user, I want to send out the first reminder mail for Stage 3_single tower's contract signing dates so that acceptance criteria are achieved.</t>
  </si>
  <si>
    <t>TechPhantoms</t>
  </si>
  <si>
    <t>Kalia Moorthy, Rajarajeswari &lt;r.kalia.moorthy@accenture.com&gt;</t>
  </si>
  <si>
    <t>Mohandass, Pavithra &lt;p.mohandass@accenture.com&gt;</t>
  </si>
  <si>
    <t>mailer; UAT Testing Not Required</t>
  </si>
  <si>
    <t>AutomationProcess_29697\mySPIntegratedSolutionPlatform\TechPhantoms</t>
  </si>
  <si>
    <t>Increase in Frequency</t>
  </si>
  <si>
    <t>As a CDAT user, I want to send out the second reminder mail for Stage 3_single tower so that acceptance criteria are achieved.</t>
  </si>
  <si>
    <t>Sowrirajan, Sowndarya &lt;sowndarya.sowrirajan@accenture.com&gt;</t>
  </si>
  <si>
    <t>As a CDAT user, I want to send out the appropriate mail template based the dropdown selected so that acceptance criteria are achieved.(split-1)</t>
  </si>
  <si>
    <t>As a CDAT user, I want to send out the appropriate mail template based the dropdown selected so that acceptance criteria are achieved.(split-2)</t>
  </si>
  <si>
    <t>Advisory SA - SONG role enablement</t>
  </si>
  <si>
    <t>Small Deal COE - PLD</t>
  </si>
  <si>
    <t>Addition of information in mobilization SA and CXTA User request email</t>
  </si>
  <si>
    <t>additional Info</t>
  </si>
  <si>
    <t>myCalendar</t>
  </si>
  <si>
    <t>Calendar; March 28th myISP; UAT Testing Not Required</t>
  </si>
  <si>
    <t>As a Myisp user, I want the role "Enterprise SA" to be renamed to "Market Maker ESA" in myISP So that the role name clearly reflects the Market Make ESA in mentioned screens.</t>
  </si>
  <si>
    <t>As a BPMS User, I should be able to auto?trigger the FTS email on Define Team save based on opportunity criteria using rolled?up BPMS revenue for FTS calculation,</t>
  </si>
  <si>
    <t>Comma formatting in all raise request emails</t>
  </si>
  <si>
    <t>Raise Request email template</t>
  </si>
  <si>
    <t>Market Maker ESA  - status sync</t>
  </si>
  <si>
    <t>TechSprinters</t>
  </si>
  <si>
    <t>AutomationProcess_29697\mySPIntegratedSolutionPlatform\TechSprinters</t>
  </si>
  <si>
    <t>AutomationProcess_29697\mySolutionPlannerIntegratedSolutionPlatform\R63\Sprint157</t>
  </si>
  <si>
    <t>As an Advisory  song SA, I want to access the Digital DCSO tile in read-only mode so that I can maintain  and view workflow continuity.</t>
  </si>
  <si>
    <t>TechStars</t>
  </si>
  <si>
    <t>AutomationProcess_29697\mySPRapidSolutioning\TechStars</t>
  </si>
  <si>
    <t>mohanraj.a.selvaraj</t>
  </si>
  <si>
    <t>Value Shaping  - As a myISP User - Configurator V2V - I want to access the Digital DCSO tile in read-only mode and navigate using the fixed breadcrumb path so that I can maintain workflow continuity.</t>
  </si>
  <si>
    <t>As a my solution planner solution architect, I want to apply FTE split logic in the DCSO template for AMS/SI/IMS SG so that resource allocation across multiple roles or projects is accurately represented.</t>
  </si>
  <si>
    <t>As a myISP Solution Architect , I want to access DCSO for all SGs based on roles assigned, so that I can generate, update, publish, and manage DCSO versions, while other roles should have only read?only access for visibility.</t>
  </si>
  <si>
    <t>No solution ID</t>
  </si>
  <si>
    <t>As a mySolution Planner user, I want to view the deals with no solution ID and Lead SA updates to flow into CDAT process, so that there is a seamless flow .</t>
  </si>
  <si>
    <t>TechTribe</t>
  </si>
  <si>
    <t>CDAT; December; UAT Testing Not Required</t>
  </si>
  <si>
    <t>AutomationProcess_29697\mySPRapidSolutioning\TechTribe</t>
  </si>
  <si>
    <t>AutomationProcess_29697\mySolutionPlannerIntegratedSolutionPlatform\R60</t>
  </si>
  <si>
    <t>Solution ID</t>
  </si>
  <si>
    <t>CDAT Assessment Outcome &amp; Assessment Details update</t>
  </si>
  <si>
    <t xml:space="preserve">CDAT </t>
  </si>
  <si>
    <t>As a myIntegrated Solution Planner user, I want to review the Assessment Outcome's export so that the acceptance criteria are achieved</t>
  </si>
  <si>
    <t>AutomationProcess_29697\mySolutionPlannerRapidSolutioning\R60.1</t>
  </si>
  <si>
    <t>CDAT Core</t>
  </si>
  <si>
    <t>Auto-mailers</t>
  </si>
  <si>
    <t>As a CDAT PMO/ CDAT Lead user, I want the PMO Tracker Dashboard Download Report to reflect the applied filters and CDAT eligibility rules So that the exported report contains only relevant deals and matches what is visible on the dashboard.</t>
  </si>
  <si>
    <t>CDAT; no solution id; UAT Testing Not Required</t>
  </si>
  <si>
    <t>Malekar, Shivaprasad &lt;shivaprasad.malekar@accenture.com&gt;</t>
  </si>
  <si>
    <t>As a CDAT PMO, I want to automatically trigger reminders after an initial CDAT automailer, based on deal date type, radar windows, deal status, and PMO selections-Dropdown1 &amp; Dropdown2 so that acceptance criteria are achieved.</t>
  </si>
  <si>
    <t>Basireddy, Swapna &lt;swapna.basireddy@accenture.com&gt;</t>
  </si>
  <si>
    <t>Solution to Contract Analysis"</t>
  </si>
  <si>
    <t>CDAT Enhancements</t>
  </si>
  <si>
    <t>CDAT; UAT Testing Not Required</t>
  </si>
  <si>
    <t>Tracker Update</t>
  </si>
  <si>
    <t>CDAT; Feb; UAT Testing Not Required</t>
  </si>
  <si>
    <t>As an Advisory  song SA, I want to access the Contract Solution Gap Analysis tile in read-only mode so that I can maintain  and view workflow continuity.</t>
  </si>
  <si>
    <t>As a BPMS User, I should be able to auto?trigger the Fast Track Solutioning (FTS) email on WRWS screen save based on opportunity criteria using rolled?up BPMS revenue for FTS calculation</t>
  </si>
  <si>
    <t>TechWarriors</t>
  </si>
  <si>
    <t>AutomationProcess_29697\mySPRapidSolutioning\TechWarriors</t>
  </si>
  <si>
    <t>As an Advisory  song SA, I want to access the Estimators/Calculators tile in read-only mode so that I can maintain  and view workflow continuity.</t>
  </si>
  <si>
    <t>As an Advisory  song SA, I want to access the WRWS tile in read-only mode so that I can maintain  and view workflow continuity.</t>
  </si>
  <si>
    <t>Song Compliant Logic Update - As a Overall Song Delivery Approver ,  I want to access the WRWS tile in read-only mode and navigate using the fixed breadcrumb path so that I can maintain workflow continuity.</t>
  </si>
  <si>
    <t>Value Shaping - As a myISP User - Configurator V2V - I want to access the  Opportunity Workflow in read-only mode and navigate using the fixed breadcrumb path so that I can maintain workflow continuity.</t>
  </si>
  <si>
    <t>Value Shaping -As a myISP User - Configurator V2V - I want to access the Estimators/Calculators  in read-only mode and navigate using the fixed breadcrumb path so that I can maintain workflow continuity.</t>
  </si>
  <si>
    <t>Value Shaping - As a myISP User - Configurator V2V  - I want to access the WRWS tile in read-only mode and navigate using the fixed breadcrumb path so that I can maintain workflow continuity.</t>
  </si>
  <si>
    <t>Feb 21 || PT || CDAT || Lead || Define Team is not loading</t>
  </si>
  <si>
    <t>Aldrin Missier, Anto Agnes Virgin &lt;anto.aldrin.missier@accenture.com&gt;</t>
  </si>
  <si>
    <t>AutomationProcess_29697\mySolutionPlannerRapidSolutioning\R51</t>
  </si>
  <si>
    <t xml:space="preserve"> CDAT role</t>
  </si>
  <si>
    <t>Estimator/Calculator - Expand-Collapse icon Type and Position</t>
  </si>
  <si>
    <t>Estimator and Calculator</t>
  </si>
  <si>
    <t>myISP - Online SI API's for DSCO</t>
  </si>
  <si>
    <t>TechWizards</t>
  </si>
  <si>
    <t>Autocreate; Copy Version; DCSO; Export Import; Online SI; Parallel UAT; PRID; Refresh; Solution Operations</t>
  </si>
  <si>
    <t>AutomationProcess_29697\mySPIntegratedSolutionPlatform\TechWizards</t>
  </si>
  <si>
    <t>PRID Persistence Across Solution Management Operations</t>
  </si>
  <si>
    <t>Asset Calculator -  Asset accordions to be added  in Asset Catalog</t>
  </si>
  <si>
    <t>[Asset Calculator] - As a myISP User I want to implement Platform Asset Blueprint ? Oracle &amp; Platform Asset Blueprint ? SAP Assets as taggable assets so that it aligns with business changes and the new design reframe</t>
  </si>
  <si>
    <t>TitansPlus</t>
  </si>
  <si>
    <t>AutomationProcess_29697\mySPVisionToValue\TitansPlus</t>
  </si>
  <si>
    <t>Generic Calculator</t>
  </si>
  <si>
    <t>Asset Calculator</t>
  </si>
  <si>
    <t>[Asset Calculator] As a myISP ,I  want to implement Other Assets Accordion in Asset Catalog as taggable asset so that Asset Calculator can have this as taggable asset</t>
  </si>
  <si>
    <t>Natarajan, Soundhararajan &lt;s.af.natarajan@accenture.com&gt;</t>
  </si>
  <si>
    <t>Asset Calculator - Other Assets</t>
  </si>
  <si>
    <t>Count of Title</t>
  </si>
  <si>
    <t>Count of Test Planning</t>
  </si>
  <si>
    <t>Count of BA Review</t>
  </si>
  <si>
    <t>Sum of Passed</t>
  </si>
  <si>
    <t>Sum of Failed</t>
  </si>
  <si>
    <t>Sum of Blocked</t>
  </si>
  <si>
    <t>Sum of Not Run</t>
  </si>
  <si>
    <t>Sum of Total</t>
  </si>
  <si>
    <t>#N/A</t>
  </si>
  <si>
    <t>System</t>
  </si>
  <si>
    <t>PT</t>
  </si>
  <si>
    <t xml:space="preserve">UAT </t>
  </si>
  <si>
    <t>myISP</t>
  </si>
  <si>
    <t xml:space="preserve">https://mysolutionplannernextgen.ciostage.accenture.com </t>
  </si>
  <si>
    <t>https://myISPnextgen2-uat.ciotest.accenture.com</t>
  </si>
  <si>
    <t>MMS</t>
  </si>
  <si>
    <t>https://accenture--AprAglTst.sandbox.my.salesforce.com/</t>
  </si>
  <si>
    <t>https://accenture--Q2Stg.sandbox.my.salesforce.com/</t>
  </si>
  <si>
    <t>Test Rebar beta - Switch on Jan 12th - Marqtrtst</t>
  </si>
  <si>
    <t xml:space="preserve"> after 16th march, Test MMS URL</t>
  </si>
  <si>
    <t>MMP</t>
  </si>
  <si>
    <t>MMP Test</t>
  </si>
  <si>
    <t>MMP Stage</t>
  </si>
  <si>
    <t xml:space="preserve">Test rebar stage - No change - Q2 stage. </t>
  </si>
  <si>
    <t>myISP - Mar 28th Release</t>
  </si>
  <si>
    <t> </t>
  </si>
  <si>
    <t>UAT</t>
  </si>
  <si>
    <t>POC</t>
  </si>
  <si>
    <t>https://mysolutionplannernextgen.ciostage.accenture.com</t>
  </si>
  <si>
    <t>Release POCs</t>
  </si>
  <si>
    <t>IMS</t>
  </si>
  <si>
    <t>https://myispimsstage1-services.ciostage.accenture.com/</t>
  </si>
  <si>
    <t>https://myisp-imsuat1.ciostage.accenture.com</t>
  </si>
  <si>
    <t>Aqil/Release POCs</t>
  </si>
  <si>
    <t>https://bpmssolutionestimator.uat.accenture.com</t>
  </si>
  <si>
    <t>MDA Instance 2</t>
  </si>
  <si>
    <t>Analytics Instance 2</t>
  </si>
  <si>
    <t>DATA KDA</t>
  </si>
  <si>
    <t>SSA PT </t>
  </si>
  <si>
    <t>SSA Demo</t>
  </si>
  <si>
    <t>SCA</t>
  </si>
  <si>
    <t>SCA PT</t>
  </si>
  <si>
    <t>SCA UAT </t>
  </si>
  <si>
    <t>Costing SCC</t>
  </si>
  <si>
    <t xml:space="preserve">AC- Gen Wizard </t>
  </si>
  <si>
    <t>IDRA</t>
  </si>
  <si>
    <t xml:space="preserve">AAI - Apps </t>
  </si>
  <si>
    <t>AC - Gen AI Assets</t>
  </si>
  <si>
    <t>mydiagnostics</t>
  </si>
  <si>
    <t>Count of ID</t>
  </si>
  <si>
    <t>Pass%</t>
  </si>
  <si>
    <t>Risk Points</t>
  </si>
  <si>
    <t>ETA to complete not run</t>
  </si>
  <si>
    <t>Blocker Bug ids</t>
  </si>
  <si>
    <t>4 user stories blocked with high bugs</t>
  </si>
  <si>
    <t>based on bug resolution</t>
  </si>
  <si>
    <t>High-4423607, 4423487, 4423233</t>
  </si>
  <si>
    <t>1 US not delivered PT
4 stories blocked with high bug</t>
  </si>
  <si>
    <t>Based on defect resoltuion</t>
  </si>
  <si>
    <t>High - 4427916, 4425106, 4424806</t>
  </si>
  <si>
    <t>3 not delivered to PT
OBM - there are data issues</t>
  </si>
  <si>
    <t>Rest not run ETA - Friday EOD
OBM - depend on data issues resolution</t>
  </si>
  <si>
    <t>High - 4372048, 4418785, 4426061, 4427785</t>
  </si>
  <si>
    <t>2 Blocked US because of high bug</t>
  </si>
  <si>
    <t>Rest not run ETA - Thursday EOD</t>
  </si>
  <si>
    <t>High-4426382,4426061,4425767</t>
  </si>
  <si>
    <t>2 not delivered to PT
4 US blocked with high bugs</t>
  </si>
  <si>
    <t>4428481(H), 4427044(H), 4427142(H), 4425522(H), 4425287(H)</t>
  </si>
  <si>
    <t>No blockers</t>
  </si>
  <si>
    <t>NOT run ETA - Thursday EOD</t>
  </si>
  <si>
    <t>13 Not delivered to PT 
2 US blocked with high bugs</t>
  </si>
  <si>
    <t>Rest not run ETA - Friday 1 PM</t>
  </si>
  <si>
    <t>4425220(H),</t>
  </si>
  <si>
    <t>1 US blocked with high bug</t>
  </si>
  <si>
    <t>4427422 - H</t>
  </si>
  <si>
    <t>Not Run - Friday 1 PM</t>
  </si>
  <si>
    <t>2 US blocked with C and H bug</t>
  </si>
  <si>
    <t>4427905 -C,4427541(H),4428646(H),4427330(H),4427541(H),4427684(H),4426302(H),4424934(H),4425358(H),4418463(H),4420794(H),4423481(H)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</si>
</sst>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Aptos Narrow"/>
      <family val="2"/>
      <scheme val="minor"/>
    </font>
    <font>
      <u/>
      <sz val="11"/>
      <color theme="10"/>
      <name val="Aptos Narrow"/>
      <family val="2"/>
      <scheme val="minor"/>
    </font>
    <font>
      <sz val="9"/>
      <color rgb="FF000000"/>
      <name val="Calibri"/>
      <family val="2"/>
    </font>
    <font>
      <sz val="9"/>
      <color theme="1"/>
      <name val="Calibri"/>
      <family val="2"/>
    </font>
    <font>
      <sz val="9"/>
      <color theme="1"/>
      <name val="Aptos Narrow"/>
      <family val="2"/>
      <scheme val="minor"/>
    </font>
    <font>
      <b/>
      <sz val="9"/>
      <color rgb="FF000000"/>
      <name val="Calibri"/>
      <family val="2"/>
    </font>
    <font>
      <sz val="12"/>
      <color rgb="FF000000"/>
      <name val="Aptos"/>
      <family val="2"/>
    </font>
    <font>
      <sz val="9"/>
      <color theme="0"/>
      <name val="Calibri"/>
      <family val="2"/>
    </font>
    <font>
      <u/>
      <sz val="9"/>
      <color theme="10"/>
      <name val="Aptos Narrow"/>
      <family val="2"/>
      <scheme val="minor"/>
    </font>
    <font>
      <sz val="9"/>
      <color rgb="FF000000"/>
      <name val="Aptos Narrow"/>
      <family val="2"/>
    </font>
    <font>
      <b/>
      <sz val="10"/>
      <color rgb="FF000000"/>
      <name val="Aptos Narrow"/>
      <family val="2"/>
    </font>
    <font>
      <sz val="10"/>
      <color rgb="FF000000"/>
      <name val="Aptos Narrow"/>
      <family val="2"/>
    </font>
    <font>
      <sz val="10"/>
      <color rgb="FF000000"/>
      <name val="Calibri"/>
      <family val="2"/>
    </font>
    <font>
      <sz val="10"/>
      <color rgb="FFFFFFFF"/>
      <name val="Calibri"/>
      <family val="2"/>
    </font>
    <font>
      <sz val="10"/>
      <color theme="1"/>
      <name val="Aptos Narrow"/>
      <family val="2"/>
      <scheme val="minor"/>
    </font>
    <font>
      <sz val="11"/>
      <color theme="1"/>
      <name val="Aptos Narrow"/>
      <family val="2"/>
      <scheme val="minor"/>
    </font>
    <font>
      <sz val="9"/>
      <color theme="1"/>
      <name val="Calibri"/>
      <family val="2"/>
    </font>
    <font>
      <b/>
      <sz val="9"/>
      <color theme="0"/>
      <name val="Calibri"/>
      <family val="2"/>
    </font>
    <font>
      <b/>
      <sz val="9"/>
      <color rgb="FFFFFFFF"/>
      <name val="Calibri"/>
      <family val="2"/>
    </font>
    <font>
      <sz val="9"/>
      <color rgb="FFFFFFFF"/>
      <name val="Calibri"/>
      <family val="2"/>
    </font>
    <font>
      <sz val="11"/>
      <color rgb="FF000000"/>
      <name val="Aptos Narrow"/>
      <family val="2"/>
    </font>
    <font>
      <sz val="9"/>
      <color theme="1"/>
      <name val="Aptos Display"/>
      <family val="2"/>
      <scheme val="major"/>
    </font>
    <font>
      <sz val="10"/>
      <color theme="1"/>
      <name val="Calibri"/>
      <family val="2"/>
    </font>
    <font>
      <sz val="10"/>
      <color theme="0"/>
      <name val="Calibri"/>
      <family val="2"/>
    </font>
    <font>
      <u/>
      <sz val="10"/>
      <color theme="10"/>
      <name val="Calibri"/>
      <family val="2"/>
    </font>
    <font>
      <b/>
      <sz val="9"/>
      <color rgb="FF000000"/>
      <name val="Aptos Narrow"/>
      <family val="2"/>
    </font>
    <font>
      <u/>
      <sz val="9"/>
      <color theme="10"/>
      <name val="Calibri"/>
      <family val="2"/>
    </font>
    <font>
      <sz val="9"/>
      <color rgb="FF000000"/>
      <name val="Aptos Narrow"/>
      <family val="2"/>
      <scheme val="minor"/>
    </font>
    <font>
      <sz val="11"/>
      <color theme="0"/>
      <name val="Aptos Narrow"/>
      <family val="2"/>
    </font>
    <font>
      <sz val="9"/>
      <color rgb="FF000000"/>
      <name val="Segoe UI"/>
      <family val="2"/>
    </font>
    <font>
      <sz val="9"/>
      <color theme="1"/>
      <name val="-Apple-System"/>
      <charset val="1"/>
    </font>
    <font>
      <sz val="9"/>
      <color rgb="FF242424"/>
      <name val="Aptos Narrow"/>
      <family val="2"/>
    </font>
    <font>
      <b/>
      <sz val="11"/>
      <color theme="1"/>
      <name val="Aptos Narrow"/>
      <family val="2"/>
      <scheme val="minor"/>
    </font>
    <font>
      <sz val="11"/>
      <color rgb="FF242424"/>
      <name val="Aptos Narrow"/>
      <family val="2"/>
    </font>
    <font>
      <b/>
      <sz val="9"/>
      <color theme="1"/>
      <name val="Aptos Narrow"/>
      <family val="2"/>
      <scheme val="minor"/>
    </font>
    <font>
      <sz val="11"/>
      <color rgb="FF000000"/>
      <name val="Aptos Narrow"/>
    </font>
    <font>
      <sz val="9"/>
      <color rgb="FF000000"/>
      <name val="Aptos Narrow"/>
    </font>
    <font>
      <sz val="9"/>
      <name val="Calibri"/>
      <family val="2"/>
    </font>
    <font>
      <b/>
      <u/>
      <sz val="9"/>
      <color theme="10"/>
      <name val="Aptos Narrow"/>
      <family val="2"/>
      <scheme val="minor"/>
    </font>
    <font>
      <sz val="10"/>
      <color rgb="FF000000"/>
      <name val="Aptos Narrow"/>
      <scheme val="minor"/>
    </font>
    <font>
      <sz val="9"/>
      <color theme="1"/>
      <name val="Calibri"/>
    </font>
    <font>
      <sz val="9"/>
      <color theme="0"/>
      <name val="Calibri"/>
    </font>
  </fonts>
  <fills count="22">
    <fill>
      <patternFill patternType="none"/>
    </fill>
    <fill>
      <patternFill patternType="gray125"/>
    </fill>
    <fill>
      <patternFill patternType="solid">
        <fgColor rgb="FFFFC000"/>
        <bgColor rgb="FF000000"/>
      </patternFill>
    </fill>
    <fill>
      <patternFill patternType="solid">
        <fgColor rgb="FF305496"/>
        <bgColor rgb="FFD9D9D9"/>
      </patternFill>
    </fill>
    <fill>
      <patternFill patternType="solid">
        <fgColor rgb="FF7030A0"/>
        <bgColor rgb="FFD9D9D9"/>
      </patternFill>
    </fill>
    <fill>
      <patternFill patternType="solid">
        <fgColor rgb="FFFFC000"/>
        <bgColor indexed="64"/>
      </patternFill>
    </fill>
    <fill>
      <patternFill patternType="solid">
        <fgColor rgb="FF7030A0"/>
        <bgColor indexed="64"/>
      </patternFill>
    </fill>
    <fill>
      <patternFill patternType="solid">
        <fgColor rgb="FFFFFF99"/>
        <bgColor rgb="FF000000"/>
      </patternFill>
    </fill>
    <fill>
      <patternFill patternType="solid">
        <fgColor rgb="FFFFCC99"/>
        <bgColor rgb="FF000000"/>
      </patternFill>
    </fill>
    <fill>
      <patternFill patternType="solid">
        <fgColor rgb="FF008000"/>
        <bgColor rgb="FF000000"/>
      </patternFill>
    </fill>
    <fill>
      <patternFill patternType="solid">
        <fgColor rgb="FFF7C7AC"/>
        <bgColor rgb="FF000000"/>
      </patternFill>
    </fill>
    <fill>
      <patternFill patternType="solid">
        <fgColor rgb="FF7030A0"/>
        <bgColor rgb="FF000000"/>
      </patternFill>
    </fill>
    <fill>
      <patternFill patternType="solid">
        <fgColor theme="9" tint="0.39997558519241921"/>
        <bgColor indexed="64"/>
      </patternFill>
    </fill>
    <fill>
      <patternFill patternType="solid">
        <fgColor rgb="FF83CCEB"/>
        <bgColor rgb="FF000000"/>
      </patternFill>
    </fill>
    <fill>
      <patternFill patternType="solid">
        <fgColor rgb="FFB5E6A2"/>
        <bgColor rgb="FF000000"/>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
      <patternFill patternType="solid">
        <fgColor rgb="FF00B050"/>
        <bgColor rgb="FFD9D9D9"/>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rgb="FF92D050"/>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style="thin">
        <color indexed="64"/>
      </left>
      <right/>
      <top/>
      <bottom style="thin">
        <color indexed="64"/>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diagonal/>
    </border>
  </borders>
  <cellStyleXfs count="3">
    <xf numFmtId="0" fontId="0" fillId="0" borderId="0"/>
    <xf numFmtId="0" fontId="1" fillId="0" borderId="0" applyNumberFormat="0" applyFill="0" applyBorder="0" applyAlignment="0" applyProtection="0"/>
    <xf numFmtId="9" fontId="15" fillId="0" borderId="0" applyFont="0" applyFill="0" applyBorder="0" applyAlignment="0" applyProtection="0"/>
  </cellStyleXfs>
  <cellXfs count="266">
    <xf numFmtId="0" fontId="0" fillId="0" borderId="0" xfId="0"/>
    <xf numFmtId="0" fontId="5" fillId="7" borderId="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5" fillId="9" borderId="9" xfId="0" applyFont="1" applyFill="1" applyBorder="1" applyAlignment="1">
      <alignment horizontal="center" vertical="center" wrapText="1"/>
    </xf>
    <xf numFmtId="15"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7" fillId="6" borderId="1" xfId="0" applyFont="1" applyFill="1" applyBorder="1" applyAlignment="1">
      <alignment vertical="top" wrapText="1"/>
    </xf>
    <xf numFmtId="0" fontId="3" fillId="0" borderId="0" xfId="0" applyFont="1" applyAlignment="1">
      <alignment vertical="top"/>
    </xf>
    <xf numFmtId="0" fontId="2" fillId="0" borderId="1" xfId="0" applyFont="1" applyBorder="1" applyAlignment="1">
      <alignment vertical="top" wrapText="1"/>
    </xf>
    <xf numFmtId="0" fontId="2" fillId="0" borderId="7"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16" fontId="3" fillId="0" borderId="0" xfId="0" applyNumberFormat="1" applyFont="1" applyAlignment="1">
      <alignment vertical="top"/>
    </xf>
    <xf numFmtId="0" fontId="3"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pplyProtection="1">
      <alignment horizontal="left" vertical="top"/>
      <protection locked="0"/>
    </xf>
    <xf numFmtId="0" fontId="4" fillId="0" borderId="1" xfId="0" applyFont="1" applyBorder="1" applyAlignment="1" applyProtection="1">
      <alignment vertical="top"/>
      <protection locked="0"/>
    </xf>
    <xf numFmtId="0" fontId="4" fillId="0" borderId="4" xfId="0" applyFont="1" applyBorder="1" applyAlignment="1" applyProtection="1">
      <alignment vertical="top"/>
      <protection locked="0"/>
    </xf>
    <xf numFmtId="0" fontId="4" fillId="0" borderId="5" xfId="0" applyFont="1" applyBorder="1" applyAlignment="1" applyProtection="1">
      <alignment vertical="top"/>
      <protection locked="0"/>
    </xf>
    <xf numFmtId="0" fontId="4" fillId="0" borderId="1" xfId="0" applyFont="1" applyBorder="1" applyAlignment="1" applyProtection="1">
      <alignment vertical="top" wrapText="1"/>
      <protection locked="0"/>
    </xf>
    <xf numFmtId="0" fontId="4" fillId="0" borderId="1" xfId="0" applyFont="1" applyBorder="1" applyAlignment="1">
      <alignment vertical="top"/>
    </xf>
    <xf numFmtId="0" fontId="8" fillId="0" borderId="0" xfId="1" applyFont="1"/>
    <xf numFmtId="0" fontId="4" fillId="0" borderId="4" xfId="0" applyFont="1" applyBorder="1" applyAlignment="1" applyProtection="1">
      <alignment horizontal="left" vertical="top"/>
      <protection locked="0"/>
    </xf>
    <xf numFmtId="0" fontId="2" fillId="0" borderId="3" xfId="0" applyFont="1" applyBorder="1" applyAlignment="1" applyProtection="1">
      <alignment horizontal="left" vertical="top"/>
      <protection locked="0"/>
    </xf>
    <xf numFmtId="0" fontId="4" fillId="0" borderId="3" xfId="0" applyFont="1" applyBorder="1" applyAlignment="1" applyProtection="1">
      <alignment vertical="top"/>
      <protection locked="0"/>
    </xf>
    <xf numFmtId="0" fontId="13" fillId="11" borderId="2" xfId="0" applyFont="1" applyFill="1" applyBorder="1" applyAlignment="1">
      <alignment horizontal="center" vertical="top"/>
    </xf>
    <xf numFmtId="0" fontId="1" fillId="0" borderId="1" xfId="1" applyBorder="1" applyAlignment="1">
      <alignment vertical="top"/>
    </xf>
    <xf numFmtId="0" fontId="7" fillId="6" borderId="0" xfId="0" applyFont="1" applyFill="1" applyAlignment="1">
      <alignment vertical="top" wrapText="1"/>
    </xf>
    <xf numFmtId="0" fontId="12" fillId="0" borderId="1" xfId="0" applyFont="1" applyBorder="1" applyAlignment="1">
      <alignment vertical="top"/>
    </xf>
    <xf numFmtId="0" fontId="12" fillId="0" borderId="5" xfId="0" applyFont="1" applyBorder="1" applyAlignment="1">
      <alignment vertical="top"/>
    </xf>
    <xf numFmtId="0" fontId="3" fillId="12" borderId="1" xfId="0" applyFont="1" applyFill="1" applyBorder="1" applyAlignment="1">
      <alignment vertical="top"/>
    </xf>
    <xf numFmtId="0" fontId="4" fillId="0" borderId="3" xfId="0" applyFont="1" applyBorder="1" applyAlignment="1" applyProtection="1">
      <alignment horizontal="center" vertical="top"/>
      <protection locked="0"/>
    </xf>
    <xf numFmtId="9" fontId="4" fillId="0" borderId="1" xfId="2" applyFont="1" applyBorder="1" applyAlignment="1" applyProtection="1">
      <alignment horizontal="center" vertical="top"/>
      <protection locked="0"/>
    </xf>
    <xf numFmtId="0" fontId="0" fillId="0" borderId="0" xfId="0" applyAlignment="1">
      <alignment horizontal="center"/>
    </xf>
    <xf numFmtId="0" fontId="0" fillId="0" borderId="3" xfId="0" applyBorder="1" applyAlignment="1">
      <alignment vertical="center"/>
    </xf>
    <xf numFmtId="0" fontId="0" fillId="0" borderId="3" xfId="0" applyBorder="1"/>
    <xf numFmtId="0" fontId="0" fillId="0" borderId="3" xfId="0" applyBorder="1" applyAlignment="1">
      <alignment vertical="center" wrapText="1"/>
    </xf>
    <xf numFmtId="0" fontId="0" fillId="0" borderId="3" xfId="0" pivotButton="1" applyBorder="1"/>
    <xf numFmtId="0" fontId="0" fillId="0" borderId="3" xfId="0" applyBorder="1" applyAlignment="1">
      <alignment horizontal="left"/>
    </xf>
    <xf numFmtId="0" fontId="2" fillId="0" borderId="3" xfId="0" applyFont="1" applyBorder="1" applyAlignment="1" applyProtection="1">
      <alignment horizontal="center" vertical="top"/>
      <protection locked="0"/>
    </xf>
    <xf numFmtId="10" fontId="2" fillId="0" borderId="3" xfId="0" applyNumberFormat="1" applyFont="1" applyBorder="1" applyAlignment="1" applyProtection="1">
      <alignment horizontal="center" vertical="top"/>
      <protection locked="0"/>
    </xf>
    <xf numFmtId="0" fontId="16" fillId="0" borderId="0" xfId="0" applyFont="1"/>
    <xf numFmtId="0" fontId="17" fillId="6" borderId="1" xfId="0" applyFont="1" applyFill="1" applyBorder="1"/>
    <xf numFmtId="0" fontId="3" fillId="0" borderId="3" xfId="0" applyFont="1" applyBorder="1" applyAlignment="1" applyProtection="1">
      <alignment horizontal="center" vertical="top"/>
      <protection locked="0"/>
    </xf>
    <xf numFmtId="0" fontId="10" fillId="13" borderId="3" xfId="0" applyFont="1" applyFill="1" applyBorder="1" applyAlignment="1">
      <alignment vertical="center"/>
    </xf>
    <xf numFmtId="0" fontId="11" fillId="14" borderId="3" xfId="0" applyFont="1" applyFill="1" applyBorder="1" applyAlignment="1">
      <alignment vertical="center"/>
    </xf>
    <xf numFmtId="0" fontId="11" fillId="0" borderId="3" xfId="0" applyFont="1" applyBorder="1" applyAlignment="1">
      <alignment vertical="center" wrapText="1"/>
    </xf>
    <xf numFmtId="0" fontId="3" fillId="0" borderId="0" xfId="0" applyFont="1"/>
    <xf numFmtId="10" fontId="3" fillId="0" borderId="1" xfId="0" applyNumberFormat="1" applyFont="1" applyBorder="1"/>
    <xf numFmtId="0" fontId="4" fillId="0" borderId="1" xfId="0" applyFont="1" applyBorder="1" applyAlignment="1" applyProtection="1">
      <alignment horizontal="center" vertical="top" wrapText="1"/>
      <protection locked="0"/>
    </xf>
    <xf numFmtId="0" fontId="18" fillId="2" borderId="3" xfId="0" applyFont="1" applyFill="1" applyBorder="1" applyAlignment="1" applyProtection="1">
      <alignment horizontal="left" vertical="top"/>
      <protection locked="0"/>
    </xf>
    <xf numFmtId="0" fontId="18" fillId="3" borderId="3" xfId="0" applyFont="1" applyFill="1" applyBorder="1" applyAlignment="1" applyProtection="1">
      <alignment horizontal="left" vertical="top"/>
      <protection locked="0"/>
    </xf>
    <xf numFmtId="0" fontId="18" fillId="4" borderId="3" xfId="0" applyFont="1" applyFill="1" applyBorder="1" applyAlignment="1">
      <alignment vertical="top"/>
    </xf>
    <xf numFmtId="0" fontId="18" fillId="4" borderId="3" xfId="0" applyFont="1" applyFill="1" applyBorder="1" applyAlignment="1" applyProtection="1">
      <alignment horizontal="left" vertical="top"/>
      <protection locked="0"/>
    </xf>
    <xf numFmtId="0" fontId="18" fillId="4" borderId="3" xfId="0" applyFont="1" applyFill="1" applyBorder="1" applyAlignment="1" applyProtection="1">
      <alignment horizontal="center" vertical="top"/>
      <protection locked="0"/>
    </xf>
    <xf numFmtId="9" fontId="18" fillId="4" borderId="3" xfId="2" applyFont="1" applyFill="1" applyBorder="1" applyAlignment="1" applyProtection="1">
      <alignment horizontal="center" vertical="top"/>
      <protection locked="0"/>
    </xf>
    <xf numFmtId="0" fontId="19" fillId="3" borderId="3" xfId="0" applyFont="1" applyFill="1" applyBorder="1" applyAlignment="1" applyProtection="1">
      <alignment horizontal="left" vertical="top"/>
      <protection locked="0"/>
    </xf>
    <xf numFmtId="14" fontId="19" fillId="2" borderId="3" xfId="0" applyNumberFormat="1" applyFont="1" applyFill="1" applyBorder="1" applyAlignment="1" applyProtection="1">
      <alignment horizontal="left" vertical="top"/>
      <protection locked="0"/>
    </xf>
    <xf numFmtId="0" fontId="19" fillId="3" borderId="3" xfId="0" applyFont="1" applyFill="1" applyBorder="1" applyAlignment="1" applyProtection="1">
      <alignment horizontal="center" vertical="top"/>
      <protection locked="0"/>
    </xf>
    <xf numFmtId="0" fontId="19" fillId="5" borderId="3" xfId="0" applyFont="1" applyFill="1" applyBorder="1" applyAlignment="1" applyProtection="1">
      <alignment horizontal="center" vertical="top"/>
      <protection locked="0"/>
    </xf>
    <xf numFmtId="0" fontId="19" fillId="5" borderId="3" xfId="0" applyFont="1" applyFill="1" applyBorder="1" applyAlignment="1" applyProtection="1">
      <alignment horizontal="left" vertical="top"/>
      <protection locked="0"/>
    </xf>
    <xf numFmtId="0" fontId="19" fillId="6" borderId="3" xfId="0" applyFont="1" applyFill="1" applyBorder="1" applyAlignment="1" applyProtection="1">
      <alignment horizontal="left" vertical="top"/>
      <protection locked="0"/>
    </xf>
    <xf numFmtId="0" fontId="18" fillId="4" borderId="11" xfId="0" applyFont="1" applyFill="1" applyBorder="1" applyAlignment="1" applyProtection="1">
      <alignment horizontal="left" vertical="top"/>
      <protection locked="0"/>
    </xf>
    <xf numFmtId="0" fontId="2" fillId="15" borderId="3" xfId="0" applyFont="1" applyFill="1" applyBorder="1" applyAlignment="1" applyProtection="1">
      <alignment horizontal="left" vertical="top"/>
      <protection locked="0"/>
    </xf>
    <xf numFmtId="0" fontId="1" fillId="0" borderId="1" xfId="1" applyBorder="1" applyAlignment="1">
      <alignment vertical="top" readingOrder="1"/>
    </xf>
    <xf numFmtId="0" fontId="1" fillId="0" borderId="1" xfId="1" applyBorder="1"/>
    <xf numFmtId="0" fontId="4" fillId="0" borderId="2" xfId="0" applyFont="1" applyBorder="1" applyAlignment="1">
      <alignment vertical="top"/>
    </xf>
    <xf numFmtId="0" fontId="4" fillId="0" borderId="2" xfId="0" applyFont="1" applyBorder="1" applyAlignment="1" applyProtection="1">
      <alignment vertical="top"/>
      <protection locked="0"/>
    </xf>
    <xf numFmtId="0" fontId="4" fillId="0" borderId="7" xfId="0" applyFont="1" applyBorder="1" applyAlignment="1" applyProtection="1">
      <alignment vertical="top"/>
      <protection locked="0"/>
    </xf>
    <xf numFmtId="0" fontId="4" fillId="0" borderId="5" xfId="0" applyFont="1" applyBorder="1" applyAlignment="1">
      <alignment vertical="top"/>
    </xf>
    <xf numFmtId="0" fontId="4" fillId="0" borderId="13" xfId="0" applyFont="1" applyBorder="1" applyAlignment="1">
      <alignment vertical="top"/>
    </xf>
    <xf numFmtId="0" fontId="4" fillId="0" borderId="7" xfId="0" applyFont="1" applyBorder="1" applyAlignment="1" applyProtection="1">
      <alignment horizontal="left" vertical="top"/>
      <protection locked="0"/>
    </xf>
    <xf numFmtId="0" fontId="9" fillId="0" borderId="15" xfId="0" applyFont="1" applyBorder="1"/>
    <xf numFmtId="0" fontId="8" fillId="0" borderId="15" xfId="1" applyFont="1" applyBorder="1" applyAlignment="1">
      <alignment horizontal="center" vertical="center"/>
    </xf>
    <xf numFmtId="0" fontId="14" fillId="0" borderId="16" xfId="0" applyFont="1" applyBorder="1" applyAlignment="1">
      <alignment vertical="top"/>
    </xf>
    <xf numFmtId="0" fontId="3" fillId="0" borderId="16" xfId="0" applyFont="1" applyBorder="1" applyAlignment="1">
      <alignment vertical="top"/>
    </xf>
    <xf numFmtId="0" fontId="12" fillId="0" borderId="16" xfId="0" applyFont="1" applyBorder="1" applyAlignment="1">
      <alignment vertical="top"/>
    </xf>
    <xf numFmtId="0" fontId="12" fillId="0" borderId="7" xfId="0" applyFont="1" applyBorder="1" applyAlignment="1">
      <alignment vertical="top"/>
    </xf>
    <xf numFmtId="0" fontId="4" fillId="0" borderId="12" xfId="0" applyFont="1" applyBorder="1" applyAlignment="1" applyProtection="1">
      <alignment horizontal="left" vertical="top"/>
      <protection locked="0"/>
    </xf>
    <xf numFmtId="0" fontId="8" fillId="0" borderId="1" xfId="1" applyFont="1" applyBorder="1" applyAlignment="1">
      <alignment horizontal="center" vertical="top"/>
    </xf>
    <xf numFmtId="0" fontId="21" fillId="0" borderId="1" xfId="0" applyFont="1" applyBorder="1" applyAlignment="1">
      <alignment horizontal="left" vertical="top"/>
    </xf>
    <xf numFmtId="0" fontId="4" fillId="0" borderId="1" xfId="0" applyFont="1" applyBorder="1" applyAlignment="1" applyProtection="1">
      <alignment horizontal="left" vertical="top" wrapText="1"/>
      <protection locked="0"/>
    </xf>
    <xf numFmtId="0" fontId="4" fillId="0" borderId="13" xfId="0" applyFont="1" applyBorder="1" applyAlignment="1" applyProtection="1">
      <alignment vertical="top"/>
      <protection locked="0"/>
    </xf>
    <xf numFmtId="0" fontId="12" fillId="10" borderId="4" xfId="0" applyFont="1" applyFill="1" applyBorder="1" applyAlignment="1">
      <alignment horizontal="center" vertical="top"/>
    </xf>
    <xf numFmtId="0" fontId="13" fillId="11" borderId="4" xfId="0" applyFont="1" applyFill="1" applyBorder="1" applyAlignment="1">
      <alignment horizontal="center" vertical="top"/>
    </xf>
    <xf numFmtId="0" fontId="22" fillId="0" borderId="1" xfId="0" applyFont="1" applyBorder="1"/>
    <xf numFmtId="0" fontId="23" fillId="6" borderId="1" xfId="0" applyFont="1" applyFill="1" applyBorder="1" applyAlignment="1">
      <alignment vertical="top" wrapText="1"/>
    </xf>
    <xf numFmtId="0" fontId="24" fillId="0" borderId="1" xfId="1" applyFont="1" applyBorder="1"/>
    <xf numFmtId="0" fontId="21" fillId="15" borderId="1" xfId="0" applyFont="1" applyFill="1" applyBorder="1" applyAlignment="1">
      <alignment horizontal="left" vertical="top"/>
    </xf>
    <xf numFmtId="0" fontId="4" fillId="0" borderId="18" xfId="0" applyFont="1" applyBorder="1" applyAlignment="1" applyProtection="1">
      <alignment horizontal="left" vertical="top"/>
      <protection locked="0"/>
    </xf>
    <xf numFmtId="9" fontId="4" fillId="0" borderId="7" xfId="2" applyFont="1" applyBorder="1" applyAlignment="1" applyProtection="1">
      <alignment horizontal="center" vertical="top"/>
      <protection locked="0"/>
    </xf>
    <xf numFmtId="0" fontId="26" fillId="0" borderId="1" xfId="1" applyFont="1" applyBorder="1" applyAlignment="1">
      <alignment horizontal="center" vertical="top"/>
    </xf>
    <xf numFmtId="0" fontId="4" fillId="0" borderId="3" xfId="0" applyFont="1" applyBorder="1" applyAlignment="1">
      <alignment vertical="top"/>
    </xf>
    <xf numFmtId="0" fontId="27" fillId="15" borderId="15" xfId="0" applyFont="1" applyFill="1" applyBorder="1" applyAlignment="1">
      <alignment horizontal="left" vertical="top"/>
    </xf>
    <xf numFmtId="0" fontId="27" fillId="15" borderId="3" xfId="0" applyFont="1" applyFill="1" applyBorder="1" applyAlignment="1">
      <alignment horizontal="left" vertical="top"/>
    </xf>
    <xf numFmtId="0" fontId="4" fillId="15" borderId="3" xfId="0" applyFont="1" applyFill="1" applyBorder="1" applyAlignment="1">
      <alignment horizontal="left"/>
    </xf>
    <xf numFmtId="0" fontId="9" fillId="0" borderId="18" xfId="0" applyFont="1" applyBorder="1"/>
    <xf numFmtId="0" fontId="3" fillId="0" borderId="11" xfId="0" applyFont="1" applyBorder="1" applyAlignment="1" applyProtection="1">
      <alignment horizontal="center" vertical="top"/>
      <protection locked="0"/>
    </xf>
    <xf numFmtId="0" fontId="3" fillId="0" borderId="1" xfId="0" applyFont="1" applyBorder="1" applyAlignment="1" applyProtection="1">
      <alignment horizontal="center" vertical="top"/>
      <protection locked="0"/>
    </xf>
    <xf numFmtId="0" fontId="3" fillId="0" borderId="15" xfId="0" applyFont="1" applyBorder="1" applyAlignment="1" applyProtection="1">
      <alignment horizontal="center" vertical="top"/>
      <protection locked="0"/>
    </xf>
    <xf numFmtId="0" fontId="9" fillId="0" borderId="12" xfId="0" applyFont="1" applyBorder="1" applyAlignment="1">
      <alignment vertical="top"/>
    </xf>
    <xf numFmtId="0" fontId="20" fillId="0" borderId="0" xfId="0" applyFont="1"/>
    <xf numFmtId="22" fontId="20" fillId="0" borderId="0" xfId="0" applyNumberFormat="1" applyFont="1"/>
    <xf numFmtId="0" fontId="1" fillId="0" borderId="3" xfId="1" applyBorder="1" applyAlignment="1" applyProtection="1">
      <alignment horizontal="center" vertical="top"/>
      <protection locked="0"/>
    </xf>
    <xf numFmtId="9" fontId="4" fillId="0" borderId="0" xfId="2" applyFont="1" applyBorder="1" applyAlignment="1" applyProtection="1">
      <alignment horizontal="center" vertical="top"/>
      <protection locked="0"/>
    </xf>
    <xf numFmtId="9" fontId="18" fillId="18" borderId="3" xfId="2" applyFont="1" applyFill="1" applyBorder="1" applyAlignment="1" applyProtection="1">
      <alignment horizontal="center" vertical="top"/>
      <protection locked="0"/>
    </xf>
    <xf numFmtId="9" fontId="4" fillId="0" borderId="1" xfId="2" applyFont="1" applyBorder="1" applyAlignment="1" applyProtection="1">
      <alignment horizontal="center" vertical="top" wrapText="1"/>
      <protection locked="0"/>
    </xf>
    <xf numFmtId="0" fontId="28" fillId="6" borderId="0" xfId="0" applyFont="1" applyFill="1"/>
    <xf numFmtId="0" fontId="4" fillId="0" borderId="1" xfId="2" applyNumberFormat="1" applyFont="1" applyBorder="1" applyAlignment="1" applyProtection="1">
      <alignment horizontal="center" vertical="top" wrapText="1"/>
      <protection locked="0"/>
    </xf>
    <xf numFmtId="0" fontId="9" fillId="0" borderId="7" xfId="0" applyFont="1" applyBorder="1"/>
    <xf numFmtId="0" fontId="8" fillId="0" borderId="3" xfId="1" applyFont="1" applyBorder="1" applyAlignment="1" applyProtection="1">
      <alignment horizontal="center" vertical="top"/>
      <protection locked="0"/>
    </xf>
    <xf numFmtId="0" fontId="8" fillId="0" borderId="1" xfId="1" applyFont="1" applyBorder="1" applyAlignment="1">
      <alignment horizontal="center"/>
    </xf>
    <xf numFmtId="0" fontId="8" fillId="0" borderId="7" xfId="1" applyFont="1" applyBorder="1" applyAlignment="1">
      <alignment horizontal="center"/>
    </xf>
    <xf numFmtId="0" fontId="8" fillId="0" borderId="0" xfId="1" applyFont="1" applyAlignment="1">
      <alignment horizontal="center"/>
    </xf>
    <xf numFmtId="0" fontId="8" fillId="0" borderId="14" xfId="1" applyFont="1" applyBorder="1" applyAlignment="1">
      <alignment horizontal="center"/>
    </xf>
    <xf numFmtId="0" fontId="8" fillId="0" borderId="5" xfId="1" applyFont="1" applyBorder="1" applyAlignment="1">
      <alignment horizontal="center"/>
    </xf>
    <xf numFmtId="0" fontId="8" fillId="0" borderId="3" xfId="1" applyFont="1" applyBorder="1" applyAlignment="1">
      <alignment horizontal="center" vertical="top"/>
    </xf>
    <xf numFmtId="0" fontId="8" fillId="15" borderId="15" xfId="1" applyFont="1" applyFill="1" applyBorder="1" applyAlignment="1">
      <alignment horizontal="center" vertical="top"/>
    </xf>
    <xf numFmtId="0" fontId="8" fillId="15" borderId="3" xfId="1" applyFont="1" applyFill="1" applyBorder="1" applyAlignment="1">
      <alignment horizontal="center" vertical="top"/>
    </xf>
    <xf numFmtId="0" fontId="8" fillId="0" borderId="3" xfId="1" applyFont="1" applyFill="1" applyBorder="1" applyAlignment="1">
      <alignment horizontal="center"/>
    </xf>
    <xf numFmtId="0" fontId="8" fillId="0" borderId="15" xfId="1" applyFont="1" applyFill="1" applyBorder="1" applyAlignment="1">
      <alignment horizontal="center"/>
    </xf>
    <xf numFmtId="0" fontId="9" fillId="0" borderId="0" xfId="0" applyFont="1" applyAlignment="1">
      <alignment horizontal="center"/>
    </xf>
    <xf numFmtId="9" fontId="9" fillId="0" borderId="4" xfId="0" applyNumberFormat="1" applyFont="1" applyBorder="1" applyAlignment="1">
      <alignment horizontal="center"/>
    </xf>
    <xf numFmtId="0" fontId="9" fillId="0" borderId="1" xfId="0" applyFont="1" applyBorder="1" applyAlignment="1">
      <alignment horizontal="center"/>
    </xf>
    <xf numFmtId="10" fontId="4" fillId="0" borderId="1" xfId="2" applyNumberFormat="1" applyFont="1" applyBorder="1" applyAlignment="1" applyProtection="1">
      <alignment horizontal="center" vertical="top"/>
      <protection locked="0"/>
    </xf>
    <xf numFmtId="0" fontId="4" fillId="0" borderId="3" xfId="0" applyFont="1" applyBorder="1" applyAlignment="1" applyProtection="1">
      <alignment vertical="top" wrapText="1"/>
      <protection locked="0"/>
    </xf>
    <xf numFmtId="0" fontId="4" fillId="0" borderId="1" xfId="0" applyFont="1" applyBorder="1" applyAlignment="1" applyProtection="1">
      <alignment horizontal="center" vertical="center"/>
      <protection locked="0"/>
    </xf>
    <xf numFmtId="9" fontId="0" fillId="0" borderId="0" xfId="0" applyNumberFormat="1"/>
    <xf numFmtId="0" fontId="4" fillId="0" borderId="18" xfId="0" applyFont="1" applyBorder="1" applyAlignment="1" applyProtection="1">
      <alignment vertical="top"/>
      <protection locked="0"/>
    </xf>
    <xf numFmtId="0" fontId="8" fillId="0" borderId="17" xfId="1" applyFont="1" applyBorder="1" applyAlignment="1">
      <alignment horizontal="center" vertical="center"/>
    </xf>
    <xf numFmtId="9" fontId="27" fillId="0" borderId="1" xfId="0" applyNumberFormat="1" applyFont="1" applyBorder="1" applyAlignment="1">
      <alignment horizontal="center"/>
    </xf>
    <xf numFmtId="0" fontId="9" fillId="0" borderId="15" xfId="0" applyFont="1" applyBorder="1" applyAlignment="1">
      <alignment vertical="top"/>
    </xf>
    <xf numFmtId="0" fontId="9" fillId="0" borderId="15" xfId="0" applyFont="1" applyBorder="1" applyAlignment="1">
      <alignment horizontal="left" vertical="top"/>
    </xf>
    <xf numFmtId="0" fontId="4" fillId="0" borderId="1" xfId="0" applyFont="1" applyBorder="1" applyAlignment="1" applyProtection="1">
      <alignment horizontal="center" vertical="top"/>
      <protection locked="0"/>
    </xf>
    <xf numFmtId="0" fontId="8" fillId="0" borderId="15" xfId="1" applyFont="1" applyBorder="1" applyAlignment="1">
      <alignment horizontal="center" vertical="top"/>
    </xf>
    <xf numFmtId="9" fontId="9" fillId="0" borderId="6" xfId="0" applyNumberFormat="1" applyFont="1" applyBorder="1" applyAlignment="1">
      <alignment horizontal="center"/>
    </xf>
    <xf numFmtId="9" fontId="29" fillId="0" borderId="6" xfId="0" applyNumberFormat="1" applyFont="1" applyBorder="1" applyAlignment="1">
      <alignment horizontal="center"/>
    </xf>
    <xf numFmtId="1" fontId="0" fillId="0" borderId="3" xfId="0" applyNumberFormat="1" applyBorder="1" applyAlignment="1">
      <alignment horizontal="center"/>
    </xf>
    <xf numFmtId="9" fontId="0" fillId="0" borderId="3" xfId="0" applyNumberFormat="1" applyBorder="1" applyAlignment="1">
      <alignment horizontal="center"/>
    </xf>
    <xf numFmtId="0" fontId="9" fillId="0" borderId="4" xfId="0" applyFont="1" applyBorder="1" applyAlignment="1">
      <alignment horizontal="center"/>
    </xf>
    <xf numFmtId="9" fontId="9" fillId="0" borderId="18" xfId="0" applyNumberFormat="1" applyFont="1" applyBorder="1" applyAlignment="1">
      <alignment horizontal="center"/>
    </xf>
    <xf numFmtId="9" fontId="9" fillId="0" borderId="19" xfId="0" applyNumberFormat="1" applyFont="1" applyBorder="1" applyAlignment="1">
      <alignment horizontal="center"/>
    </xf>
    <xf numFmtId="9" fontId="9" fillId="0" borderId="1" xfId="0" applyNumberFormat="1" applyFont="1" applyBorder="1" applyAlignment="1">
      <alignment horizontal="center"/>
    </xf>
    <xf numFmtId="0" fontId="27" fillId="0" borderId="3" xfId="0" applyFont="1" applyBorder="1" applyAlignment="1" applyProtection="1">
      <alignment vertical="top"/>
      <protection locked="0"/>
    </xf>
    <xf numFmtId="0" fontId="0" fillId="0" borderId="3" xfId="0" applyBorder="1" applyAlignment="1">
      <alignment horizontal="center"/>
    </xf>
    <xf numFmtId="0" fontId="0" fillId="0" borderId="0" xfId="0" pivotButton="1"/>
    <xf numFmtId="0" fontId="0" fillId="0" borderId="23" xfId="0" pivotButton="1" applyBorder="1"/>
    <xf numFmtId="0" fontId="0" fillId="0" borderId="12" xfId="0" applyBorder="1" applyAlignment="1">
      <alignment horizontal="left"/>
    </xf>
    <xf numFmtId="0" fontId="0" fillId="0" borderId="23" xfId="0" applyBorder="1" applyAlignment="1">
      <alignment horizontal="left"/>
    </xf>
    <xf numFmtId="0" fontId="0" fillId="0" borderId="11" xfId="0" applyBorder="1"/>
    <xf numFmtId="0" fontId="0" fillId="0" borderId="23" xfId="0" applyBorder="1"/>
    <xf numFmtId="0" fontId="4" fillId="0" borderId="2" xfId="0" applyFont="1" applyBorder="1" applyAlignment="1" applyProtection="1">
      <alignment horizontal="left" vertical="top"/>
      <protection locked="0"/>
    </xf>
    <xf numFmtId="9" fontId="4" fillId="0" borderId="2" xfId="2" applyFont="1" applyBorder="1" applyAlignment="1" applyProtection="1">
      <alignment horizontal="center" vertical="top"/>
      <protection locked="0"/>
    </xf>
    <xf numFmtId="0" fontId="4" fillId="0" borderId="11" xfId="0" applyFont="1" applyBorder="1" applyAlignment="1" applyProtection="1">
      <alignment vertical="top"/>
      <protection locked="0"/>
    </xf>
    <xf numFmtId="0" fontId="2" fillId="0" borderId="11" xfId="0" applyFont="1" applyBorder="1" applyAlignment="1" applyProtection="1">
      <alignment horizontal="center" vertical="top"/>
      <protection locked="0"/>
    </xf>
    <xf numFmtId="10" fontId="2" fillId="0" borderId="11" xfId="0" applyNumberFormat="1" applyFont="1" applyBorder="1" applyAlignment="1" applyProtection="1">
      <alignment horizontal="center" vertical="top"/>
      <protection locked="0"/>
    </xf>
    <xf numFmtId="0" fontId="4" fillId="0" borderId="15" xfId="0" applyFont="1" applyBorder="1" applyAlignment="1" applyProtection="1">
      <alignment vertical="top"/>
      <protection locked="0"/>
    </xf>
    <xf numFmtId="0" fontId="2" fillId="0" borderId="15" xfId="0" applyFont="1" applyBorder="1" applyAlignment="1" applyProtection="1">
      <alignment horizontal="center" vertical="top"/>
      <protection locked="0"/>
    </xf>
    <xf numFmtId="10" fontId="2" fillId="0" borderId="15" xfId="0" applyNumberFormat="1" applyFont="1" applyBorder="1" applyAlignment="1" applyProtection="1">
      <alignment horizontal="center" vertical="top"/>
      <protection locked="0"/>
    </xf>
    <xf numFmtId="0" fontId="8" fillId="0" borderId="0" xfId="1" applyFont="1" applyBorder="1" applyAlignment="1">
      <alignment horizontal="center"/>
    </xf>
    <xf numFmtId="0" fontId="18" fillId="18" borderId="3" xfId="2" applyNumberFormat="1" applyFont="1" applyFill="1" applyBorder="1" applyAlignment="1" applyProtection="1">
      <alignment horizontal="center" vertical="top"/>
      <protection locked="0"/>
    </xf>
    <xf numFmtId="0" fontId="2" fillId="0" borderId="1" xfId="0" applyFont="1" applyBorder="1"/>
    <xf numFmtId="0" fontId="26" fillId="0" borderId="1" xfId="1" applyFont="1" applyBorder="1" applyAlignment="1">
      <alignment horizontal="center" vertical="center"/>
    </xf>
    <xf numFmtId="0" fontId="26" fillId="0" borderId="6" xfId="1" applyFont="1" applyBorder="1" applyAlignment="1">
      <alignment horizontal="center" vertical="center"/>
    </xf>
    <xf numFmtId="0" fontId="3" fillId="0" borderId="3" xfId="0" applyFont="1" applyBorder="1" applyAlignment="1">
      <alignment horizontal="left" vertical="top"/>
    </xf>
    <xf numFmtId="0" fontId="4" fillId="0" borderId="7" xfId="0" applyFont="1" applyBorder="1" applyAlignment="1">
      <alignment vertical="top"/>
    </xf>
    <xf numFmtId="0" fontId="0" fillId="0" borderId="11" xfId="0" pivotButton="1" applyBorder="1"/>
    <xf numFmtId="0" fontId="3" fillId="0" borderId="3" xfId="0"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4" fillId="0" borderId="3" xfId="0" applyFont="1" applyBorder="1" applyAlignment="1" applyProtection="1">
      <alignment horizontal="left" vertical="top"/>
      <protection locked="0"/>
    </xf>
    <xf numFmtId="0" fontId="9" fillId="0" borderId="18" xfId="0" applyFont="1" applyBorder="1" applyAlignment="1">
      <alignment vertical="top"/>
    </xf>
    <xf numFmtId="0" fontId="18" fillId="3" borderId="11" xfId="0" applyFont="1" applyFill="1" applyBorder="1" applyAlignment="1" applyProtection="1">
      <alignment horizontal="center" vertical="center"/>
      <protection locked="0"/>
    </xf>
    <xf numFmtId="0" fontId="9" fillId="0" borderId="12" xfId="0" applyFont="1" applyBorder="1"/>
    <xf numFmtId="0" fontId="9" fillId="0" borderId="5" xfId="0" applyFont="1" applyBorder="1"/>
    <xf numFmtId="0" fontId="9" fillId="0" borderId="4" xfId="0" applyFont="1" applyBorder="1"/>
    <xf numFmtId="0" fontId="9" fillId="0" borderId="18" xfId="0" applyFont="1" applyBorder="1" applyAlignment="1">
      <alignment horizontal="center"/>
    </xf>
    <xf numFmtId="0" fontId="9" fillId="0" borderId="17" xfId="0" applyFont="1" applyBorder="1"/>
    <xf numFmtId="0" fontId="9" fillId="0" borderId="13" xfId="0" applyFont="1" applyBorder="1"/>
    <xf numFmtId="0" fontId="1" fillId="0" borderId="0" xfId="1" applyAlignment="1"/>
    <xf numFmtId="0" fontId="9" fillId="0" borderId="20" xfId="0" applyFont="1" applyBorder="1"/>
    <xf numFmtId="0" fontId="9" fillId="0" borderId="19" xfId="0" applyFont="1" applyBorder="1"/>
    <xf numFmtId="0" fontId="9" fillId="0" borderId="19" xfId="0" applyFont="1" applyBorder="1" applyAlignment="1">
      <alignment horizontal="center"/>
    </xf>
    <xf numFmtId="0" fontId="9" fillId="0" borderId="1" xfId="0" applyFont="1" applyBorder="1"/>
    <xf numFmtId="0" fontId="4" fillId="0" borderId="0" xfId="0" applyFont="1"/>
    <xf numFmtId="0" fontId="4" fillId="0" borderId="1" xfId="0" applyFont="1" applyBorder="1"/>
    <xf numFmtId="0" fontId="4" fillId="0" borderId="1" xfId="2" applyNumberFormat="1" applyFont="1" applyBorder="1" applyAlignment="1" applyProtection="1">
      <alignment horizontal="center" vertical="top"/>
      <protection locked="0"/>
    </xf>
    <xf numFmtId="0" fontId="4" fillId="0" borderId="7" xfId="0" applyFont="1" applyBorder="1"/>
    <xf numFmtId="0" fontId="4" fillId="0" borderId="2" xfId="0" applyFont="1" applyBorder="1"/>
    <xf numFmtId="0" fontId="33" fillId="0" borderId="0" xfId="0" applyFont="1"/>
    <xf numFmtId="0" fontId="4" fillId="0" borderId="7" xfId="0" applyFont="1" applyBorder="1" applyAlignment="1" applyProtection="1">
      <alignment horizontal="center" vertical="top"/>
      <protection locked="0"/>
    </xf>
    <xf numFmtId="9" fontId="4" fillId="0" borderId="0" xfId="2" applyFont="1" applyAlignment="1" applyProtection="1">
      <alignment horizontal="center" vertical="top"/>
      <protection locked="0"/>
    </xf>
    <xf numFmtId="0" fontId="30" fillId="0" borderId="0" xfId="0" applyFont="1"/>
    <xf numFmtId="0" fontId="2" fillId="0" borderId="3" xfId="0" applyFont="1" applyBorder="1"/>
    <xf numFmtId="0" fontId="2" fillId="16" borderId="15" xfId="0" applyFont="1" applyFill="1" applyBorder="1"/>
    <xf numFmtId="0" fontId="2" fillId="16" borderId="10" xfId="0" applyFont="1" applyFill="1" applyBorder="1"/>
    <xf numFmtId="0" fontId="2" fillId="0" borderId="15" xfId="0" applyFont="1" applyBorder="1"/>
    <xf numFmtId="0" fontId="9" fillId="0" borderId="10" xfId="0" applyFont="1" applyBorder="1"/>
    <xf numFmtId="0" fontId="31" fillId="0" borderId="0" xfId="0" applyFont="1"/>
    <xf numFmtId="49" fontId="4" fillId="0" borderId="1" xfId="2" applyNumberFormat="1" applyFont="1" applyBorder="1" applyAlignment="1" applyProtection="1">
      <alignment horizontal="center" vertical="top"/>
      <protection locked="0"/>
    </xf>
    <xf numFmtId="0" fontId="3" fillId="0" borderId="1" xfId="0" applyFont="1" applyBorder="1"/>
    <xf numFmtId="0" fontId="9" fillId="0" borderId="0" xfId="0" applyFont="1"/>
    <xf numFmtId="0" fontId="9" fillId="0" borderId="21" xfId="0" applyFont="1" applyBorder="1"/>
    <xf numFmtId="0" fontId="9" fillId="0" borderId="3" xfId="0" applyFont="1" applyBorder="1"/>
    <xf numFmtId="0" fontId="4" fillId="0" borderId="2" xfId="0" applyFont="1" applyBorder="1" applyAlignment="1" applyProtection="1">
      <alignment horizontal="center" vertical="top"/>
      <protection locked="0"/>
    </xf>
    <xf numFmtId="0" fontId="2" fillId="0" borderId="6" xfId="0" applyFont="1" applyBorder="1"/>
    <xf numFmtId="0" fontId="1" fillId="0" borderId="0" xfId="1" applyAlignment="1">
      <alignment wrapText="1"/>
    </xf>
    <xf numFmtId="0" fontId="1" fillId="0" borderId="0" xfId="1"/>
    <xf numFmtId="0" fontId="4" fillId="0" borderId="1" xfId="0" pivotButton="1" applyFont="1" applyBorder="1" applyAlignment="1">
      <alignment horizontal="center"/>
    </xf>
    <xf numFmtId="0" fontId="4" fillId="0" borderId="1" xfId="0" applyFont="1" applyBorder="1" applyAlignment="1">
      <alignment horizontal="center"/>
    </xf>
    <xf numFmtId="0" fontId="34" fillId="19" borderId="1" xfId="0" applyFont="1" applyFill="1" applyBorder="1" applyAlignment="1">
      <alignment horizontal="center"/>
    </xf>
    <xf numFmtId="10" fontId="4" fillId="0" borderId="1" xfId="0" applyNumberFormat="1" applyFont="1" applyBorder="1" applyAlignment="1">
      <alignment horizontal="center"/>
    </xf>
    <xf numFmtId="0" fontId="34" fillId="19" borderId="5" xfId="0" applyFont="1" applyFill="1" applyBorder="1" applyAlignment="1">
      <alignment horizontal="center"/>
    </xf>
    <xf numFmtId="10" fontId="4" fillId="0" borderId="5" xfId="0" applyNumberFormat="1" applyFont="1" applyBorder="1" applyAlignment="1">
      <alignment horizontal="center"/>
    </xf>
    <xf numFmtId="0" fontId="34" fillId="19" borderId="3" xfId="0" applyFont="1" applyFill="1" applyBorder="1" applyAlignment="1">
      <alignment horizontal="center"/>
    </xf>
    <xf numFmtId="0" fontId="4" fillId="0" borderId="1" xfId="0" quotePrefix="1" applyFont="1" applyBorder="1" applyAlignment="1" applyProtection="1">
      <alignment vertical="top"/>
      <protection locked="0"/>
    </xf>
    <xf numFmtId="0" fontId="4" fillId="0" borderId="3" xfId="0" applyFont="1" applyBorder="1"/>
    <xf numFmtId="0" fontId="4" fillId="0" borderId="3" xfId="0" applyFont="1" applyBorder="1" applyAlignment="1">
      <alignment wrapText="1"/>
    </xf>
    <xf numFmtId="0" fontId="34" fillId="19" borderId="3" xfId="0" applyFont="1" applyFill="1" applyBorder="1" applyAlignment="1">
      <alignment horizontal="center" wrapText="1"/>
    </xf>
    <xf numFmtId="0" fontId="0" fillId="0" borderId="0" xfId="0" applyAlignment="1">
      <alignment wrapText="1"/>
    </xf>
    <xf numFmtId="0" fontId="0" fillId="20" borderId="3" xfId="0" applyFill="1" applyBorder="1"/>
    <xf numFmtId="0" fontId="0" fillId="20" borderId="3" xfId="0" applyFill="1" applyBorder="1" applyAlignment="1">
      <alignment horizontal="center"/>
    </xf>
    <xf numFmtId="0" fontId="0" fillId="20" borderId="3" xfId="0" applyFill="1" applyBorder="1" applyAlignment="1">
      <alignment horizontal="left"/>
    </xf>
    <xf numFmtId="0" fontId="0" fillId="20" borderId="3" xfId="0" applyFill="1" applyBorder="1" applyAlignment="1">
      <alignment horizontal="left" vertical="top"/>
    </xf>
    <xf numFmtId="0" fontId="18" fillId="3" borderId="11" xfId="0" applyFont="1" applyFill="1" applyBorder="1" applyAlignment="1" applyProtection="1">
      <alignment horizontal="center" vertical="top"/>
      <protection locked="0"/>
    </xf>
    <xf numFmtId="0" fontId="9" fillId="0" borderId="0" xfId="0" applyFont="1" applyAlignment="1">
      <alignment wrapText="1"/>
    </xf>
    <xf numFmtId="0" fontId="35" fillId="0" borderId="0" xfId="0" applyFont="1"/>
    <xf numFmtId="22" fontId="35" fillId="0" borderId="0" xfId="0" applyNumberFormat="1" applyFont="1"/>
    <xf numFmtId="0" fontId="36" fillId="0" borderId="18" xfId="0" applyFont="1" applyBorder="1" applyAlignment="1">
      <alignment horizontal="center"/>
    </xf>
    <xf numFmtId="3" fontId="4" fillId="0" borderId="3" xfId="0" applyNumberFormat="1" applyFont="1" applyBorder="1" applyAlignment="1">
      <alignment wrapText="1"/>
    </xf>
    <xf numFmtId="0" fontId="36" fillId="0" borderId="18" xfId="0" applyFont="1" applyBorder="1"/>
    <xf numFmtId="0" fontId="37" fillId="0" borderId="6" xfId="0" applyFont="1" applyBorder="1" applyAlignment="1">
      <alignment horizontal="center"/>
    </xf>
    <xf numFmtId="0" fontId="37" fillId="0" borderId="10" xfId="0" applyFont="1" applyBorder="1" applyAlignment="1">
      <alignment horizontal="center"/>
    </xf>
    <xf numFmtId="9" fontId="0" fillId="0" borderId="0" xfId="0" applyNumberFormat="1" applyAlignment="1">
      <alignment horizontal="center"/>
    </xf>
    <xf numFmtId="0" fontId="38" fillId="0" borderId="1" xfId="1" applyFont="1" applyBorder="1" applyAlignment="1">
      <alignment horizontal="center"/>
    </xf>
    <xf numFmtId="0" fontId="39" fillId="0" borderId="0" xfId="0" applyFont="1"/>
    <xf numFmtId="0" fontId="9" fillId="21" borderId="15" xfId="0" applyFont="1" applyFill="1" applyBorder="1"/>
    <xf numFmtId="0" fontId="4" fillId="0" borderId="0" xfId="0" applyFont="1" applyAlignment="1" applyProtection="1">
      <alignment vertical="top"/>
      <protection locked="0"/>
    </xf>
    <xf numFmtId="0" fontId="4" fillId="0" borderId="24" xfId="0" applyFont="1" applyBorder="1" applyAlignment="1" applyProtection="1">
      <alignment vertical="top"/>
      <protection locked="0"/>
    </xf>
    <xf numFmtId="0" fontId="4" fillId="0" borderId="20" xfId="0" applyFont="1" applyBorder="1" applyAlignment="1" applyProtection="1">
      <alignment vertical="top"/>
      <protection locked="0"/>
    </xf>
    <xf numFmtId="0" fontId="2" fillId="16" borderId="0" xfId="0" applyFont="1" applyFill="1"/>
    <xf numFmtId="0" fontId="4" fillId="0" borderId="14" xfId="0" applyFont="1" applyBorder="1" applyAlignment="1" applyProtection="1">
      <alignment vertical="top"/>
      <protection locked="0"/>
    </xf>
    <xf numFmtId="0" fontId="4" fillId="0" borderId="14" xfId="0" applyFont="1" applyBorder="1" applyAlignment="1" applyProtection="1">
      <alignment horizontal="left" vertical="top"/>
      <protection locked="0"/>
    </xf>
    <xf numFmtId="0" fontId="4" fillId="0" borderId="0" xfId="0" applyFont="1" applyAlignment="1" applyProtection="1">
      <alignment horizontal="left" vertical="top"/>
      <protection locked="0"/>
    </xf>
    <xf numFmtId="9" fontId="27" fillId="0" borderId="0" xfId="0" applyNumberFormat="1" applyFont="1" applyAlignment="1">
      <alignment horizontal="center"/>
    </xf>
    <xf numFmtId="0" fontId="9" fillId="21" borderId="21" xfId="0" applyFont="1" applyFill="1" applyBorder="1"/>
    <xf numFmtId="0" fontId="8" fillId="21" borderId="0" xfId="1" applyFont="1" applyFill="1" applyAlignment="1">
      <alignment horizontal="center"/>
    </xf>
    <xf numFmtId="0" fontId="8" fillId="0" borderId="0" xfId="1" applyFont="1" applyFill="1" applyBorder="1" applyAlignment="1">
      <alignment horizontal="center"/>
    </xf>
    <xf numFmtId="0" fontId="3" fillId="0" borderId="7" xfId="0" applyFont="1" applyBorder="1" applyAlignment="1">
      <alignment vertical="top"/>
    </xf>
    <xf numFmtId="0" fontId="40" fillId="0" borderId="1" xfId="0" pivotButton="1" applyFont="1" applyBorder="1"/>
    <xf numFmtId="0" fontId="40" fillId="0" borderId="1" xfId="0" applyFont="1" applyBorder="1"/>
    <xf numFmtId="0" fontId="41" fillId="6" borderId="1" xfId="0" applyFont="1" applyFill="1" applyBorder="1"/>
    <xf numFmtId="0" fontId="2" fillId="0" borderId="3" xfId="0" applyFont="1" applyBorder="1" applyAlignment="1">
      <alignment horizontal="center"/>
    </xf>
    <xf numFmtId="0" fontId="2" fillId="0" borderId="6" xfId="0" applyFont="1" applyBorder="1" applyAlignment="1">
      <alignment horizontal="center"/>
    </xf>
    <xf numFmtId="0" fontId="2" fillId="0" borderId="15" xfId="0" applyFont="1" applyBorder="1" applyAlignment="1">
      <alignment horizontal="center"/>
    </xf>
    <xf numFmtId="0" fontId="2" fillId="0" borderId="10" xfId="0" applyFont="1" applyBorder="1" applyAlignment="1">
      <alignment horizontal="center"/>
    </xf>
    <xf numFmtId="0" fontId="40" fillId="0" borderId="1" xfId="0" applyFont="1" applyBorder="1" applyAlignment="1">
      <alignment horizontal="center" vertical="center"/>
    </xf>
    <xf numFmtId="0" fontId="41" fillId="6" borderId="1" xfId="0" applyFont="1" applyFill="1" applyBorder="1" applyAlignment="1">
      <alignment horizontal="center" vertical="center"/>
    </xf>
    <xf numFmtId="0" fontId="9" fillId="0" borderId="3" xfId="0" applyFont="1" applyBorder="1" applyAlignment="1">
      <alignment vertical="top"/>
    </xf>
    <xf numFmtId="0" fontId="9" fillId="5" borderId="15" xfId="0" applyFont="1" applyFill="1" applyBorder="1"/>
    <xf numFmtId="0" fontId="4" fillId="0" borderId="3" xfId="0" applyFont="1" applyBorder="1" applyAlignment="1" applyProtection="1">
      <alignment horizontal="center" vertical="top" wrapText="1"/>
      <protection locked="0"/>
    </xf>
    <xf numFmtId="0" fontId="32" fillId="19" borderId="12" xfId="0" applyFont="1" applyFill="1" applyBorder="1" applyAlignment="1">
      <alignment horizontal="center"/>
    </xf>
    <xf numFmtId="0" fontId="32" fillId="19" borderId="22" xfId="0" applyFont="1" applyFill="1" applyBorder="1" applyAlignment="1">
      <alignment horizontal="center"/>
    </xf>
    <xf numFmtId="0" fontId="32" fillId="19" borderId="6" xfId="0" applyFont="1" applyFill="1" applyBorder="1" applyAlignment="1">
      <alignment horizontal="center"/>
    </xf>
    <xf numFmtId="0" fontId="22" fillId="17" borderId="1" xfId="0" applyFont="1" applyFill="1" applyBorder="1" applyAlignment="1">
      <alignment horizontal="center"/>
    </xf>
    <xf numFmtId="0" fontId="14" fillId="0" borderId="16" xfId="0" applyFont="1" applyBorder="1" applyAlignment="1">
      <alignment horizontal="center" vertical="top"/>
    </xf>
  </cellXfs>
  <cellStyles count="3">
    <cellStyle name="Hyperlink" xfId="1" builtinId="8"/>
    <cellStyle name="Normal" xfId="0" builtinId="0"/>
    <cellStyle name="Percent" xfId="2" builtinId="5"/>
  </cellStyles>
  <dxfs count="141">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0" tint="-0.14996795556505021"/>
        </patternFill>
      </fill>
    </dxf>
    <dxf>
      <fill>
        <patternFill>
          <bgColor rgb="FF92D050"/>
        </patternFill>
      </fill>
    </dxf>
    <dxf>
      <fill>
        <patternFill>
          <bgColor theme="4" tint="0.79998168889431442"/>
        </patternFill>
      </fill>
    </dxf>
    <dxf>
      <fill>
        <patternFill>
          <bgColor rgb="FFFF0000"/>
        </patternFill>
      </fill>
    </dxf>
    <dxf>
      <font>
        <color theme="1"/>
      </font>
      <fill>
        <patternFill patternType="solid">
          <bgColor rgb="FF92D050"/>
        </patternFill>
      </fill>
    </dxf>
    <dxf>
      <font>
        <color theme="1"/>
      </font>
      <fill>
        <patternFill patternType="solid">
          <bgColor rgb="FFFFC000"/>
        </patternFill>
      </fill>
    </dxf>
    <dxf>
      <font>
        <color theme="1"/>
      </font>
      <fill>
        <patternFill patternType="solid">
          <bgColor theme="0" tint="-0.249977111117893"/>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ont>
        <sz val="9"/>
      </font>
    </dxf>
    <dxf>
      <font>
        <sz val="9"/>
      </font>
    </dxf>
    <dxf>
      <font>
        <sz val="9"/>
      </font>
    </dxf>
    <dxf>
      <font>
        <sz val="9"/>
      </font>
    </dxf>
    <dxf>
      <font>
        <sz val="9"/>
      </font>
    </dxf>
    <dxf>
      <font>
        <sz val="9"/>
      </font>
    </dxf>
    <dxf>
      <alignment horizontal="center"/>
    </dxf>
    <dxf>
      <alignment horizontal="center"/>
    </dxf>
    <dxf>
      <alignment horizontal="center"/>
    </dxf>
    <dxf>
      <alignment horizontal="center"/>
    </dxf>
    <dxf>
      <alignment horizontal="center"/>
    </dxf>
    <dxf>
      <alignment horizontal="center"/>
    </dxf>
    <dxf>
      <font>
        <sz val="9"/>
      </font>
    </dxf>
    <dxf>
      <font>
        <sz val="9"/>
      </font>
    </dxf>
    <dxf>
      <font>
        <sz val="9"/>
      </font>
    </dxf>
    <dxf>
      <font>
        <sz val="9"/>
      </font>
    </dxf>
    <dxf>
      <font>
        <sz val="9"/>
      </font>
    </dxf>
    <dxf>
      <font>
        <sz val="9"/>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name val="Calibri"/>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vertical="center"/>
    </dxf>
    <dxf>
      <alignment horizontal="center"/>
    </dxf>
    <dxf>
      <fill>
        <patternFill patternType="solid">
          <fgColor indexed="64"/>
          <bgColor rgb="FF7030A0"/>
        </patternFill>
      </fill>
    </dxf>
    <dxf>
      <fill>
        <patternFill patternType="solid">
          <fgColor indexed="64"/>
          <bgColor rgb="FF7030A0"/>
        </patternFill>
      </fill>
    </dxf>
    <dxf>
      <font>
        <color theme="0"/>
      </font>
    </dxf>
    <dxf>
      <font>
        <color theme="0"/>
      </font>
    </dxf>
    <dxf>
      <fill>
        <patternFill patternType="solid">
          <fgColor indexed="64"/>
          <bgColor rgb="FF7030A0"/>
        </patternFill>
      </fill>
    </dxf>
    <dxf>
      <fill>
        <patternFill patternType="solid">
          <fgColor indexed="64"/>
          <bgColor rgb="FF7030A0"/>
        </patternFill>
      </fill>
    </dxf>
    <dxf>
      <fill>
        <patternFill patternType="solid">
          <fgColor indexed="64"/>
          <bgColor rgb="FF7030A0"/>
        </patternFill>
      </fill>
    </dxf>
    <dxf>
      <font>
        <color theme="0"/>
      </font>
    </dxf>
    <dxf>
      <font>
        <color theme="0"/>
      </font>
    </dxf>
    <dxf>
      <font>
        <color theme="0"/>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alignment horizontal="center"/>
    </dxf>
    <dxf>
      <alignment horizontal="center"/>
    </dxf>
    <dxf>
      <numFmt numFmtId="13"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24</xdr:col>
      <xdr:colOff>600075</xdr:colOff>
      <xdr:row>139</xdr:row>
      <xdr:rowOff>85725</xdr:rowOff>
    </xdr:from>
    <xdr:to>
      <xdr:col>24</xdr:col>
      <xdr:colOff>609600</xdr:colOff>
      <xdr:row>4038</xdr:row>
      <xdr:rowOff>72390</xdr:rowOff>
    </xdr:to>
    <xdr:pic>
      <xdr:nvPicPr>
        <xdr:cNvPr id="3" name="Picture 1">
          <a:extLst>
            <a:ext uri="{FF2B5EF4-FFF2-40B4-BE49-F238E27FC236}">
              <a16:creationId xmlns:a16="http://schemas.microsoft.com/office/drawing/2014/main" id="{0C28DDA4-F31C-96C3-0A0D-273F0D8F9A93}"/>
            </a:ext>
          </a:extLst>
        </xdr:cNvPr>
        <xdr:cNvPicPr>
          <a:picLocks noChangeAspect="1"/>
        </xdr:cNvPicPr>
      </xdr:nvPicPr>
      <xdr:blipFill>
        <a:blip xmlns:r="http://schemas.openxmlformats.org/officeDocument/2006/relationships" r:embed="rId1"/>
        <a:stretch>
          <a:fillRect/>
        </a:stretch>
      </xdr:blipFill>
      <xdr:spPr>
        <a:xfrm>
          <a:off x="28708350" y="238125"/>
          <a:ext cx="9525" cy="14547532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ED7210D-B462-4196-8D82-45F3D51E54EA}"/>
  <namedSheetView name="View2" id="{67519ACD-FE09-482C-93CD-C6C697D73734}"/>
  <namedSheetView name="View3" id="{E3451CC4-92CF-4A23-A42B-71612164F570}"/>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921289814818" createdVersion="8" refreshedVersion="8" minRefreshableVersion="3" recordCount="495" xr:uid="{93BC8ED3-21FB-4B3B-B187-A825BA6DFD33}">
  <cacheSource type="worksheet">
    <worksheetSource ref="A1:AQ1048576" sheet="PT status"/>
  </cacheSource>
  <cacheFields count="43">
    <cacheField name="Module (TextVerification)" numFmtId="0">
      <sharedItems containsBlank="1"/>
    </cacheField>
    <cacheField name="Parent Title" numFmtId="0">
      <sharedItems containsBlank="1" containsMixedTypes="1" containsNumber="1" containsInteger="1" minValue="0" maxValue="0" count="125">
        <s v="Value Shaping –Enhancements"/>
        <s v="Estimator/Calculator - Expand-Collapse icon Type and Position"/>
        <s v="ROI - Automation Calculator - Default Logic"/>
        <s v="ROI &amp; Summary (Tab 8) will be as is in automation calculator with Split of GEN AI, Opera and Agentic and Ux upgrade"/>
        <s v="Asset Calculator -  Asset accordions to be added  in Asset Catalog"/>
        <s v="Differentiation asset de-tagging- March"/>
        <s v="March Release NextGen Enhancements"/>
        <s v="PLD - Advisory SA Role"/>
        <s v="Angular upgrade version 19 to version 21 - 28th March"/>
        <s v="Opportunities sorting"/>
        <s v="Song Updates in Reporting &amp; Compliance"/>
        <s v="Services - Learn &amp; Launch enhancements"/>
        <s v="SA Team manager User Registration Fields update and Mail POC changes"/>
        <s v="Comma formatting in all raise request emails"/>
        <s v="Diel hierarchy - rolled up revenue"/>
        <s v="Advisory SA Role Sync in DFD, PLD, Define Team"/>
        <s v="Revamp- Tier 2 city"/>
        <s v="Enhancement for Generative AI tab for AMS"/>
        <s v="Song Deals Compliant Logic Update"/>
        <s v="BPMS Reporting &amp; Compliance UI Suggestions post demo call"/>
        <s v="myISP - Online SI API's for DSCO"/>
        <s v="myISP - Digital DCSO"/>
        <s v="Solution Simplification mandatory field updates"/>
        <s v="Capco Template - Enhancement"/>
        <s v="RA BPMS Feedback"/>
        <s v="Mobilization - CXTA Calculator : CXTA enhancements"/>
        <s v="Addition of information in mobilization SA and CXTA User request email"/>
        <s v="TfO Internal Approvals: Enable auto‑approval when lead does not approve the  approval request"/>
        <s v="Custom meeting slots for BPMS meeting scheduler"/>
        <s v="VMM out of scope status and risk and compliance auto insert block for Foxtrot Q1 = No"/>
        <s v="Enterprise SA should have Read–Write access to the Reporting &amp; Compliance module"/>
        <s v="Operations toggle enable only for BPMS SG"/>
        <s v="Solution status based on Transition status stream"/>
        <s v="Automailer, Follow-Ups &amp; Escalation Steps"/>
        <s v="CDAT Gen AI additional Nudges addition."/>
        <s v="CDAT Enhancements"/>
        <s v="Feb 21 || PT || CDAT || Lead || Define Team is not loading"/>
        <s v="No solution ID"/>
        <s v="CDAT Assessment Outcome &amp; Assessment Details update"/>
        <s v="Is this a Global Capability Centre (GCC) or Captive opportunity? field changes and sync between DFD and Define Team"/>
        <s v="[DFD Enhancement] Routing logic update for SA and SME types and Copyright year update"/>
        <s v="Advisory SA - PLD cancellation and Status sync across DFD, PLD and Define Team"/>
        <s v="Feb21||UAT1||PLD||In Cluster management under Generate Pricing-&gt;One Click Pricing, Add Group is enabled in Actions column for cross service lead role."/>
        <s v="Year update to 2025-2026 in PLD Cancellation mails"/>
        <s v="ESA role rename to Market Maker ESA"/>
        <s v="GEN AI Feb Enhancements"/>
        <s v="March Release DLC Revamp - Gen AI"/>
        <s v="GEN AI March Enhancements"/>
        <s v="Retrospective Learnings - Opportunity Benchmarks"/>
        <s v="[Gen AI - SSA] - Enhancement of SSA Agent info. pane."/>
        <s v="[Gen AI - SSA] - Span of Search"/>
        <s v="[SSA - SCA] - Prompt Library UI changes"/>
        <s v="CR: [Gen AI - SSA] - Featuring SSA chat as part of the screen"/>
        <s v="Solution Version Comparator Feature in SSA"/>
        <s v="[Gen AI - SSA] - Enhancements of SSA Chat"/>
        <s v="[Gen AI - SSA] - PII Reporting form changes."/>
        <s v="[Gen AI - SRA] - Review Agent L2 summarization"/>
        <s v="HSP March Release Enhancements"/>
        <s v="[Gen AI - SSA] - S2C Use Cases"/>
        <s v="DSP MMD Integration"/>
        <s v="DSP Core Solution Plan Enhancements"/>
        <s v="PPT/PDF Updated for all SGs"/>
        <s v="DSP MDA Enhancements for PPT/PDF"/>
        <s v="S2C Salesforce Enablement Across Configuration Flows"/>
        <s v="One-Click Review File – Excel Download with Nudge Details and DSP File Links"/>
        <s v="S2C_UI and Role Access  changes"/>
        <s v="[Gen AI - SRA] - UI changes in Review Agent"/>
        <s v="[Gen AI - SRA] - SRA Landing Page with DSP, RFP Synthesis Version, Deal Level Canvas, Review Outcomes"/>
        <s v="GEN AI QDI March Enhancements"/>
        <s v="[Gen AI - SRA] Introducing Opportunity Context screen in Solution Review Agent"/>
        <s v="DSP March 14th CRs"/>
        <e v="#N/A"/>
        <s v="AMS - Staffing OU Across versions for AMS &amp; edit in File name"/>
        <s v="Corrections in OCP/DCTA Resource Level Excel Export Reports"/>
        <s v="OCP/DCTA - Updating the logic for Calculating productivity assessment values in Recommended Productivity section"/>
        <s v="Leadership Reporting Feedback"/>
        <s v="Updating the logic for populating the Deal Rag Status in KDA Variance Analysis Report"/>
        <s v="Updating the Staffing  OU Import Export Validation logic based on Modified On column"/>
        <s v="Updating the logic for calculating productivity assessment values"/>
        <s v="Price to Client after Negotiation Contingency calculation"/>
        <s v="Sending Roles and Open for SA notes to MSDA along with Cost Description and Category"/>
        <s v="Sending metrices applicable for SI MMP-FFP, SI-DATA KDA and Solution Based KDA to MMD"/>
        <s v="Billable Expense as % of Price"/>
        <s v="Skill Data Structure Migration -SI/AMS"/>
        <s v="BPMS OCP: Cost/FTE/Year report"/>
        <s v="Including Client Volume Discount for BPMS OCP"/>
        <s v="IPC Calculator | Updated RAG logic for IPC Delivery Toolkit and IPC Lead PMO"/>
        <s v="March Release Analytics Enhancements"/>
        <s v="Generative AI productivity calculation by Year on Year productivity % in separate columns"/>
        <s v="Client name should be mapped to MasterCustomerNM in Mob architect , CXTA email &amp; Reporting Layer"/>
        <s v="Benchmark Report - Add a column for Lead SA - Operations"/>
        <s v="Reporting Layer: CXTA Fields to be added"/>
        <s v="Omdia Mapping data FY2025 - for the platform"/>
        <s v="MDA IMS Personalization - March Release"/>
        <s v="[MDA-AMS]: View Group-wise Data Across Headcount &amp; Pyramid Reports for Both OCP &amp; MMP routes for Both OCP &amp; MMP Route"/>
        <s v="Change Request for MDA PBI reports- March Release"/>
        <s v="MDA‑Common: Enable Lead Solution Architects to Create MSDA Deal Versions"/>
        <s v="PCW Enhancements and User Feedback - March Release"/>
        <s v="Enhance AEP refresh feature to handle use cases where SA updates DNP, Pricing, other screens on myISP end"/>
        <s v="Disable the automatic staffing"/>
        <s v="Billable Expenses Method as % of Price inclusion in JSON in Lower environment"/>
        <s v="AMS SCA MVP2 March 28th Release Scope"/>
        <s v="AMS MVP1 – Refactoring Scope for Mar 28 (Profiles, Groups, Group‑wide Pricing, Other Cost, Planner Agent)"/>
        <s v="Billable Expenses as % of Price UI"/>
        <s v="MMP release: Billable Expense as % of Price"/>
        <s v="FY26 [BPMS BAU] - Enhancements and CRs related to Models, Excel Input uplaod, Templates  and Reports"/>
        <s v="FY26 [BPMS BAU] - Changes related to Output screens, general solutioning, across Inspire"/>
        <s v="FY26 [BPMS BAU] - Cost Management - Country and CTEP filter - For all Models"/>
        <s v="FY26 [BPMS BAU] - Adoption Tracking and Rolled Up Revenue Updates - March Release"/>
        <s v="FY26 [BPMS BAU] - MMP - DCTA integration enhancements"/>
        <s v="FY26 [BPMS BAU] - SDO - Reimagined"/>
        <s v="IMS BAU - Angular Upgrade"/>
        <s v="DCSO IMS changes"/>
        <s v="UAT CRs"/>
        <s v="Negotiation Contingency % in Billing Json for MMP &amp; OCP"/>
        <s v="LCM Infra - COTs App Replatform"/>
        <s v="MDA personalization"/>
        <s v="IMS BAU - Regression Testing"/>
        <s v="IMS BAU - Change Requests"/>
        <s v="Technical User Stories"/>
        <s v="FY26 [BPMS BAU] - Productivity Updates - Employee and HR"/>
        <s v="FY26 [BPMS BAU] - Defect Management (INSPIRE) and Service Request Management"/>
        <s v="IMS BAU - Monthy MRDB"/>
        <m/>
        <n v="0" u="1"/>
      </sharedItems>
    </cacheField>
    <cacheField name="Feature ID" numFmtId="0">
      <sharedItems containsBlank="1" containsMixedTypes="1" containsNumber="1" containsInteger="1" minValue="0" maxValue="4405953" count="266">
        <n v="4330994"/>
        <n v="4174547"/>
        <n v="4366165"/>
        <n v="4405953"/>
        <n v="4331001"/>
        <n v="4352723"/>
        <n v="4365826"/>
        <n v="4386527"/>
        <n v="4358702"/>
        <n v="4364046"/>
        <n v="4226586"/>
        <n v="4369027"/>
        <n v="4282653"/>
        <n v="4387609"/>
        <n v="4369575"/>
        <n v="4378908"/>
        <n v="4366466"/>
        <n v="4059417"/>
        <n v="4317843"/>
        <n v="4317244"/>
        <n v="4316934"/>
        <n v="4275381"/>
        <n v="4278081"/>
        <n v="4316945"/>
        <n v="4317373"/>
        <n v="4275996"/>
        <n v="4358815"/>
        <n v="4385939"/>
        <n v="4368357"/>
        <n v="4368359"/>
        <n v="4368361"/>
        <n v="4387610"/>
        <n v="4387613"/>
        <n v="4387615"/>
        <n v="4349307"/>
        <n v="4368954"/>
        <n v="4392317"/>
        <n v="4349735"/>
        <n v="4316104"/>
        <n v="4135829"/>
        <n v="4048583"/>
        <n v="4328940"/>
        <n v="4371748"/>
        <n v="4344500"/>
        <n v="4378932"/>
        <n v="4384974"/>
        <n v="4319934"/>
        <n v="4260380"/>
        <n v="4319932"/>
        <n v="4223629"/>
        <n v="4372101"/>
        <n v="4357664"/>
        <n v="4361786"/>
        <n v="4330816"/>
        <n v="4373741"/>
        <n v="4393292"/>
        <n v="4368560"/>
        <n v="4369470"/>
        <n v="4387681"/>
        <n v="4369453"/>
        <n v="4364399"/>
        <n v="4373652"/>
        <n v="4395058"/>
        <n v="4364390"/>
        <n v="4373561"/>
        <n v="4319556"/>
        <n v="4317766"/>
        <n v="4392680"/>
        <n v="4393835"/>
        <n v="4390945"/>
        <n v="4393838"/>
        <n v="4390197"/>
        <e v="#N/A"/>
        <n v="4269015"/>
        <n v="4352766"/>
        <n v="4364026"/>
        <n v="4110461"/>
        <n v="4316161"/>
        <n v="4371812"/>
        <n v="4373529"/>
        <n v="4351343"/>
        <n v="4371602"/>
        <n v="4394114"/>
        <n v="4371610"/>
        <n v="4273057"/>
        <n v="4272104"/>
        <n v="4378855"/>
        <n v="4341338"/>
        <n v="4365879"/>
        <n v="4385941"/>
        <n v="4371914"/>
        <n v="4371834"/>
        <n v="4371836"/>
        <n v="4359602"/>
        <n v="4356899"/>
        <n v="4368157"/>
        <n v="4368212"/>
        <n v="4390100"/>
        <n v="4389866"/>
        <n v="4139936"/>
        <n v="4354186"/>
        <n v="4318937"/>
        <n v="4318876"/>
        <n v="4390112"/>
        <n v="4371605"/>
        <n v="4371607"/>
        <n v="4161205"/>
        <n v="4160933"/>
        <n v="4371753"/>
        <n v="4371783"/>
        <n v="4319026"/>
        <n v="4319034"/>
        <n v="4386347"/>
        <n v="4317352"/>
        <n v="4275871"/>
        <n v="4386334"/>
        <n v="4386341"/>
        <n v="4278295"/>
        <n v="4386333"/>
        <n v="4386339"/>
        <n v="4278294"/>
        <n v="4386636"/>
        <n v="4120361"/>
        <n v="4386335"/>
        <m/>
        <n v="4327472" u="1"/>
        <n v="4373584" u="1"/>
        <n v="4367340" u="1"/>
        <n v="4311794" u="1"/>
        <n v="4358170" u="1"/>
        <n v="4393834" u="1"/>
        <n v="0" u="1"/>
        <n v="4387279" u="1"/>
        <n v="4372279" u="1"/>
        <n v="4387285" u="1"/>
        <n v="4260483" u="1"/>
        <n v="4356728" u="1"/>
        <n v="4356901" u="1"/>
        <n v="4373965" u="1"/>
        <n v="4392075" u="1"/>
        <n v="4392134" u="1"/>
        <n v="4109361" u="1"/>
        <n v="4366167" u="1"/>
        <n v="4327715" u="1"/>
        <n v="4313249" u="1"/>
        <n v="4341363" u="1"/>
        <n v="4372017" u="1"/>
        <n v="4232673" u="1"/>
        <n v="4366166" u="1"/>
        <n v="4047082" u="1"/>
        <n v="4272030" u="1"/>
        <n v="4316947" u="1"/>
        <n v="4359406" u="1"/>
        <n v="4017211" u="1"/>
        <n v="4358863" u="1"/>
        <n v="4327171" u="1"/>
        <n v="4317765" u="1"/>
        <n v="4250760" u="1"/>
        <n v="4297381" u="1"/>
        <n v="4322578" u="1"/>
        <n v="4277388" u="1"/>
        <n v="4281663" u="1"/>
        <n v="4282777" u="1"/>
        <n v="4309721" u="1"/>
        <n v="4310296" u="1"/>
        <n v="4310219" u="1"/>
        <n v="4315968" u="1"/>
        <n v="4318935" u="1"/>
        <n v="4006005" u="1"/>
        <n v="4317678" u="1"/>
        <n v="4106427" u="1"/>
        <n v="4300535" u="1"/>
        <n v="4024945" u="1"/>
        <n v="4041211" u="1"/>
        <n v="4286469" u="1"/>
        <n v="4221721" u="1"/>
        <n v="4297379" u="1"/>
        <n v="4312426" u="1"/>
        <n v="4276810" u="1"/>
        <n v="4325869" u="1"/>
        <n v="4326891" u="1"/>
        <n v="4330841" u="1"/>
        <n v="4336238" u="1"/>
        <n v="4281722" u="1"/>
        <n v="4159336" u="1"/>
        <n v="4110843" u="1"/>
        <n v="4151502" u="1"/>
        <n v="4260486" u="1"/>
        <n v="4326894" u="1"/>
        <n v="4317001" u="1"/>
        <n v="4309648" u="1"/>
        <n v="4309637" u="1"/>
        <n v="4318286" u="1"/>
        <n v="4327952" u="1"/>
        <n v="4327966" u="1"/>
        <n v="4315825" u="1"/>
        <n v="4318922" u="1"/>
        <n v="4318945" u="1"/>
        <n v="4318920" u="1"/>
        <n v="4034031" u="1"/>
        <n v="4312443" u="1"/>
        <n v="4330383" u="1"/>
        <n v="4278753" u="1"/>
        <n v="4260487" u="1"/>
        <n v="4319598" u="1"/>
        <n v="4147777" u="1"/>
        <n v="4265971" u="1"/>
        <n v="4327196" u="1"/>
        <n v="4317767" u="1"/>
        <n v="4266045" u="1"/>
        <n v="4330819" u="1"/>
        <n v="4265616" u="1"/>
        <n v="4257059" u="1"/>
        <n v="4278604" u="1"/>
        <n v="4330936" u="1"/>
        <n v="4349807" u="1"/>
        <n v="4353738" u="1"/>
        <n v="4357547" u="1"/>
        <n v="4259041" u="1"/>
        <n v="4315766" u="1"/>
        <n v="4317877" u="1"/>
        <n v="4312254" u="1"/>
        <n v="4266011" u="1"/>
        <n v="4331510" u="1"/>
        <n v="4327720" u="1"/>
        <n v="4318153" u="1"/>
        <n v="4163171" u="1"/>
        <n v="4248291" u="1"/>
        <n v="4314178" u="1"/>
        <n v="4224870" u="1"/>
        <n v="4318938" u="1"/>
        <n v="4317845" u="1"/>
        <n v="4110807" u="1"/>
        <n v="4319574" u="1"/>
        <n v="4329399" u="1"/>
        <n v="4320928" u="1"/>
        <n v="4317981" u="1"/>
        <n v="4319023" u="1"/>
        <n v="4054252" u="1"/>
        <n v="4054262" u="1"/>
        <n v="4054292" u="1"/>
        <n v="4115170" u="1"/>
        <n v="4089704" u="1"/>
        <n v="4224175" u="1"/>
        <n v="4187404" u="1"/>
        <n v="4332300" u="1"/>
        <n v="4306621" u="1"/>
        <n v="4316944" u="1"/>
        <n v="4317432" u="1"/>
        <n v="4317371" u="1"/>
        <n v="4278502" u="1"/>
        <n v="4329298" u="1"/>
        <n v="4316958" u="1"/>
        <n v="4328640" u="1"/>
        <n v="4317300" u="1"/>
        <n v="4317310" u="1"/>
        <n v="4317357" u="1"/>
        <n v="4317342" u="1"/>
        <n v="4319792" u="1"/>
        <n v="3771652" u="1"/>
        <n v="3770073" u="1"/>
        <n v="4357110" u="1"/>
        <n v="3804356" u="1"/>
        <n v="4063730" u="1"/>
        <n v="4340066" u="1"/>
        <n v="4249003" u="1"/>
      </sharedItems>
    </cacheField>
    <cacheField name="PT Lead" numFmtId="0">
      <sharedItems containsBlank="1" count="15">
        <s v="Nandini"/>
        <s v="Pirtheebaa"/>
        <s v="Shini"/>
        <s v="Rajeswari"/>
        <s v="Himanshu"/>
        <s v="Leena"/>
        <s v="Hajara"/>
        <s v="Jaya"/>
        <s v="Kavi"/>
        <s v="Devika"/>
        <s v="Anand"/>
        <s v="Surbhi"/>
        <s v="Vaidheki"/>
        <s v="Omkar"/>
        <m/>
      </sharedItems>
    </cacheField>
    <cacheField name="Title" numFmtId="0">
      <sharedItems containsBlank="1" longText="1"/>
    </cacheField>
    <cacheField name="ID" numFmtId="0">
      <sharedItems containsString="0" containsBlank="1" containsNumber="1" containsInteger="1" minValue="3997998" maxValue="4445982"/>
    </cacheField>
    <cacheField name="Primary Tester" numFmtId="0">
      <sharedItems containsBlank="1"/>
    </cacheField>
    <cacheField name="Secondary Tester" numFmtId="0">
      <sharedItems containsBlank="1"/>
    </cacheField>
    <cacheField name="Field9" caption="Field9" numFmtId="0">
      <sharedItems containsNonDate="0" containsString="0" containsBlank="1"/>
    </cacheField>
    <cacheField name="Insprint Tester" numFmtId="0">
      <sharedItems containsBlank="1" count="75">
        <s v="pawan.m.kumar.singh"/>
        <s v="bandi.sunanda"/>
        <s v="guddeti.srilekha"/>
        <m/>
        <s v="s.af.natarajan"/>
        <s v="reshmi.doddi"/>
        <s v="shaik.yasin"/>
        <s v="mohammad.samreen"/>
        <s v="r.yuvanitharsana"/>
        <s v="namrata.g.umardand"/>
        <s v="ShaliniB.Pandey"/>
        <s v="Mary.jacob"/>
        <s v="Vinayak.sangale"/>
        <s v="Manisha.m.sharma"/>
        <s v="Bhavana.reddy.alla"/>
        <s v="Anitha.a.ramesh"/>
        <s v="sagarika.a.singh"/>
        <s v="pavithra.b.palani"/>
        <s v="arun.thangapandian"/>
        <s v="s.namdev.suryawanshi"/>
        <s v="m.sheik.fusulee.a"/>
        <s v="nitish.kumar.prusty"/>
        <s v="lakshmi.e.j"/>
        <s v="h.kouser"/>
        <s v="s.manmit.vanarase"/>
        <s v="nithish.mode"/>
        <s v="ganga.m.reddy.padala"/>
        <s v="v.uma.maheswari"/>
        <s v="sangeetha.pandian"/>
        <s v="m.ishwar.jaxanni"/>
        <s v="harish.vijiyakumar"/>
        <s v="nalluri.vishnupriya"/>
        <s v="anusha.goriparthi"/>
        <s v="logapriya.govindaraj"/>
        <s v="k.p.palanisamy"/>
        <s v="gayatri.korikana"/>
        <s v="sushmeta.rajkumar"/>
        <s v="s.boya.kumarii"/>
        <s v="Prasanna.Pandian"/>
        <s v="santhwana.m.r"/>
        <s v="haritha.bomma.reddy"/>
        <s v="sai.kumar.mandala"/>
        <s v="h.udhayakumar"/>
        <s v="h.anbalagan.deepa"/>
        <s v="shyam.pranav.vs"/>
        <s v="jabeen.iqbal"/>
        <s v="karnati.aruna.jyothi"/>
        <s v="divya.belli"/>
        <s v="reshma.sundar"/>
        <s v="swati.bo.sharma"/>
        <s v="naveen.arunachalam"/>
        <s v="kalpana.boodidha"/>
        <s v="n.g.senthil.kumar"/>
        <s v="vignesh.jagathisan"/>
        <s v="khageswar.nayak"/>
        <s v="vadde.veena.sree"/>
        <s v="Vinesha"/>
        <s v="navya.majji"/>
        <s v="p.haribhau.tadke"/>
        <s v="komal.balu.darekar"/>
        <s v="sai.priyanka.vasa"/>
        <s v="Vinesha.ravi"/>
        <s v="jothika.sundaram"/>
        <s v="ihsana.p.abdulla"/>
        <s v="abhijit.a.nandi"/>
        <s v="ayush.ad.singh"/>
        <s v="divya.sree.chatla"/>
        <s v="v.b.sivakumar"/>
        <s v="k.tamilzharasu"/>
        <s v="a.nanditha.uddaraju"/>
        <s v="jeba.momin"/>
        <s v="sathya.senthilkumar"/>
        <s v="amresh.l.kumar"/>
        <s v="sohana.khan"/>
        <s v="manisa.bid"/>
      </sharedItems>
    </cacheField>
    <cacheField name="Insprint Yes/No" numFmtId="0">
      <sharedItems containsBlank="1" count="3">
        <s v="Yes"/>
        <s v="No"/>
        <m/>
      </sharedItems>
    </cacheField>
    <cacheField name="If Insprint NO - Reason" numFmtId="0">
      <sharedItems containsBlank="1"/>
    </cacheField>
    <cacheField name="Pre defined No Reason" numFmtId="0">
      <sharedItems containsBlank="1" count="16">
        <m/>
        <s v="Too many screen validation involved and complex to automate within insprint timeline"/>
        <s v="PPT/PDF Validation"/>
        <s v="Excel functionality"/>
        <s v="Full regression required"/>
        <s v="Email functionality"/>
        <s v="One time update related"/>
        <s v="UI alignment and Font related"/>
        <s v="External Team Integration"/>
        <s v="Prompt related testing"/>
        <s v="OBM (GEN AI) Not possible to automate"/>
        <s v="PBI report validation"/>
        <s v="Story added Last 7 days of release"/>
        <s v="BPMS BAU"/>
        <s v="IMS BAU"/>
        <s v="Involves multiple screens " u="1"/>
      </sharedItems>
    </cacheField>
    <cacheField name="Complexity" numFmtId="0">
      <sharedItems containsBlank="1"/>
    </cacheField>
    <cacheField name="In sprint test case count" numFmtId="0">
      <sharedItems containsString="0" containsBlank="1" containsNumber="1" containsInteger="1" minValue="1" maxValue="12"/>
    </cacheField>
    <cacheField name="If insprint YES - % of completion" numFmtId="0">
      <sharedItems containsString="0" containsBlank="1" containsNumber="1" minValue="0" maxValue="1"/>
    </cacheField>
    <cacheField name="Automated cases generated from GHC" numFmtId="0">
      <sharedItems containsString="0" containsBlank="1" containsNumber="1" containsInteger="1" minValue="1" maxValue="47"/>
    </cacheField>
    <cacheField name="Useful Automated cases from GHC" numFmtId="0">
      <sharedItems containsString="0" containsBlank="1" containsNumber="1" containsInteger="1" minValue="1" maxValue="19"/>
    </cacheField>
    <cacheField name="Tester created automated count (not given by GHC)" numFmtId="0">
      <sharedItems containsString="0" containsBlank="1" containsNumber="1" containsInteger="1" minValue="0" maxValue="8"/>
    </cacheField>
    <cacheField name="Reviwed Final automation count" numFmtId="0">
      <sharedItems containsBlank="1" containsMixedTypes="1" containsNumber="1" containsInteger="1" minValue="1" maxValue="20"/>
    </cacheField>
    <cacheField name="Coverage for automated test case from GHC%" numFmtId="0">
      <sharedItems containsString="0" containsBlank="1" containsNumber="1" minValue="0.2" maxValue="1"/>
    </cacheField>
    <cacheField name="Accuracy of Automated Test case from GHC%" numFmtId="0">
      <sharedItems containsString="0" containsBlank="1" containsNumber="1" minValue="0.25" maxValue="1"/>
    </cacheField>
    <cacheField name="Test Planning" numFmtId="0">
      <sharedItems containsBlank="1" count="4">
        <s v="Completed"/>
        <s v="Not Started"/>
        <m/>
        <s v="In Progress" u="1"/>
      </sharedItems>
    </cacheField>
    <cacheField name="BA Review" numFmtId="0">
      <sharedItems containsBlank="1" count="4">
        <s v="Completed"/>
        <s v="In Progress"/>
        <s v="Not Started"/>
        <m/>
      </sharedItems>
    </cacheField>
    <cacheField name="TFS upload" numFmtId="0">
      <sharedItems containsBlank="1"/>
    </cacheField>
    <cacheField name="PT Status" numFmtId="0">
      <sharedItems containsBlank="1"/>
    </cacheField>
    <cacheField name="Manual Test cases generated from GHC" numFmtId="0">
      <sharedItems containsBlank="1" containsMixedTypes="1" containsNumber="1" containsInteger="1" minValue="3" maxValue="100"/>
    </cacheField>
    <cacheField name="Useful Test cases from GHC" numFmtId="0">
      <sharedItems containsBlank="1" containsMixedTypes="1" containsNumber="1" containsInteger="1" minValue="0" maxValue="52"/>
    </cacheField>
    <cacheField name="Tester Created test case count" numFmtId="0">
      <sharedItems containsBlank="1" containsMixedTypes="1" containsNumber="1" containsInteger="1" minValue="0" maxValue="90"/>
    </cacheField>
    <cacheField name="Reviwed Final Test case count" numFmtId="0">
      <sharedItems containsBlank="1" containsMixedTypes="1" containsNumber="1" containsInteger="1" minValue="0" maxValue="90"/>
    </cacheField>
    <cacheField name="Coverage for Manual Test cases from GHC%" numFmtId="0">
      <sharedItems containsBlank="1" containsMixedTypes="1" containsNumber="1" minValue="0" maxValue="1"/>
    </cacheField>
    <cacheField name="Accuracy for Manual test cases from GHC%" numFmtId="0">
      <sharedItems containsBlank="1" containsMixedTypes="1" containsNumber="1" minValue="0" maxValue="1"/>
    </cacheField>
    <cacheField name="TFS state" numFmtId="0">
      <sharedItems containsBlank="1"/>
    </cacheField>
    <cacheField name="Passed" numFmtId="0">
      <sharedItems containsString="0" containsBlank="1" containsNumber="1" containsInteger="1" minValue="0" maxValue="248"/>
    </cacheField>
    <cacheField name="Failed" numFmtId="0">
      <sharedItems containsString="0" containsBlank="1" containsNumber="1" containsInteger="1" minValue="0" maxValue="5"/>
    </cacheField>
    <cacheField name="Blocked" numFmtId="0">
      <sharedItems containsString="0" containsBlank="1" containsNumber="1" containsInteger="1" minValue="0" maxValue="0"/>
    </cacheField>
    <cacheField name="Not Run" numFmtId="0">
      <sharedItems containsString="0" containsBlank="1" containsNumber="1" containsInteger="1" minValue="0" maxValue="4"/>
    </cacheField>
    <cacheField name="Total" numFmtId="0">
      <sharedItems containsString="0" containsBlank="1" containsNumber="1" containsInteger="1" minValue="0" maxValue="255"/>
    </cacheField>
    <cacheField name="Execution %" numFmtId="0">
      <sharedItems containsString="0" containsBlank="1" containsNumber="1" minValue="0" maxValue="1"/>
    </cacheField>
    <cacheField name="Pass %" numFmtId="0">
      <sharedItems containsBlank="1" containsMixedTypes="1" containsNumber="1" minValue="0" maxValue="1"/>
    </cacheField>
    <cacheField name="Comments" numFmtId="0">
      <sharedItems containsBlank="1" containsMixedTypes="1" containsNumber="1" containsInteger="1" minValue="4412622" maxValue="4436894"/>
    </cacheField>
    <cacheField name="Node Name" numFmtId="0">
      <sharedItems containsBlank="1" containsMixedTypes="1" containsNumber="1" containsInteger="1" minValue="0" maxValue="0" count="51">
        <s v="NGTransformers"/>
        <s v="TechWarriors"/>
        <s v="CrazyCoders"/>
        <s v="Codeplayers"/>
        <s v="Spartans"/>
        <s v="TitansPlus"/>
        <s v="TechCoders"/>
        <s v="MYISP_Revamp_UI"/>
        <s v="GoRetro"/>
        <s v="TechPhantoms"/>
        <s v="CodeCrafters"/>
        <s v="DevNinjas"/>
        <s v="Pirates"/>
        <s v="TechWizards"/>
        <s v="TechStars"/>
        <s v="BPMSBloggers"/>
        <s v="CodeCatalyst"/>
        <s v="TechAvengers"/>
        <s v="TechTribe"/>
        <s v="BackDoorGuardians"/>
        <s v="Pixel Pioneers"/>
        <s v="Pacemakers"/>
        <s v="DynamicDev"/>
        <s v="CreativeCoders"/>
        <s v="Code Mavin"/>
        <s v="GEN AI - Solution Super Agent"/>
        <s v="Gen AI - Solution Review Agent"/>
        <s v="Harvesting solutionPlan"/>
        <s v="GENAI-CDAT"/>
        <s v="Ninjawarriors"/>
        <s v="QDI - Opportunity Metrics"/>
        <s v="Solution to Contract"/>
        <e v="#N/A"/>
        <s v="TechMavericks"/>
        <s v="Simulators"/>
        <s v="CodingCrusaders"/>
        <m/>
        <s v="Cognilytics"/>
        <s v="DataSupport"/>
        <s v="SolutionDataLake"/>
        <s v="Tech Ensemble"/>
        <s v="TechAvatar"/>
        <s v="DevStormers"/>
        <s v="agentcrafters"/>
        <s v="Simba"/>
        <s v="Insurgents"/>
        <s v="TechSprinters"/>
        <s v="Pluto"/>
        <s v="myISP_IMS"/>
        <s v="Pinocchio"/>
        <n v="0" u="1"/>
      </sharedItems>
    </cacheField>
    <cacheField name="MPOC" numFmtId="0">
      <sharedItems containsBlank="1" containsMixedTypes="1" containsNumber="1" containsInteger="1" minValue="0" maxValue="0" count="20">
        <s v="sowjanya.kari"/>
        <s v="nityanand.giri"/>
        <s v="Francis.Deepak"/>
        <s v="vikrant.r.mohite"/>
        <s v="sona.job"/>
        <s v="pandidurai.ks"/>
        <s v="mervinkumar.manickam"/>
        <s v="mohanraj.a.selvaraj"/>
        <s v="K.devaraj"/>
        <s v="n.d.krishnakumar"/>
        <e v="#N/A"/>
        <m/>
        <s v="anil.kadiri"/>
        <s v="karthi.madheshwaran"/>
        <s v="vishal.v.nadpurohit"/>
        <s v="suraj.sukumaran"/>
        <s v="shwetha.shriyan"/>
        <s v="m.ohlan"/>
        <s v="supriya.a.dhingra"/>
        <n v="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
  <r>
    <s v="Value Shaping"/>
    <x v="0"/>
    <x v="0"/>
    <x v="0"/>
    <s v="Value Shaping - As a myISP user, I want to introduce a new role &quot;V2V Configurator&quot; that lands on the dashboard with an action available in the Tools section, so that SMEs can navigate to the Configurator Value Tree link and configure Value Tree templates"/>
    <n v="4315785"/>
    <s v="Pawan"/>
    <s v="Yasin"/>
    <m/>
    <x v="0"/>
    <x v="0"/>
    <m/>
    <x v="0"/>
    <s v="Medium"/>
    <m/>
    <n v="1"/>
    <n v="11"/>
    <n v="3"/>
    <n v="0"/>
    <n v="3"/>
    <n v="1"/>
    <n v="0.77"/>
    <x v="0"/>
    <x v="0"/>
    <s v="Completed"/>
    <s v="Completed"/>
    <n v="27"/>
    <n v="21"/>
    <n v="0"/>
    <n v="21"/>
    <n v="1"/>
    <n v="0.85"/>
    <s v="Test Complete"/>
    <n v="21"/>
    <n v="0"/>
    <n v="0"/>
    <n v="0"/>
    <n v="21"/>
    <n v="1"/>
    <n v="1"/>
    <m/>
    <x v="0"/>
    <x v="0"/>
  </r>
  <r>
    <s v="Estimator and Calculator"/>
    <x v="1"/>
    <x v="1"/>
    <x v="0"/>
    <s v="As a myISP user I should be able to see expand and collapse icon in Estimator and calculator screen as per UI revamp standards"/>
    <n v="4174533"/>
    <s v="Yuvani"/>
    <s v="Sunanda"/>
    <m/>
    <x v="1"/>
    <x v="0"/>
    <m/>
    <x v="0"/>
    <s v="Medium"/>
    <m/>
    <n v="1"/>
    <n v="10"/>
    <n v="1"/>
    <n v="0"/>
    <n v="1"/>
    <n v="0.7"/>
    <n v="1"/>
    <x v="0"/>
    <x v="0"/>
    <s v="Completed"/>
    <s v="Completed"/>
    <n v="50"/>
    <n v="15"/>
    <n v="0"/>
    <n v="15"/>
    <n v="1"/>
    <n v="1"/>
    <s v="Test Complete"/>
    <n v="15"/>
    <n v="0"/>
    <n v="0"/>
    <n v="0"/>
    <n v="15"/>
    <n v="1"/>
    <n v="1"/>
    <s v="bugid :4427095"/>
    <x v="1"/>
    <x v="0"/>
  </r>
  <r>
    <s v="Value Shaping"/>
    <x v="0"/>
    <x v="0"/>
    <x v="0"/>
    <s v="Value Shaping -As a myISP User - V2V Configurator - I want to access the Estimators/Calculators in read-only mode and navigate using the fixed breadcrumb path so that I can maintain workflow continuity."/>
    <n v="4364563"/>
    <s v="Srilekha"/>
    <s v="Yasin/Reshmi"/>
    <m/>
    <x v="2"/>
    <x v="0"/>
    <m/>
    <x v="0"/>
    <s v="Complex"/>
    <m/>
    <n v="1"/>
    <n v="22"/>
    <n v="5"/>
    <n v="0"/>
    <n v="5"/>
    <n v="1"/>
    <n v="0.7"/>
    <x v="0"/>
    <x v="0"/>
    <s v="Completed"/>
    <s v="Completed"/>
    <n v="50"/>
    <n v="19"/>
    <n v="0"/>
    <n v="19"/>
    <n v="1"/>
    <n v="0.7"/>
    <s v="Test Complete"/>
    <n v="19"/>
    <n v="0"/>
    <n v="0"/>
    <n v="0"/>
    <n v="19"/>
    <n v="1"/>
    <n v="1"/>
    <m/>
    <x v="1"/>
    <x v="0"/>
  </r>
  <r>
    <s v="Automation Calculator"/>
    <x v="2"/>
    <x v="2"/>
    <x v="0"/>
    <s v="As a myISP user working on automation ROI section I want AD and AM views to mirror the Productivity Assessment layout (lever/sub-lever grid with Y1H1-Y5H5 periods) and auto-populate values based on PA completion status"/>
    <n v="4364929"/>
    <s v="Soundhar"/>
    <s v="Yuvani/Sunanda"/>
    <m/>
    <x v="3"/>
    <x v="1"/>
    <s v="Data validation is highly complex because the required information is integrated directly from the R2 (PA) screen, to Calc ROI screen ,Specific SG‑based criteria, scenario‑dependent,"/>
    <x v="1"/>
    <m/>
    <m/>
    <m/>
    <m/>
    <m/>
    <m/>
    <m/>
    <m/>
    <m/>
    <x v="0"/>
    <x v="0"/>
    <s v="Completed"/>
    <s v="Completed"/>
    <n v="50"/>
    <n v="28"/>
    <n v="0"/>
    <n v="28"/>
    <n v="1"/>
    <n v="1"/>
    <s v="Test Complete"/>
    <n v="28"/>
    <n v="0"/>
    <n v="0"/>
    <n v="0"/>
    <n v="28"/>
    <n v="1"/>
    <n v="1"/>
    <m/>
    <x v="2"/>
    <x v="1"/>
  </r>
  <r>
    <s v="Automation Calculator"/>
    <x v="3"/>
    <x v="3"/>
    <x v="0"/>
    <s v="As a myISP user, I want all sections in the Summary tab to be displayed as accordions with expand and collapse functionality, So that I can easily navigate and review specific sections without clutter."/>
    <n v="4364996"/>
    <s v="Soundhar"/>
    <s v="Yuvani/Sunanda"/>
    <m/>
    <x v="4"/>
    <x v="0"/>
    <m/>
    <x v="0"/>
    <s v="Medium"/>
    <m/>
    <n v="1"/>
    <n v="6"/>
    <n v="1"/>
    <n v="0"/>
    <n v="1"/>
    <n v="0.7"/>
    <n v="0.7"/>
    <x v="0"/>
    <x v="0"/>
    <s v="Completed"/>
    <s v="Completed"/>
    <n v="60"/>
    <n v="29"/>
    <n v="0"/>
    <n v="29"/>
    <n v="0.48333333333333334"/>
    <n v="0.48330000000000001"/>
    <s v="Test Complete"/>
    <n v="29"/>
    <n v="0"/>
    <n v="0"/>
    <n v="0"/>
    <n v="29"/>
    <n v="1"/>
    <n v="1"/>
    <m/>
    <x v="3"/>
    <x v="1"/>
  </r>
  <r>
    <s v="Value Shaping"/>
    <x v="0"/>
    <x v="0"/>
    <x v="0"/>
    <s v="Value Shaping � As a myISP user, I want to be navigated to the Configurator Dashboard landing page when I click on the Tools link, so that I can continue creating the Value Tree."/>
    <n v="4373517"/>
    <s v="Reshmi"/>
    <s v="Yasin"/>
    <m/>
    <x v="5"/>
    <x v="0"/>
    <m/>
    <x v="0"/>
    <s v="Medium"/>
    <m/>
    <n v="1"/>
    <n v="10"/>
    <n v="1"/>
    <n v="0"/>
    <n v="1"/>
    <n v="0.7"/>
    <n v="0.7"/>
    <x v="0"/>
    <x v="0"/>
    <s v="Completed"/>
    <s v="Completed"/>
    <n v="63"/>
    <n v="14"/>
    <n v="0"/>
    <n v="14"/>
    <n v="1"/>
    <n v="0.8"/>
    <s v="Test Complete"/>
    <n v="14"/>
    <n v="0"/>
    <n v="0"/>
    <n v="0"/>
    <n v="14"/>
    <n v="1"/>
    <n v="1"/>
    <m/>
    <x v="4"/>
    <x v="1"/>
  </r>
  <r>
    <s v="Automation Calculator"/>
    <x v="3"/>
    <x v="3"/>
    <x v="0"/>
    <s v="As a myISP user I want the revamped Summary screen to include an overall summary and a ROI section that is a replica of the ROI screen with all sections So that the Summary PDF download contains all newly introduced revamp changes without missing data."/>
    <n v="4373570"/>
    <s v="Sunanda"/>
    <s v="Yuvani"/>
    <m/>
    <x v="3"/>
    <x v="1"/>
    <s v="Data validation is highly complex because the required information is integrated directly from the R2 (PA) screen, to Calc ROI screen ,Specific SG‑based criteria, scenario‑dependent,"/>
    <x v="1"/>
    <m/>
    <m/>
    <m/>
    <m/>
    <m/>
    <m/>
    <m/>
    <m/>
    <m/>
    <x v="0"/>
    <x v="0"/>
    <s v="Completed"/>
    <s v="Completed"/>
    <n v="8"/>
    <n v="8"/>
    <n v="3"/>
    <n v="11"/>
    <n v="0.72"/>
    <n v="1"/>
    <s v="Test Complete"/>
    <n v="11"/>
    <n v="0"/>
    <n v="0"/>
    <n v="0"/>
    <n v="11"/>
    <n v="1"/>
    <n v="1"/>
    <m/>
    <x v="3"/>
    <x v="1"/>
  </r>
  <r>
    <s v="Value Shaping"/>
    <x v="0"/>
    <x v="0"/>
    <x v="0"/>
    <s v="Value Shaping - [SVP] As a myISP user, I want SOP Input values linked in configurator link to be automatically populated for KPIs across a value tree , so that usability is improved and manual effort is reduced."/>
    <n v="4376380"/>
    <s v="Yasin"/>
    <s v="Reshmi"/>
    <m/>
    <x v="6"/>
    <x v="0"/>
    <m/>
    <x v="0"/>
    <s v="Complex"/>
    <m/>
    <n v="1"/>
    <n v="11"/>
    <n v="5"/>
    <m/>
    <m/>
    <m/>
    <m/>
    <x v="0"/>
    <x v="0"/>
    <s v="Completed"/>
    <s v="In Progress"/>
    <n v="10"/>
    <n v="7"/>
    <n v="4"/>
    <n v="11"/>
    <n v="0.65"/>
    <n v="0.7"/>
    <s v="UAT In Test"/>
    <n v="10"/>
    <n v="1"/>
    <n v="0"/>
    <n v="0"/>
    <n v="11"/>
    <n v="1"/>
    <n v="0.90909090909090906"/>
    <m/>
    <x v="4"/>
    <x v="1"/>
  </r>
  <r>
    <s v="Automation Calculator"/>
    <x v="2"/>
    <x v="2"/>
    <x v="0"/>
    <s v="As a myISP user, I want the system to automatically calculate AD and AM Assessment productivity values using a default tech stack split of 50% Custom and 50% Package in the ROI tab"/>
    <n v="4362465"/>
    <s v="Soundhar"/>
    <s v="Sunanda"/>
    <m/>
    <x v="3"/>
    <x v="1"/>
    <s v="ramya"/>
    <x v="1"/>
    <m/>
    <m/>
    <m/>
    <m/>
    <m/>
    <m/>
    <m/>
    <m/>
    <m/>
    <x v="0"/>
    <x v="0"/>
    <s v="Completed"/>
    <s v="Completed"/>
    <n v="60"/>
    <n v="32"/>
    <n v="6"/>
    <n v="36"/>
    <n v="0.73"/>
    <n v="0.63"/>
    <s v="Test Complete"/>
    <n v="38"/>
    <n v="0"/>
    <n v="0"/>
    <n v="0"/>
    <n v="38"/>
    <n v="1"/>
    <n v="1"/>
    <m/>
    <x v="2"/>
    <x v="1"/>
  </r>
  <r>
    <s v="Automation Calculator"/>
    <x v="3"/>
    <x v="3"/>
    <x v="0"/>
    <s v="As a myISP user, I want to view a new Overall Summary section that consolidates key cost metrics, So that I can quickly review the overall financial view before validation or submission."/>
    <n v="4362711"/>
    <s v="Rohitha"/>
    <s v="Yuvani"/>
    <m/>
    <x v="3"/>
    <x v="1"/>
    <s v="Data validation is highly complex because the required information is integrated directly from the R2 (PA) screen, to Calc ROI screen ,Specific SG‑based criteria, scenario‑dependent,"/>
    <x v="1"/>
    <m/>
    <m/>
    <m/>
    <m/>
    <m/>
    <m/>
    <m/>
    <m/>
    <m/>
    <x v="0"/>
    <x v="0"/>
    <s v="Completed"/>
    <s v="Completed"/>
    <n v="8"/>
    <n v="7"/>
    <n v="4"/>
    <n v="11"/>
    <n v="0.73"/>
    <n v="0.97"/>
    <s v="Test Complete"/>
    <n v="11"/>
    <n v="0"/>
    <n v="0"/>
    <n v="0"/>
    <n v="11"/>
    <n v="1"/>
    <n v="1"/>
    <m/>
    <x v="3"/>
    <x v="1"/>
  </r>
  <r>
    <s v="Automation Calculator"/>
    <x v="2"/>
    <x v="2"/>
    <x v="0"/>
    <s v="As a myISP user viewing the ROI screen in the Automation Calculator I want to see Agentic AI productivity as a separate lever alongside Opera and Gen AI with a combined yearly breakdown view"/>
    <n v="4363958"/>
    <s v="Yuvani"/>
    <s v="Sunanda"/>
    <m/>
    <x v="3"/>
    <x v="1"/>
    <s v="Data validation is highly complex because the required information is integrated directly from the R2 (PA) screen, to Calc ROI screen ,Specific SG‑based criteria, scenario‑dependent,"/>
    <x v="1"/>
    <m/>
    <m/>
    <m/>
    <m/>
    <m/>
    <m/>
    <m/>
    <m/>
    <m/>
    <x v="0"/>
    <x v="0"/>
    <s v="Completed"/>
    <s v="Completed"/>
    <n v="60"/>
    <n v="27"/>
    <n v="5"/>
    <n v="32"/>
    <n v="0.53"/>
    <n v="0.45"/>
    <s v="Test Complete"/>
    <n v="27"/>
    <n v="0"/>
    <n v="0"/>
    <n v="0"/>
    <n v="27"/>
    <n v="1"/>
    <n v="1"/>
    <m/>
    <x v="2"/>
    <x v="1"/>
  </r>
  <r>
    <s v="Value Shaping"/>
    <x v="0"/>
    <x v="0"/>
    <x v="0"/>
    <s v="Value Shaping - As a myISP User - V2V Configurator - I want to access the Value Shaping tile in read-only mode and navigate using the fixed breadcrumb path so that I can maintain workflow continuity."/>
    <n v="4364558"/>
    <s v="Samreen"/>
    <s v="Yasin/Reshmi"/>
    <m/>
    <x v="7"/>
    <x v="0"/>
    <m/>
    <x v="0"/>
    <s v="Medium"/>
    <m/>
    <n v="1"/>
    <n v="17"/>
    <n v="10"/>
    <n v="0"/>
    <n v="10"/>
    <n v="1"/>
    <n v="0.8"/>
    <x v="0"/>
    <x v="0"/>
    <s v="Completed"/>
    <s v="Completed"/>
    <n v="50"/>
    <n v="17"/>
    <n v="0"/>
    <n v="17"/>
    <n v="1"/>
    <n v="0.7"/>
    <s v="Test Complete"/>
    <n v="17"/>
    <n v="0"/>
    <n v="0"/>
    <n v="0"/>
    <n v="17"/>
    <n v="1"/>
    <n v="1"/>
    <m/>
    <x v="4"/>
    <x v="1"/>
  </r>
  <r>
    <s v="Automation Calculator"/>
    <x v="2"/>
    <x v="2"/>
    <x v="0"/>
    <s v="As a myISP user I want to see a clear system message when Productivity Assessment is not submitted for an eligible deal So that I understand that default productivity values are being applied"/>
    <n v="4361791"/>
    <s v="Sunanda"/>
    <s v="Rohitha"/>
    <m/>
    <x v="3"/>
    <x v="1"/>
    <s v="Data validation is highly complex because the required information is integrated directly from the R2 (PA) screen, to Calc ROI screen ,Specific SG‑based criteria, scenario‑dependent,"/>
    <x v="1"/>
    <m/>
    <m/>
    <m/>
    <m/>
    <m/>
    <m/>
    <m/>
    <m/>
    <m/>
    <x v="0"/>
    <x v="0"/>
    <s v="Completed"/>
    <s v="Completed"/>
    <n v="22"/>
    <n v="17"/>
    <n v="0"/>
    <n v="17"/>
    <n v="0.77272727272727271"/>
    <n v="0.77"/>
    <s v="Test Complete"/>
    <n v="17"/>
    <n v="0"/>
    <n v="0"/>
    <n v="0"/>
    <n v="17"/>
    <n v="1"/>
    <n v="1"/>
    <m/>
    <x v="2"/>
    <x v="1"/>
  </r>
  <r>
    <s v="Value Shaping"/>
    <x v="0"/>
    <x v="0"/>
    <x v="0"/>
    <s v="Value Shaping - As a myISP user, I should be able to download output (Benchmark and size of prize View) as PDF from summary screen of SVP page, so that it can be used for other purposes"/>
    <n v="4318918"/>
    <s v="Srilekha"/>
    <s v="Yasin/Reshmi"/>
    <m/>
    <x v="3"/>
    <x v="1"/>
    <s v="cannot automate, verifying downloaded PDF sheet data with UI"/>
    <x v="2"/>
    <m/>
    <m/>
    <m/>
    <m/>
    <m/>
    <m/>
    <m/>
    <m/>
    <m/>
    <x v="0"/>
    <x v="0"/>
    <s v="Completed"/>
    <s v="Completed"/>
    <n v="50"/>
    <n v="23"/>
    <n v="0"/>
    <n v="23"/>
    <n v="1"/>
    <n v="0.7"/>
    <s v="UAT In Test"/>
    <n v="23"/>
    <n v="0"/>
    <n v="0"/>
    <n v="0"/>
    <n v="23"/>
    <n v="1"/>
    <n v="1"/>
    <m/>
    <x v="4"/>
    <x v="1"/>
  </r>
  <r>
    <s v="Calculator"/>
    <x v="4"/>
    <x v="4"/>
    <x v="0"/>
    <s v="[Asset Calculator] - As a myISP User I want to implement Platform Asset Blueprint � Oracle &amp; Platform Asset Blueprint � SAP Assets as taggable assets so that it aligns with business changes and the new design reframe"/>
    <n v="4328732"/>
    <s v="Yuvani"/>
    <s v="Yuvani/Soundhar"/>
    <m/>
    <x v="8"/>
    <x v="0"/>
    <m/>
    <x v="0"/>
    <s v="Complex"/>
    <m/>
    <n v="1"/>
    <n v="19"/>
    <n v="1"/>
    <n v="0"/>
    <n v="1"/>
    <n v="0.75"/>
    <n v="0.75"/>
    <x v="0"/>
    <x v="0"/>
    <s v="Completed"/>
    <s v="Completed"/>
    <n v="90"/>
    <n v="28"/>
    <n v="3"/>
    <n v="31"/>
    <n v="0.90322580645161288"/>
    <n v="0.95"/>
    <s v="Test Complete"/>
    <n v="31"/>
    <n v="0"/>
    <n v="0"/>
    <n v="0"/>
    <n v="31"/>
    <n v="1"/>
    <n v="1"/>
    <m/>
    <x v="5"/>
    <x v="1"/>
  </r>
  <r>
    <s v="Value Shaping"/>
    <x v="0"/>
    <x v="0"/>
    <x v="0"/>
    <s v="Value Shaping - As a myISP user, I should be able to download output (Global View) as PDF from summary screen of SVP page, so that it can be used for other purposes"/>
    <n v="4100102"/>
    <s v="Reshmi"/>
    <s v="Yasin"/>
    <m/>
    <x v="3"/>
    <x v="1"/>
    <s v="cannot automate, verifying downloaded PDF data with UI"/>
    <x v="2"/>
    <m/>
    <m/>
    <m/>
    <m/>
    <m/>
    <m/>
    <m/>
    <m/>
    <m/>
    <x v="0"/>
    <x v="0"/>
    <s v="Completed"/>
    <s v="Completed"/>
    <n v="97"/>
    <n v="21"/>
    <n v="0"/>
    <n v="21"/>
    <n v="1"/>
    <n v="0.8"/>
    <s v="Test Complete"/>
    <n v="21"/>
    <n v="0"/>
    <n v="0"/>
    <n v="0"/>
    <n v="21"/>
    <n v="1"/>
    <n v="1"/>
    <m/>
    <x v="4"/>
    <x v="1"/>
  </r>
  <r>
    <s v="Value Shaping"/>
    <x v="0"/>
    <x v="0"/>
    <x v="0"/>
    <s v="Value Shaping - As a myISP user, I want to export the current benchmark table data So that I can perform bulk updates efficiently while preserving data integrity and validation rules."/>
    <n v="4368404"/>
    <s v="Pawan"/>
    <s v="Yasin/Reshmi"/>
    <m/>
    <x v="3"/>
    <x v="1"/>
    <s v="cannot automate, verifying downloaded PDF sheet data with UI"/>
    <x v="2"/>
    <m/>
    <m/>
    <m/>
    <m/>
    <m/>
    <m/>
    <m/>
    <m/>
    <m/>
    <x v="0"/>
    <x v="0"/>
    <s v="Completed"/>
    <s v="Completed"/>
    <n v="70"/>
    <n v="48"/>
    <n v="0"/>
    <n v="48"/>
    <n v="1"/>
    <n v="0.85"/>
    <s v="UAT In Test"/>
    <n v="48"/>
    <n v="0"/>
    <n v="0"/>
    <n v="0"/>
    <n v="48"/>
    <n v="1"/>
    <n v="1"/>
    <m/>
    <x v="4"/>
    <x v="1"/>
  </r>
  <r>
    <s v="Value Shaping"/>
    <x v="0"/>
    <x v="0"/>
    <x v="0"/>
    <s v="Value Shaping - As a myISP user, I want to enable import benchmark functionality so that I can import updated records back into Configurator Link for SA to update and modify the data efficiently based on changing requirements."/>
    <n v="4368405"/>
    <s v="Yasin"/>
    <s v="Reshmi"/>
    <m/>
    <x v="3"/>
    <x v="1"/>
    <s v="cannot automate, verifying downloaded excel sheet data with UI"/>
    <x v="3"/>
    <m/>
    <m/>
    <m/>
    <m/>
    <m/>
    <m/>
    <m/>
    <m/>
    <m/>
    <x v="0"/>
    <x v="0"/>
    <s v="Completed"/>
    <s v="Completed"/>
    <n v="10"/>
    <n v="8"/>
    <n v="20"/>
    <n v="28"/>
    <n v="0.2857142857142857"/>
    <n v="0.6"/>
    <s v="UAT In Test"/>
    <n v="28"/>
    <n v="0"/>
    <n v="0"/>
    <n v="0"/>
    <n v="28"/>
    <n v="1"/>
    <n v="1"/>
    <m/>
    <x v="4"/>
    <x v="1"/>
  </r>
  <r>
    <s v="Value Shaping"/>
    <x v="0"/>
    <x v="0"/>
    <x v="0"/>
    <s v="Value Shaping - [Configurator Link ]As a myISP user, I want to link the SOP inputs with client baseline and benchmark values so that user configuring value tree is improved"/>
    <n v="4368508"/>
    <s v="Yasin"/>
    <s v="Reshmi"/>
    <m/>
    <x v="6"/>
    <x v="0"/>
    <m/>
    <x v="0"/>
    <s v="Medium"/>
    <m/>
    <n v="1"/>
    <n v="10"/>
    <n v="4"/>
    <m/>
    <m/>
    <m/>
    <m/>
    <x v="0"/>
    <x v="0"/>
    <s v="Completed"/>
    <s v="In Progress"/>
    <n v="10"/>
    <n v="10"/>
    <n v="0"/>
    <n v="10"/>
    <n v="1"/>
    <n v="1"/>
    <s v="UAT In Test"/>
    <n v="8"/>
    <n v="2"/>
    <n v="0"/>
    <n v="0"/>
    <n v="10"/>
    <n v="1"/>
    <n v="0.8"/>
    <m/>
    <x v="4"/>
    <x v="1"/>
  </r>
  <r>
    <s v="Asset Calculator"/>
    <x v="4"/>
    <x v="4"/>
    <x v="0"/>
    <s v="[Asset Calculator] As a myISP ,I want to implement Other Assets Accordion in Asset Catalog as taggable asset so that Asset Calculator can have this as taggable asset"/>
    <n v="4372603"/>
    <s v="Soundhar"/>
    <s v="Yuvani/Sunanda"/>
    <m/>
    <x v="3"/>
    <x v="1"/>
    <s v="This US needs to be validated for all SG and we will have to cover multiple combinations to achieve 100% automation which is very complex"/>
    <x v="1"/>
    <m/>
    <m/>
    <m/>
    <m/>
    <m/>
    <m/>
    <m/>
    <m/>
    <m/>
    <x v="0"/>
    <x v="0"/>
    <s v="Completed"/>
    <s v="Completed"/>
    <n v="80"/>
    <n v="25"/>
    <n v="6"/>
    <n v="31"/>
    <n v="0.8"/>
    <n v="0.85"/>
    <s v="Test Complete"/>
    <n v="31"/>
    <n v="0"/>
    <n v="0"/>
    <n v="0"/>
    <n v="31"/>
    <n v="1"/>
    <n v="1"/>
    <m/>
    <x v="5"/>
    <x v="1"/>
  </r>
  <r>
    <s v="Differentiation "/>
    <x v="5"/>
    <x v="5"/>
    <x v="0"/>
    <s v="As a myIntegrated Solution Planner User, I want to de-tag the GenWizard Assets and Platforms under differentiation in SI so that acceptance criteria are achieved."/>
    <n v="4352719"/>
    <s v="Yuvani"/>
    <s v="Sunanda/Soundhar"/>
    <m/>
    <x v="3"/>
    <x v="1"/>
    <s v="Need to compare the data in two excel file"/>
    <x v="3"/>
    <m/>
    <m/>
    <m/>
    <m/>
    <m/>
    <m/>
    <m/>
    <m/>
    <m/>
    <x v="0"/>
    <x v="0"/>
    <s v="Completed"/>
    <s v="Completed"/>
    <n v="40"/>
    <n v="10"/>
    <n v="0"/>
    <n v="10"/>
    <n v="1"/>
    <n v="1"/>
    <s v="Test Complete"/>
    <n v="10"/>
    <n v="0"/>
    <n v="0"/>
    <n v="0"/>
    <n v="10"/>
    <n v="1"/>
    <n v="1"/>
    <m/>
    <x v="6"/>
    <x v="2"/>
  </r>
  <r>
    <s v="Value Shaping"/>
    <x v="0"/>
    <x v="0"/>
    <x v="0"/>
    <s v="Value Shaping - (MFHost)As a myISP User - Configurator V2V - I want to access all myISP screens as per SME role, read-only mode and navigate using the fixed breadcrumb path so that I can maintain workflow continuity"/>
    <n v="4381608"/>
    <s v="Samreen"/>
    <s v="Yasin/Reshmi"/>
    <m/>
    <x v="3"/>
    <x v="1"/>
    <s v="This US includes Navigation to all tiles"/>
    <x v="1"/>
    <s v="Complex"/>
    <m/>
    <m/>
    <m/>
    <m/>
    <m/>
    <m/>
    <m/>
    <m/>
    <x v="0"/>
    <x v="0"/>
    <s v="Completed"/>
    <s v="Completed"/>
    <n v="50"/>
    <n v="16"/>
    <n v="0"/>
    <n v="16"/>
    <n v="1"/>
    <n v="0.7"/>
    <s v="PT In Test"/>
    <n v="16"/>
    <n v="0"/>
    <n v="0"/>
    <n v="0"/>
    <n v="16"/>
    <n v="1"/>
    <n v="1"/>
    <m/>
    <x v="7"/>
    <x v="3"/>
  </r>
  <r>
    <s v="Automation Calculator"/>
    <x v="3"/>
    <x v="3"/>
    <x v="0"/>
    <s v="As a myISP user, I want the ROI section in the Summary tab to include all subsections from the ROI screen, So that I can review Agentic, Opera AI, and Gen AI percentage breakdowns across years and contract duration, along with the graphical representation"/>
    <n v="4365001"/>
    <s v="Sunanda"/>
    <s v="Yuvani/Soundhar"/>
    <m/>
    <x v="3"/>
    <x v="1"/>
    <s v="Data validation is highly complex because the required information is integrated directly from the R2 (PA) screen, to Calc ROI screen ,Specific SG‑based criteria, scenario‑dependent,"/>
    <x v="1"/>
    <m/>
    <m/>
    <m/>
    <m/>
    <m/>
    <m/>
    <m/>
    <m/>
    <m/>
    <x v="0"/>
    <x v="0"/>
    <s v="Completed"/>
    <s v="Completed"/>
    <n v="22"/>
    <n v="21"/>
    <n v="1"/>
    <n v="22"/>
    <n v="0.9"/>
    <n v="0.95"/>
    <s v="Test Complete"/>
    <n v="22"/>
    <n v="0"/>
    <n v="0"/>
    <n v="0"/>
    <n v="22"/>
    <n v="1"/>
    <n v="1"/>
    <m/>
    <x v="3"/>
    <x v="1"/>
  </r>
  <r>
    <s v="Role Rename"/>
    <x v="6"/>
    <x v="6"/>
    <x v="0"/>
    <s v="Impact Check: As a Myisp user, I want the role &quot;Enterprise SA&quot; to be renamed to &quot;Market Maker ESA&quot; in myISP So that the role name clearly reflects the Market Make ESA in Value Shaping module."/>
    <n v="4391344"/>
    <s v="Reshmi"/>
    <s v="Yasin"/>
    <m/>
    <x v="3"/>
    <x v="1"/>
    <s v="Roles are getting deactivated which cant be automatable"/>
    <x v="4"/>
    <m/>
    <m/>
    <m/>
    <m/>
    <m/>
    <m/>
    <s v=" "/>
    <m/>
    <m/>
    <x v="0"/>
    <x v="0"/>
    <s v="Completed"/>
    <s v="Completed"/>
    <n v="65"/>
    <n v="5"/>
    <n v="0"/>
    <n v="5"/>
    <n v="1"/>
    <n v="0.8"/>
    <s v="Test Complete"/>
    <n v="5"/>
    <n v="0"/>
    <n v="0"/>
    <n v="0"/>
    <n v="5"/>
    <n v="1"/>
    <n v="1"/>
    <m/>
    <x v="4"/>
    <x v="1"/>
  </r>
  <r>
    <s v="Advisory SA - Song "/>
    <x v="7"/>
    <x v="7"/>
    <x v="0"/>
    <s v="As an Advisory song SA, I want to access the Value Shaping tile in read-only mode so that I can maintain and view workflow continuity."/>
    <n v="4373065"/>
    <s v="Srilekha"/>
    <s v="Yasin"/>
    <m/>
    <x v="2"/>
    <x v="0"/>
    <m/>
    <x v="0"/>
    <s v="Complex"/>
    <m/>
    <n v="1"/>
    <n v="25"/>
    <n v="6"/>
    <n v="0"/>
    <n v="6"/>
    <n v="1"/>
    <n v="0.7"/>
    <x v="0"/>
    <x v="0"/>
    <s v="Completed"/>
    <s v="Completed"/>
    <n v="55"/>
    <n v="19"/>
    <n v="0"/>
    <n v="19"/>
    <n v="1"/>
    <n v="0.6"/>
    <s v="UAT In Test"/>
    <n v="19"/>
    <n v="0"/>
    <n v="0"/>
    <n v="0"/>
    <n v="19"/>
    <n v="1"/>
    <n v="1"/>
    <m/>
    <x v="4"/>
    <x v="1"/>
  </r>
  <r>
    <s v="Drop 2 - Angular upgrade v19 to v21"/>
    <x v="8"/>
    <x v="8"/>
    <x v="1"/>
    <s v="As a myISP Solution Architect, I want to see the What Are We Solving For - MFE App migrated to Angular 21"/>
    <n v="4358750"/>
    <s v="Vinayak"/>
    <s v="Sadhik"/>
    <m/>
    <x v="3"/>
    <x v="1"/>
    <s v="Angular Upgrade can be covered in regression testing."/>
    <x v="4"/>
    <m/>
    <m/>
    <m/>
    <m/>
    <m/>
    <m/>
    <m/>
    <m/>
    <m/>
    <x v="0"/>
    <x v="0"/>
    <s v="Completed"/>
    <s v="Completed"/>
    <n v="6"/>
    <n v="6"/>
    <n v="0"/>
    <n v="6"/>
    <n v="1"/>
    <n v="1"/>
    <s v="Test Complete"/>
    <n v="6"/>
    <n v="0"/>
    <n v="0"/>
    <n v="0"/>
    <n v="6"/>
    <n v="1"/>
    <n v="1"/>
    <m/>
    <x v="7"/>
    <x v="3"/>
  </r>
  <r>
    <s v="Drop 2 - Angular upgrade v19 to v21"/>
    <x v="8"/>
    <x v="8"/>
    <x v="1"/>
    <s v="As a myISP Solution Architect, I want to see the Revamp Assessment App migrated to Angular 21"/>
    <n v="4358752"/>
    <s v="Mary"/>
    <s v="Sadhik"/>
    <m/>
    <x v="3"/>
    <x v="1"/>
    <s v="Angular Migration"/>
    <x v="4"/>
    <m/>
    <m/>
    <m/>
    <m/>
    <m/>
    <m/>
    <m/>
    <m/>
    <m/>
    <x v="0"/>
    <x v="0"/>
    <s v="Completed"/>
    <s v="Completed"/>
    <n v="50"/>
    <n v="10"/>
    <n v="2"/>
    <n v="12"/>
    <n v="0.9"/>
    <n v="0.9"/>
    <s v="Test Complete"/>
    <n v="12"/>
    <n v="0"/>
    <n v="0"/>
    <n v="0"/>
    <n v="12"/>
    <n v="1"/>
    <n v="1"/>
    <m/>
    <x v="7"/>
    <x v="3"/>
  </r>
  <r>
    <s v="Opportunities"/>
    <x v="9"/>
    <x v="9"/>
    <x v="1"/>
    <s v="As a mysp user, I want to view the newly assigned MMS IDs at the top on the opportunities Table so that acceptance criteria are achieved."/>
    <n v="4342359"/>
    <s v="Shalini"/>
    <s v="Bhavana"/>
    <m/>
    <x v="3"/>
    <x v="1"/>
    <s v="Session Timeout Check"/>
    <x v="4"/>
    <m/>
    <m/>
    <m/>
    <m/>
    <m/>
    <m/>
    <m/>
    <m/>
    <m/>
    <x v="0"/>
    <x v="0"/>
    <s v="Not Started"/>
    <s v="Completed"/>
    <n v="30"/>
    <n v="8"/>
    <n v="2"/>
    <n v="8"/>
    <n v="0.7"/>
    <n v="0.7"/>
    <s v="Test Complete"/>
    <n v="8"/>
    <n v="0"/>
    <n v="0"/>
    <n v="0"/>
    <n v="8"/>
    <n v="1"/>
    <n v="1"/>
    <m/>
    <x v="0"/>
    <x v="0"/>
  </r>
  <r>
    <s v="Opportunity Workflow"/>
    <x v="10"/>
    <x v="10"/>
    <x v="1"/>
    <s v="As a myISP User, I should be able to see the timestamp for the &quot;Updated On&quot; field in the View History of the Status Update screen so that I can accurately track when changes were made"/>
    <n v="4187518"/>
    <s v="Namrata"/>
    <s v="Manisha"/>
    <m/>
    <x v="9"/>
    <x v="0"/>
    <m/>
    <x v="0"/>
    <s v="Complex"/>
    <n v="2"/>
    <n v="1"/>
    <n v="10"/>
    <n v="6"/>
    <n v="0"/>
    <n v="6"/>
    <n v="0.7"/>
    <n v="0.7"/>
    <x v="0"/>
    <x v="0"/>
    <s v="In Progress"/>
    <s v="Completed"/>
    <m/>
    <m/>
    <m/>
    <m/>
    <m/>
    <m/>
    <s v="Test Complete"/>
    <n v="24"/>
    <n v="0"/>
    <n v="0"/>
    <n v="0"/>
    <n v="24"/>
    <n v="1"/>
    <n v="1"/>
    <m/>
    <x v="0"/>
    <x v="0"/>
  </r>
  <r>
    <s v="Learn"/>
    <x v="11"/>
    <x v="11"/>
    <x v="1"/>
    <s v="As a myISP user, I want the ability to search content using hashtags and information from inside pages, so that I can quickly locate relevant learning materials and resources without having to navigate through multiple pages."/>
    <n v="4258549"/>
    <s v="Shalini"/>
    <s v="Saranya"/>
    <m/>
    <x v="10"/>
    <x v="0"/>
    <m/>
    <x v="0"/>
    <s v="Medium"/>
    <n v="1"/>
    <n v="1"/>
    <n v="14"/>
    <n v="5"/>
    <n v="0"/>
    <n v="1"/>
    <n v="0.7"/>
    <n v="0.4"/>
    <x v="0"/>
    <x v="0"/>
    <s v="Not Started"/>
    <s v="Completed"/>
    <n v="28"/>
    <n v="2"/>
    <n v="5"/>
    <n v="7"/>
    <n v="0.4"/>
    <n v="0.4"/>
    <s v="Test Complete"/>
    <n v="7"/>
    <n v="0"/>
    <n v="0"/>
    <n v="0"/>
    <n v="7"/>
    <n v="1"/>
    <n v="1"/>
    <m/>
    <x v="0"/>
    <x v="0"/>
  </r>
  <r>
    <s v="SA Team manager"/>
    <x v="12"/>
    <x v="12"/>
    <x v="1"/>
    <s v="As a my Solution planner Solution Architect, I want the Alignment field to be enabled for Operations deployment in Register now pop up with an updated dropdown list , so that user can select specific alignment"/>
    <n v="4285630"/>
    <s v="Vinayak"/>
    <s v="Bhavana"/>
    <m/>
    <x v="3"/>
    <x v="1"/>
    <s v="Email Functionality , register now popup"/>
    <x v="5"/>
    <m/>
    <m/>
    <m/>
    <m/>
    <m/>
    <m/>
    <m/>
    <m/>
    <m/>
    <x v="0"/>
    <x v="0"/>
    <s v="Completed"/>
    <s v="Completed"/>
    <n v="6"/>
    <n v="6"/>
    <n v="1"/>
    <n v="7"/>
    <n v="0.85"/>
    <n v="0.85"/>
    <s v="Test Complete"/>
    <n v="7"/>
    <n v="0"/>
    <n v="0"/>
    <n v="0"/>
    <n v="7"/>
    <n v="1"/>
    <n v="1"/>
    <m/>
    <x v="8"/>
    <x v="0"/>
  </r>
  <r>
    <s v="SA Team manager"/>
    <x v="12"/>
    <x v="12"/>
    <x v="1"/>
    <s v="As a my Solution planner Solution Architect, I want the Alignment field to be enabled for Operations Deployment with an updated dropdown list in pending user requests tab, so that user can select specific alignment"/>
    <n v="4285636"/>
    <s v="Mary"/>
    <s v="n.selvakumar"/>
    <m/>
    <x v="11"/>
    <x v="1"/>
    <s v="One time update"/>
    <x v="6"/>
    <s v="Medium"/>
    <m/>
    <m/>
    <m/>
    <m/>
    <m/>
    <m/>
    <m/>
    <m/>
    <x v="0"/>
    <x v="0"/>
    <s v="Completed"/>
    <s v="Completed"/>
    <n v="30"/>
    <n v="6"/>
    <n v="2"/>
    <n v="8"/>
    <n v="0.9"/>
    <n v="0.9"/>
    <s v="Test Complete"/>
    <n v="8"/>
    <n v="0"/>
    <n v="0"/>
    <n v="0"/>
    <n v="8"/>
    <n v="1"/>
    <n v="1"/>
    <m/>
    <x v="8"/>
    <x v="0"/>
  </r>
  <r>
    <s v="SA Team manager"/>
    <x v="12"/>
    <x v="12"/>
    <x v="1"/>
    <s v="As a my Solution planner Solution Architect, I want the POCs to be changed based on Deployment and Market in pending user requests tab, So that Approver/Rejection mail is sent to correct POCs"/>
    <n v="4275672"/>
    <s v="Namrata"/>
    <s v="Manisha"/>
    <m/>
    <x v="3"/>
    <x v="1"/>
    <s v="One time update"/>
    <x v="6"/>
    <m/>
    <m/>
    <m/>
    <m/>
    <m/>
    <m/>
    <m/>
    <m/>
    <m/>
    <x v="0"/>
    <x v="0"/>
    <s v="In Progress"/>
    <s v="Completed"/>
    <n v="24"/>
    <n v="10"/>
    <n v="11"/>
    <n v="12"/>
    <n v="1"/>
    <n v="1"/>
    <s v="Test Complete"/>
    <n v="24"/>
    <n v="0"/>
    <n v="0"/>
    <n v="0"/>
    <n v="24"/>
    <n v="1"/>
    <n v="1"/>
    <m/>
    <x v="8"/>
    <x v="0"/>
  </r>
  <r>
    <s v="SA Team manager"/>
    <x v="12"/>
    <x v="12"/>
    <x v="1"/>
    <s v="As a my Solution planner Solution Architect, I want the POCs to be changed based on Deployment and Market in Register now pop up, So that Approver/Rejection mail is sent to correct POCs"/>
    <n v="4269089"/>
    <s v="Shalini"/>
    <s v="Bhavana"/>
    <m/>
    <x v="3"/>
    <x v="1"/>
    <s v="Email Functionality , register now popup"/>
    <x v="5"/>
    <m/>
    <m/>
    <m/>
    <m/>
    <m/>
    <m/>
    <m/>
    <m/>
    <m/>
    <x v="0"/>
    <x v="0"/>
    <s v="Not Started"/>
    <s v="Completed"/>
    <n v="30"/>
    <n v="25"/>
    <n v="9"/>
    <n v="20"/>
    <n v="0.8"/>
    <n v="0.8"/>
    <s v="Test Complete"/>
    <n v="20"/>
    <n v="0"/>
    <n v="0"/>
    <n v="0"/>
    <n v="20"/>
    <n v="1"/>
    <n v="1"/>
    <m/>
    <x v="8"/>
    <x v="0"/>
  </r>
  <r>
    <s v="SA Team manager"/>
    <x v="12"/>
    <x v="12"/>
    <x v="1"/>
    <s v="As a my Solution planner Solution Architect, I want the Registration pop-up to include the mentioned changes for Adding and updating fields ,so that users are able to see the required changes"/>
    <n v="4269111"/>
    <s v="Vinayak"/>
    <s v="Bhavana"/>
    <m/>
    <x v="3"/>
    <x v="1"/>
    <s v="Email Functionality , register now popup"/>
    <x v="5"/>
    <m/>
    <m/>
    <m/>
    <m/>
    <m/>
    <m/>
    <m/>
    <m/>
    <m/>
    <x v="0"/>
    <x v="0"/>
    <s v="Completed"/>
    <s v="Completed"/>
    <n v="6"/>
    <n v="5"/>
    <n v="16"/>
    <n v="21"/>
    <n v="0.66"/>
    <n v="0.7"/>
    <s v="Test Complete"/>
    <n v="21"/>
    <n v="0"/>
    <n v="0"/>
    <n v="0"/>
    <n v="21"/>
    <n v="1"/>
    <n v="1"/>
    <m/>
    <x v="8"/>
    <x v="0"/>
  </r>
  <r>
    <s v="Common"/>
    <x v="13"/>
    <x v="13"/>
    <x v="1"/>
    <s v="As a myISP User, I should be able to see the SG Revenue($M) value displayed in dollar millions with proper comma formatting in all raise request emails so that the recipients can quickly understand and interpret the revenue"/>
    <n v="4373609"/>
    <s v="Mary"/>
    <s v="n.selvakumar"/>
    <m/>
    <x v="3"/>
    <x v="1"/>
    <s v="Email Functionality"/>
    <x v="5"/>
    <m/>
    <m/>
    <m/>
    <m/>
    <m/>
    <m/>
    <m/>
    <m/>
    <m/>
    <x v="0"/>
    <x v="0"/>
    <s v="Completed"/>
    <s v="Completed"/>
    <n v="36"/>
    <n v="7"/>
    <n v="0"/>
    <n v="7"/>
    <n v="1"/>
    <n v="1"/>
    <s v="UAT In Test"/>
    <n v="7"/>
    <n v="0"/>
    <n v="0"/>
    <n v="0"/>
    <n v="7"/>
    <n v="1"/>
    <n v="1"/>
    <s v="Delivered for UAT"/>
    <x v="9"/>
    <x v="0"/>
  </r>
  <r>
    <s v="Learn"/>
    <x v="11"/>
    <x v="14"/>
    <x v="1"/>
    <s v="As a myISP user, I want to see new steps added under the Solution Components &amp; Define team tabs when the Gen-AI toggle is enabled."/>
    <n v="4372140"/>
    <s v="Shalini"/>
    <s v="Saranya"/>
    <m/>
    <x v="10"/>
    <x v="0"/>
    <m/>
    <x v="0"/>
    <s v="Medium"/>
    <n v="1"/>
    <n v="1"/>
    <n v="14"/>
    <n v="5"/>
    <n v="0"/>
    <n v="1"/>
    <n v="0.7"/>
    <n v="0.4"/>
    <x v="0"/>
    <x v="0"/>
    <s v="Not Started"/>
    <s v="Completed"/>
    <n v="30"/>
    <n v="20"/>
    <n v="4"/>
    <n v="23"/>
    <n v="0.9"/>
    <n v="0.9"/>
    <s v="PT In Test"/>
    <n v="23"/>
    <n v="0"/>
    <n v="0"/>
    <n v="0"/>
    <n v="23"/>
    <n v="1"/>
    <n v="1"/>
    <m/>
    <x v="0"/>
    <x v="0"/>
  </r>
  <r>
    <s v="View MMS Details"/>
    <x v="14"/>
    <x v="15"/>
    <x v="1"/>
    <s v="As a MyISP user reviewing MMS Details, I want to see a Rolled‑Up Revenue view by Service Group (AMS, IMS, etc.) under the Deal Hierarchy section, so that I can easily understand the combined revenue of parent and child for each service group"/>
    <n v="4378894"/>
    <s v="Vinayak"/>
    <s v="Janardhan"/>
    <m/>
    <x v="12"/>
    <x v="0"/>
    <m/>
    <x v="0"/>
    <s v="Complex"/>
    <n v="1"/>
    <n v="1"/>
    <n v="7"/>
    <n v="6"/>
    <n v="0"/>
    <n v="7"/>
    <n v="0.85"/>
    <n v="0.85"/>
    <x v="0"/>
    <x v="0"/>
    <s v="Completed"/>
    <s v="Completed"/>
    <n v="6"/>
    <n v="6"/>
    <n v="1"/>
    <n v="7"/>
    <n v="0.85"/>
    <n v="1"/>
    <s v="Test Complete"/>
    <n v="7"/>
    <n v="0"/>
    <n v="0"/>
    <n v="0"/>
    <n v="7"/>
    <n v="1"/>
    <n v="1"/>
    <m/>
    <x v="8"/>
    <x v="0"/>
  </r>
  <r>
    <s v="myCalendar"/>
    <x v="6"/>
    <x v="6"/>
    <x v="1"/>
    <s v="As a MySP user, I want the &quot;Add Event&quot; button to be positioned in the top-right corner of the My Calendar screen popup So that I can quickly and intuitively create a new event without scrolling or searching for the action"/>
    <n v="4366103"/>
    <s v="Mary"/>
    <s v="Bhavana"/>
    <m/>
    <x v="3"/>
    <x v="1"/>
    <s v="UI Design Change, can not be validated"/>
    <x v="7"/>
    <m/>
    <m/>
    <m/>
    <m/>
    <m/>
    <m/>
    <m/>
    <m/>
    <m/>
    <x v="0"/>
    <x v="0"/>
    <s v="Completed"/>
    <s v="Completed"/>
    <n v="30"/>
    <n v="9"/>
    <n v="1"/>
    <n v="10"/>
    <n v="0.95"/>
    <n v="0.95"/>
    <s v="Test Complete"/>
    <n v="10"/>
    <n v="0"/>
    <n v="0"/>
    <n v="0"/>
    <n v="10"/>
    <n v="1"/>
    <n v="1"/>
    <m/>
    <x v="9"/>
    <x v="0"/>
  </r>
  <r>
    <s v="ESA to Market Maker ESA"/>
    <x v="6"/>
    <x v="6"/>
    <x v="1"/>
    <s v="As a Myisp user, I want the role &quot;Enterprise SA&quot; to be renamed to &quot;Market Maker ESA&quot; in myISP So that the role name clearly reflects the Market Make ESA in across myISP."/>
    <n v="4366122"/>
    <s v="Namrata"/>
    <s v="Manisha"/>
    <m/>
    <x v="3"/>
    <x v="1"/>
    <s v="Related to MMS External app"/>
    <x v="8"/>
    <m/>
    <m/>
    <m/>
    <m/>
    <m/>
    <m/>
    <m/>
    <m/>
    <m/>
    <x v="0"/>
    <x v="0"/>
    <s v="In Progress"/>
    <s v="Completed"/>
    <n v="25"/>
    <n v="16"/>
    <n v="10"/>
    <n v="10"/>
    <n v="1"/>
    <n v="0.8"/>
    <s v="Test Complete"/>
    <n v="24"/>
    <n v="0"/>
    <n v="0"/>
    <n v="0"/>
    <n v="24"/>
    <n v="1"/>
    <n v="1"/>
    <m/>
    <x v="9"/>
    <x v="0"/>
  </r>
  <r>
    <s v="Opportunity Workflow"/>
    <x v="15"/>
    <x v="16"/>
    <x v="1"/>
    <s v="As a myISP user, I should be able to enable one text area for &quot;Advisory SA - Song&quot; role to add the comment in the &quot;Status Update&quot; screen from &quot;Log Status&quot; Ui for Song Service Status"/>
    <n v="4366141"/>
    <s v="Vinayak"/>
    <s v="Janardhan"/>
    <m/>
    <x v="12"/>
    <x v="0"/>
    <m/>
    <x v="0"/>
    <s v="Medium"/>
    <n v="1"/>
    <n v="1"/>
    <n v="6"/>
    <n v="5"/>
    <n v="0"/>
    <n v="6"/>
    <n v="0.85"/>
    <n v="0.85"/>
    <x v="0"/>
    <x v="0"/>
    <s v="Completed"/>
    <s v="Completed"/>
    <n v="6"/>
    <n v="6"/>
    <n v="0"/>
    <n v="6"/>
    <n v="1"/>
    <n v="1"/>
    <s v="UAT In Test"/>
    <n v="6"/>
    <n v="0"/>
    <n v="0"/>
    <n v="0"/>
    <n v="6"/>
    <n v="1"/>
    <n v="1"/>
    <s v="Delivered To UAT"/>
    <x v="0"/>
    <x v="0"/>
  </r>
  <r>
    <s v="Manage SA"/>
    <x v="6"/>
    <x v="6"/>
    <x v="1"/>
    <s v="As a myIntegrated Solution Planner User, I want to rename &quot;Solution To Win Approach &quot; value to &quot;Solution To Win Score&quot; inside Utilities tile under manage so that acceptance criteria are achieved."/>
    <n v="4370557"/>
    <s v="Mary"/>
    <s v="n.selvakumar"/>
    <m/>
    <x v="11"/>
    <x v="0"/>
    <m/>
    <x v="0"/>
    <s v="Simple"/>
    <n v="9"/>
    <n v="1"/>
    <n v="12"/>
    <n v="6"/>
    <n v="1"/>
    <n v="7"/>
    <n v="0.75"/>
    <n v="0.75"/>
    <x v="0"/>
    <x v="0"/>
    <s v="Completed"/>
    <s v="Completed"/>
    <n v="20"/>
    <n v="6"/>
    <n v="1"/>
    <n v="7"/>
    <n v="0.95"/>
    <n v="0.95"/>
    <s v="Test Complete"/>
    <n v="7"/>
    <n v="0"/>
    <n v="0"/>
    <n v="0"/>
    <n v="7"/>
    <n v="1"/>
    <n v="1"/>
    <m/>
    <x v="0"/>
    <x v="0"/>
  </r>
  <r>
    <s v="SA Team manager"/>
    <x v="12"/>
    <x v="12"/>
    <x v="1"/>
    <s v="As a my Solution planner Solution Architect, I want the SA team manager screen to include the mentioned changes for Adding and updating fields ,so that users are able to see the required changes"/>
    <n v="4371534"/>
    <s v="Namrata"/>
    <s v="Manisha"/>
    <m/>
    <x v="3"/>
    <x v="1"/>
    <s v="One time update included"/>
    <x v="6"/>
    <m/>
    <m/>
    <m/>
    <m/>
    <m/>
    <m/>
    <m/>
    <m/>
    <m/>
    <x v="0"/>
    <x v="0"/>
    <s v="In Progress"/>
    <s v="Completed"/>
    <n v="24"/>
    <n v="9"/>
    <n v="9"/>
    <n v="9"/>
    <n v="1"/>
    <n v="1"/>
    <s v="Test Complete"/>
    <n v="24"/>
    <n v="0"/>
    <n v="0"/>
    <n v="0"/>
    <n v="24"/>
    <n v="1"/>
    <n v="1"/>
    <m/>
    <x v="8"/>
    <x v="0"/>
  </r>
  <r>
    <s v="Define Team"/>
    <x v="15"/>
    <x v="16"/>
    <x v="1"/>
    <s v="As a Myisp user, I want the role Sync &quot;Advisory SA - Song&quot; role in define team screen under SA category So that the assigned role name populate in define team as read only."/>
    <n v="4369531"/>
    <s v="Shalini"/>
    <s v="Bhavana"/>
    <m/>
    <x v="3"/>
    <x v="1"/>
    <s v="Partially can we automated_x000a_interlinked with PLD Screen"/>
    <x v="1"/>
    <m/>
    <m/>
    <m/>
    <m/>
    <m/>
    <m/>
    <m/>
    <m/>
    <m/>
    <x v="0"/>
    <x v="0"/>
    <s v="Not Started"/>
    <s v="Completed"/>
    <n v="50"/>
    <n v="30"/>
    <n v="2"/>
    <n v="15"/>
    <n v="0.7"/>
    <n v="0.7"/>
    <s v="UAT In Test"/>
    <n v="15"/>
    <n v="0"/>
    <n v="0"/>
    <n v="0"/>
    <n v="15"/>
    <n v="1"/>
    <n v="1"/>
    <m/>
    <x v="9"/>
    <x v="0"/>
  </r>
  <r>
    <s v="Learn"/>
    <x v="11"/>
    <x v="14"/>
    <x v="1"/>
    <s v="As a myISP user, I want to see �BPMS� as a support option alongside AMS, SI, and IMS in both the �Email� and �Raise a Ticket� support sections So that I can easily raise BPMS-related support requests."/>
    <n v="4369533"/>
    <s v="Vinayak"/>
    <s v="Bhavana"/>
    <m/>
    <x v="3"/>
    <x v="1"/>
    <s v="Email Functionality"/>
    <x v="5"/>
    <m/>
    <m/>
    <m/>
    <m/>
    <m/>
    <m/>
    <m/>
    <m/>
    <m/>
    <x v="0"/>
    <x v="0"/>
    <s v="Completed"/>
    <s v="Completed"/>
    <n v="6"/>
    <n v="6"/>
    <n v="0"/>
    <n v="6"/>
    <n v="1"/>
    <n v="1"/>
    <s v="Test Complete"/>
    <n v="6"/>
    <n v="0"/>
    <n v="0"/>
    <n v="0"/>
    <n v="6"/>
    <n v="1"/>
    <n v="1"/>
    <m/>
    <x v="0"/>
    <x v="0"/>
  </r>
  <r>
    <s v="Review Approval"/>
    <x v="6"/>
    <x v="6"/>
    <x v="1"/>
    <s v="Impact Check: As a Myisp user, I want the role &quot;Enterprise SA&quot; to be renamed to &quot;Market Maker ESA&quot; in myISP So that the role name clearly reflects the Market Make ESA in Solution Review &amp; Approvals and Reporting &amp; Compliance screens"/>
    <n v="4371399"/>
    <s v="Shalini"/>
    <s v="Anitha"/>
    <m/>
    <x v="3"/>
    <x v="1"/>
    <s v="Related to MMS External app"/>
    <x v="8"/>
    <m/>
    <m/>
    <m/>
    <m/>
    <m/>
    <m/>
    <m/>
    <m/>
    <m/>
    <x v="0"/>
    <x v="0"/>
    <s v="Not Started"/>
    <s v="Completed"/>
    <n v="50"/>
    <n v="20"/>
    <n v="4"/>
    <n v="11"/>
    <n v="0.9"/>
    <n v="0.9"/>
    <s v="UAT In Test"/>
    <n v="11"/>
    <n v="0"/>
    <n v="0"/>
    <n v="0"/>
    <n v="11"/>
    <n v="1"/>
    <n v="1"/>
    <m/>
    <x v="10"/>
    <x v="4"/>
  </r>
  <r>
    <s v="Review Approval"/>
    <x v="16"/>
    <x v="17"/>
    <x v="1"/>
    <s v="As a Solution Architect, I want the ability to enter decimal values in the FTE and LCR fields under the Tier 2 City tab"/>
    <n v="4269036"/>
    <s v="Vinayak"/>
    <s v="Janardhan"/>
    <m/>
    <x v="12"/>
    <x v="0"/>
    <m/>
    <x v="0"/>
    <s v="Medium"/>
    <n v="1"/>
    <n v="1"/>
    <n v="8"/>
    <n v="5"/>
    <n v="0"/>
    <n v="8"/>
    <n v="0.85"/>
    <n v="0.85"/>
    <x v="0"/>
    <x v="0"/>
    <s v="Completed"/>
    <s v="Completed"/>
    <n v="6"/>
    <n v="6"/>
    <n v="2"/>
    <n v="8"/>
    <n v="0.75"/>
    <n v="1"/>
    <s v="Test Complete"/>
    <n v="8"/>
    <n v="0"/>
    <n v="0"/>
    <n v="0"/>
    <n v="8"/>
    <n v="1"/>
    <n v="1"/>
    <m/>
    <x v="10"/>
    <x v="4"/>
  </r>
  <r>
    <s v="Reporting &amp; Compliance -Tier 2 City"/>
    <x v="16"/>
    <x v="17"/>
    <x v="1"/>
    <s v="As a MYISP developer, I want to Restrict Tier 2 City Selection to Single Option for AMS, SI &amp; IMS SG"/>
    <n v="4233240"/>
    <s v="Namrata"/>
    <s v="Manisha"/>
    <m/>
    <x v="3"/>
    <x v="1"/>
    <s v="This US includes Navigation to all tiles"/>
    <x v="4"/>
    <m/>
    <m/>
    <m/>
    <m/>
    <m/>
    <m/>
    <m/>
    <m/>
    <m/>
    <x v="0"/>
    <x v="0"/>
    <s v="In Progress"/>
    <s v="Completed"/>
    <n v="25"/>
    <n v="19"/>
    <n v="10"/>
    <n v="10"/>
    <n v="1"/>
    <n v="0.75"/>
    <s v="Test Complete"/>
    <n v="24"/>
    <n v="0"/>
    <n v="0"/>
    <n v="0"/>
    <n v="24"/>
    <n v="1"/>
    <n v="1"/>
    <m/>
    <x v="10"/>
    <x v="4"/>
  </r>
  <r>
    <s v="Review Approval"/>
    <x v="6"/>
    <x v="6"/>
    <x v="1"/>
    <s v="As a myISP user, I want to enable &quot;KDA Adherence Score - Status&quot; for IMS SG in reporting &amp; compliance section"/>
    <n v="4227683"/>
    <s v="Vinayak"/>
    <s v="Janardhan"/>
    <m/>
    <x v="13"/>
    <x v="0"/>
    <m/>
    <x v="0"/>
    <s v="Complex"/>
    <n v="10"/>
    <n v="1"/>
    <n v="8"/>
    <n v="8"/>
    <n v="2"/>
    <n v="10"/>
    <n v="0.85"/>
    <n v="0.85"/>
    <x v="0"/>
    <x v="0"/>
    <s v="Completed"/>
    <s v="Completed"/>
    <n v="6"/>
    <n v="6"/>
    <m/>
    <n v="8"/>
    <n v="0.75"/>
    <n v="1"/>
    <s v="UAT In Test"/>
    <n v="8"/>
    <n v="0"/>
    <n v="0"/>
    <n v="0"/>
    <n v="8"/>
    <n v="1"/>
    <n v="1"/>
    <s v="Delivered To UAT"/>
    <x v="10"/>
    <x v="4"/>
  </r>
  <r>
    <s v="Review Approval"/>
    <x v="17"/>
    <x v="18"/>
    <x v="1"/>
    <s v="AMS - Generative AI Tab: As a mySolutionPlanner developer, I want to make enhancement changes in Generative AI tab for AMS service group, so that the issues that are currently faced by SAs are resolved."/>
    <n v="4317672"/>
    <s v="Shalini"/>
    <s v="Anitha"/>
    <m/>
    <x v="10"/>
    <x v="0"/>
    <m/>
    <x v="0"/>
    <s v="Complex"/>
    <n v="3"/>
    <n v="1"/>
    <n v="20"/>
    <n v="10"/>
    <n v="0"/>
    <n v="10"/>
    <n v="0.7"/>
    <n v="0.4"/>
    <x v="0"/>
    <x v="0"/>
    <s v="Not Started"/>
    <s v="Completed"/>
    <n v="50"/>
    <n v="20"/>
    <n v="0"/>
    <n v="20"/>
    <n v="0.9"/>
    <n v="0.9"/>
    <s v="UAT In Test"/>
    <n v="20"/>
    <n v="0"/>
    <n v="0"/>
    <n v="0"/>
    <n v="20"/>
    <n v="1"/>
    <n v="1"/>
    <m/>
    <x v="10"/>
    <x v="4"/>
  </r>
  <r>
    <s v="Opportunities"/>
    <x v="18"/>
    <x v="19"/>
    <x v="1"/>
    <s v="Song Compliant Logic Update - As a myISP User, I want to update the &quot;Song Compliance Logic&quot; in the Opportunities screen, so that users can quickly assess the compliance health of each deal."/>
    <n v="3997998"/>
    <s v="Shalini"/>
    <s v="Anitha"/>
    <m/>
    <x v="3"/>
    <x v="1"/>
    <s v="One time update US"/>
    <x v="6"/>
    <m/>
    <m/>
    <m/>
    <m/>
    <m/>
    <m/>
    <m/>
    <m/>
    <m/>
    <x v="0"/>
    <x v="0"/>
    <s v="Not Started"/>
    <s v="Completed"/>
    <n v="50"/>
    <n v="40"/>
    <n v="0"/>
    <n v="40"/>
    <n v="0.8"/>
    <n v="0.8"/>
    <s v="UAT In Test"/>
    <n v="40"/>
    <n v="0"/>
    <n v="0"/>
    <n v="0"/>
    <n v="40"/>
    <n v="1"/>
    <n v="1"/>
    <s v="Delivered to UAT with 80% completion_x000a_"/>
    <x v="11"/>
    <x v="4"/>
  </r>
  <r>
    <s v="DFD-myISP"/>
    <x v="18"/>
    <x v="19"/>
    <x v="1"/>
    <s v="Song Compliant Logic Update[RA] - As a myISP user, I want to see &quot;Overall Song Delivery Approver&quot; role added in Review Approvals dashboard so that User can approve the required deals needed to achieve Song Compliance."/>
    <n v="4174501"/>
    <s v="Vinayak"/>
    <s v="Anitha"/>
    <m/>
    <x v="3"/>
    <x v="1"/>
    <s v="Email Functionality"/>
    <x v="5"/>
    <m/>
    <m/>
    <m/>
    <m/>
    <m/>
    <m/>
    <m/>
    <m/>
    <m/>
    <x v="0"/>
    <x v="0"/>
    <s v="Completed"/>
    <s v="Completed"/>
    <n v="6"/>
    <n v="6"/>
    <n v="1"/>
    <n v="7"/>
    <n v="0.85"/>
    <n v="0.9"/>
    <s v="UAT In Test"/>
    <n v="7"/>
    <n v="0"/>
    <n v="0"/>
    <n v="0"/>
    <n v="7"/>
    <n v="1"/>
    <n v="1"/>
    <s v="Delivered to parallel UAT"/>
    <x v="10"/>
    <x v="4"/>
  </r>
  <r>
    <s v="DFD-myISP"/>
    <x v="18"/>
    <x v="19"/>
    <x v="1"/>
    <s v="Song Compliant Logic Update[RA] - As a myISP User,I want to provide onetime update for the existing deals and update the RAG , Score as per updated Song Compliance Logic so that all historical and active deals reflect accurate compliance status - RA Screen"/>
    <n v="4317269"/>
    <s v="Namrata/manisha/Bhavana"/>
    <s v="Logapriya/Harish"/>
    <m/>
    <x v="3"/>
    <x v="1"/>
    <s v="One time update"/>
    <x v="6"/>
    <m/>
    <m/>
    <m/>
    <m/>
    <m/>
    <m/>
    <m/>
    <m/>
    <m/>
    <x v="0"/>
    <x v="0"/>
    <s v="In Progress"/>
    <s v="Completed"/>
    <n v="24"/>
    <n v="9"/>
    <n v="11"/>
    <n v="11"/>
    <n v="1"/>
    <n v="0.7"/>
    <s v="UAT In Test"/>
    <n v="24"/>
    <n v="0"/>
    <n v="0"/>
    <n v="0"/>
    <n v="24"/>
    <n v="1"/>
    <n v="1"/>
    <m/>
    <x v="10"/>
    <x v="4"/>
  </r>
  <r>
    <s v="DFD-myISP"/>
    <x v="18"/>
    <x v="19"/>
    <x v="1"/>
    <s v="Song Compliant Logic Update [RA] - As a myISP User, I want to update the &quot;Song Compliance Logic&quot; in the Opportunities screen, so that users can quickly assess the compliance health of each deal. - Copy"/>
    <n v="4320775"/>
    <s v="Namrata/manisha/sadhik"/>
    <s v="Logapriya/Harish"/>
    <m/>
    <x v="3"/>
    <x v="1"/>
    <s v="One time update"/>
    <x v="6"/>
    <m/>
    <m/>
    <m/>
    <m/>
    <m/>
    <m/>
    <m/>
    <m/>
    <m/>
    <x v="0"/>
    <x v="0"/>
    <s v="In Progress"/>
    <s v="Completed"/>
    <n v="30"/>
    <n v="20"/>
    <n v="15"/>
    <n v="15"/>
    <n v="1"/>
    <n v="0.85"/>
    <s v="UAT In Test"/>
    <n v="24"/>
    <n v="0"/>
    <n v="0"/>
    <n v="0"/>
    <n v="24"/>
    <n v="1"/>
    <n v="1"/>
    <m/>
    <x v="10"/>
    <x v="4"/>
  </r>
  <r>
    <s v="Review Approval"/>
    <x v="0"/>
    <x v="0"/>
    <x v="1"/>
    <s v="Value Shaping - As a myISP User - Configurator V2V - I want to access the Review Approvals tile in read-only mode and navigate using the fixed breadcrumb path so that I can maintain workflow continuity."/>
    <n v="4364543"/>
    <s v="Mary"/>
    <s v="Bhavana"/>
    <m/>
    <x v="14"/>
    <x v="0"/>
    <m/>
    <x v="0"/>
    <s v="Complex"/>
    <n v="2"/>
    <n v="1"/>
    <n v="30"/>
    <n v="2"/>
    <n v="0"/>
    <n v="2"/>
    <n v="0.5"/>
    <n v="0.5"/>
    <x v="0"/>
    <x v="0"/>
    <s v="Completed"/>
    <s v="Completed"/>
    <n v="46"/>
    <n v="7"/>
    <n v="2"/>
    <n v="9"/>
    <n v="0.9"/>
    <n v="0.9"/>
    <s v="Test Complete"/>
    <n v="9"/>
    <n v="0"/>
    <n v="0"/>
    <n v="0"/>
    <n v="9"/>
    <n v="1"/>
    <n v="1"/>
    <s v="Delivered for UAT"/>
    <x v="10"/>
    <x v="4"/>
  </r>
  <r>
    <s v="Estimators/Calculators"/>
    <x v="8"/>
    <x v="8"/>
    <x v="1"/>
    <s v="As a myISP Solution Architect, I want to see the Estimators/Calculators App migrated to Angular 21"/>
    <n v="4358748"/>
    <s v="Shalini"/>
    <s v="Sadhik"/>
    <m/>
    <x v="3"/>
    <x v="1"/>
    <s v="Angular upgrade,Regression"/>
    <x v="4"/>
    <m/>
    <m/>
    <m/>
    <m/>
    <m/>
    <m/>
    <m/>
    <m/>
    <m/>
    <x v="0"/>
    <x v="0"/>
    <s v="Not Started"/>
    <s v="Completed"/>
    <n v="30"/>
    <n v="2"/>
    <n v="17"/>
    <n v="17"/>
    <n v="0.4"/>
    <n v="0.4"/>
    <s v="Test Complete"/>
    <n v="17"/>
    <n v="0"/>
    <n v="0"/>
    <n v="0"/>
    <n v="17"/>
    <n v="1"/>
    <n v="1"/>
    <m/>
    <x v="7"/>
    <x v="3"/>
  </r>
  <r>
    <s v="Review Approval"/>
    <x v="7"/>
    <x v="7"/>
    <x v="1"/>
    <s v="As an Advisory song SA, I want to access the Review Approvals tile in read-only mode so that I can maintain and view workflow continuity."/>
    <n v="4373043"/>
    <s v="Mary"/>
    <s v="Bhavana"/>
    <m/>
    <x v="11"/>
    <x v="0"/>
    <m/>
    <x v="0"/>
    <s v="Simple"/>
    <n v="12"/>
    <n v="1"/>
    <n v="47"/>
    <n v="12"/>
    <n v="0"/>
    <n v="12"/>
    <n v="0.5"/>
    <n v="0.5"/>
    <x v="0"/>
    <x v="0"/>
    <s v="Completed"/>
    <s v="Completed"/>
    <n v="42"/>
    <n v="7"/>
    <n v="2"/>
    <n v="9"/>
    <n v="0.9"/>
    <n v="0.9"/>
    <s v="UAT In Test"/>
    <n v="9"/>
    <n v="0"/>
    <n v="0"/>
    <n v="0"/>
    <n v="9"/>
    <n v="1"/>
    <n v="1"/>
    <s v="Delivered for UAT"/>
    <x v="10"/>
    <x v="4"/>
  </r>
  <r>
    <s v="Role Rename"/>
    <x v="6"/>
    <x v="6"/>
    <x v="1"/>
    <s v="Impact Check: As a Myisp user, I want the role &quot;Enterprise SA&quot; to be renamed to &quot;Market Maker ESA&quot; in myISP So that the role name clearly reflects the Market Make ESA in mentioned modules ."/>
    <n v="4391260"/>
    <s v="Namrata"/>
    <s v="Manisha"/>
    <m/>
    <x v="3"/>
    <x v="1"/>
    <s v="Related to MMS External app"/>
    <x v="8"/>
    <m/>
    <m/>
    <m/>
    <m/>
    <m/>
    <m/>
    <m/>
    <m/>
    <m/>
    <x v="0"/>
    <x v="0"/>
    <s v="In Progress"/>
    <s v="Completed"/>
    <n v="27"/>
    <n v="23"/>
    <n v="10"/>
    <n v="10"/>
    <n v="1"/>
    <n v="0.9"/>
    <s v="UAT In Test"/>
    <n v="24"/>
    <n v="0"/>
    <n v="0"/>
    <n v="0"/>
    <n v="24"/>
    <n v="1"/>
    <n v="1"/>
    <m/>
    <x v="8"/>
    <x v="0"/>
  </r>
  <r>
    <s v="Role Rename"/>
    <x v="6"/>
    <x v="6"/>
    <x v="1"/>
    <s v="Impact Check: As a Myisp user, I want the role &quot;Enterprise SA&quot; to be renamed to &quot;Market Maker ESA&quot; in myISP So that the role name clearly reflects the Market Make ESA in mentioned scopes"/>
    <n v="4391283"/>
    <s v="Shalini"/>
    <s v="Anitha"/>
    <m/>
    <x v="3"/>
    <x v="1"/>
    <s v="One time update US from MMS"/>
    <x v="6"/>
    <m/>
    <m/>
    <m/>
    <m/>
    <m/>
    <m/>
    <m/>
    <m/>
    <m/>
    <x v="0"/>
    <x v="0"/>
    <s v="Not Started"/>
    <s v="Completed"/>
    <n v="31"/>
    <n v="24"/>
    <n v="0"/>
    <n v="24"/>
    <n v="0.9"/>
    <n v="0.9"/>
    <s v="UAT In Test"/>
    <n v="24"/>
    <n v="0"/>
    <n v="0"/>
    <n v="0"/>
    <n v="24"/>
    <n v="1"/>
    <n v="1"/>
    <s v="Delivered to UAT _x000a__x000a_"/>
    <x v="0"/>
    <x v="0"/>
  </r>
  <r>
    <s v="Transition To Delivery"/>
    <x v="0"/>
    <x v="0"/>
    <x v="1"/>
    <s v="Value Shaping - As a myISP User - Configurator V2V - I want to access the Transition To Delivery tile in read-only mode and navigate using the fixed breadcrumb path so that I can maintain workflow continuity."/>
    <n v="4364562"/>
    <s v="Vinayak"/>
    <s v="Anitha"/>
    <m/>
    <x v="15"/>
    <x v="0"/>
    <m/>
    <x v="0"/>
    <s v="Simple"/>
    <n v="1"/>
    <n v="1"/>
    <n v="28"/>
    <n v="5"/>
    <n v="0"/>
    <n v="5"/>
    <n v="0.6"/>
    <n v="0.6"/>
    <x v="0"/>
    <x v="0"/>
    <s v="Completed"/>
    <s v="Completed"/>
    <n v="13"/>
    <n v="13"/>
    <n v="0"/>
    <n v="13"/>
    <n v="0.9"/>
    <n v="0.9"/>
    <s v="Test Complete"/>
    <n v="13"/>
    <n v="0"/>
    <n v="0"/>
    <n v="0"/>
    <n v="13"/>
    <n v="1"/>
    <n v="1"/>
    <s v="Delivered to UAT_x000a_"/>
    <x v="12"/>
    <x v="5"/>
  </r>
  <r>
    <s v="Transition To Delivery"/>
    <x v="7"/>
    <x v="7"/>
    <x v="1"/>
    <s v="As an Advisory song SA, I want to access the Transition To Delivery tile in read-only mode so that I can maintain and view workflow continuity."/>
    <n v="4373066"/>
    <s v="Vinayak"/>
    <s v="Anitha"/>
    <m/>
    <x v="14"/>
    <x v="0"/>
    <m/>
    <x v="0"/>
    <s v="Medium"/>
    <n v="1"/>
    <n v="1"/>
    <n v="25"/>
    <n v="5"/>
    <n v="0"/>
    <n v="5"/>
    <n v="0.7"/>
    <n v="0.7"/>
    <x v="0"/>
    <x v="0"/>
    <s v="Completed"/>
    <s v="Completed"/>
    <n v="10"/>
    <n v="10"/>
    <n v="0"/>
    <n v="10"/>
    <n v="0.9"/>
    <n v="0.9"/>
    <s v="UAT In Test"/>
    <n v="10"/>
    <n v="0"/>
    <n v="0"/>
    <n v="0"/>
    <n v="10"/>
    <n v="1"/>
    <n v="1"/>
    <s v="Delivered To UAT _x000a_"/>
    <x v="12"/>
    <x v="5"/>
  </r>
  <r>
    <s v="Define Team"/>
    <x v="0"/>
    <x v="0"/>
    <x v="1"/>
    <s v="Value Shaping - As a myISP User - Configurator V2V - I want to access the Define Team tile in read-only mode and navigate using the fixed breadcrumb path so that I can maintain workflow continuity."/>
    <n v="4364419"/>
    <s v="Vinayak"/>
    <s v="Anitha"/>
    <m/>
    <x v="9"/>
    <x v="0"/>
    <m/>
    <x v="0"/>
    <s v="Medium"/>
    <n v="1"/>
    <n v="1"/>
    <n v="13"/>
    <n v="5"/>
    <n v="0"/>
    <n v="5"/>
    <n v="0.6"/>
    <n v="0.7"/>
    <x v="0"/>
    <x v="0"/>
    <s v="Completed"/>
    <s v="Completed"/>
    <n v="34"/>
    <n v="14"/>
    <n v="0"/>
    <n v="14"/>
    <n v="0.9"/>
    <n v="0.9"/>
    <s v="Test Complete"/>
    <n v="14"/>
    <n v="0"/>
    <n v="0"/>
    <n v="0"/>
    <n v="14"/>
    <n v="1"/>
    <n v="1"/>
    <s v="Delivered To UAT _x000a_"/>
    <x v="9"/>
    <x v="0"/>
  </r>
  <r>
    <s v="WRWS"/>
    <x v="0"/>
    <x v="0"/>
    <x v="1"/>
    <s v="Value Shaping - As a myISP User - Configurator V2V - I want to access the WRWS tile in read-only mode and navigate using the fixed breadcrumb path so that I can maintain workflow continuity."/>
    <n v="4364536"/>
    <s v="Mary"/>
    <s v="n.selvakumar"/>
    <m/>
    <x v="13"/>
    <x v="0"/>
    <m/>
    <x v="0"/>
    <s v="Complex"/>
    <n v="9"/>
    <n v="1"/>
    <n v="7"/>
    <n v="7"/>
    <n v="2"/>
    <n v="9"/>
    <n v="0.85"/>
    <n v="0.85"/>
    <x v="0"/>
    <x v="0"/>
    <s v="Completed"/>
    <s v="Completed"/>
    <n v="70"/>
    <n v="7"/>
    <n v="0"/>
    <n v="7"/>
    <n v="1"/>
    <n v="1"/>
    <s v="Test Complete"/>
    <n v="7"/>
    <n v="0"/>
    <n v="0"/>
    <n v="0"/>
    <n v="7"/>
    <n v="1"/>
    <n v="1"/>
    <s v="Delivered for UAT "/>
    <x v="1"/>
    <x v="0"/>
  </r>
  <r>
    <s v="Opportunity Workflow"/>
    <x v="0"/>
    <x v="0"/>
    <x v="1"/>
    <s v="Value Shaping - As a myISP User - Configurator V2V - I want to access the Opportunity Workflow in read-only mode and navigate using the fixed breadcrumb path so that I can maintain workflow continuity."/>
    <n v="4364567"/>
    <s v="Mary"/>
    <s v="Anitha"/>
    <m/>
    <x v="15"/>
    <x v="0"/>
    <m/>
    <x v="0"/>
    <s v="Simple"/>
    <n v="1"/>
    <n v="1"/>
    <n v="26"/>
    <n v="5"/>
    <n v="0"/>
    <n v="5"/>
    <n v="0.6"/>
    <n v="0.6"/>
    <x v="0"/>
    <x v="0"/>
    <s v="Completed"/>
    <s v="Completed"/>
    <n v="70"/>
    <n v="7"/>
    <n v="0"/>
    <n v="7"/>
    <n v="0.9"/>
    <n v="0.9"/>
    <s v="Test Complete"/>
    <n v="7"/>
    <n v="0"/>
    <n v="0"/>
    <n v="0"/>
    <n v="7"/>
    <n v="1"/>
    <n v="1"/>
    <s v="Delivered for UAT"/>
    <x v="1"/>
    <x v="0"/>
  </r>
  <r>
    <s v="Estimators/Calculators"/>
    <x v="7"/>
    <x v="7"/>
    <x v="1"/>
    <s v="As an Advisory song SA, I want to access the Estimators/Calculators tile in read-only mode so that I can maintain and view workflow continuity."/>
    <n v="4373070"/>
    <s v="Mary"/>
    <s v="Anitha"/>
    <m/>
    <x v="15"/>
    <x v="0"/>
    <m/>
    <x v="0"/>
    <s v="Simple"/>
    <n v="1"/>
    <n v="1"/>
    <n v="10"/>
    <n v="5"/>
    <n v="0"/>
    <n v="5"/>
    <n v="0.9"/>
    <n v="0.9"/>
    <x v="0"/>
    <x v="0"/>
    <s v="Completed"/>
    <s v="Completed"/>
    <n v="26"/>
    <n v="15"/>
    <n v="0"/>
    <n v="15"/>
    <n v="0.95"/>
    <n v="0.95"/>
    <s v="UAT In Test"/>
    <n v="15"/>
    <n v="0"/>
    <n v="0"/>
    <n v="0"/>
    <n v="15"/>
    <n v="1"/>
    <n v="1"/>
    <s v="Delivered for UAT"/>
    <x v="1"/>
    <x v="0"/>
  </r>
  <r>
    <s v="WRWS"/>
    <x v="7"/>
    <x v="7"/>
    <x v="1"/>
    <s v="As an Advisory song SA, I want to access the WRWS tile in read-only mode so that I can maintain and view workflow continuity."/>
    <n v="4373007"/>
    <s v="Mary"/>
    <s v="Anitha"/>
    <m/>
    <x v="9"/>
    <x v="0"/>
    <m/>
    <x v="0"/>
    <s v="Medium"/>
    <n v="1"/>
    <n v="1"/>
    <n v="10"/>
    <n v="6"/>
    <n v="0"/>
    <n v="6"/>
    <n v="0.7"/>
    <n v="0.7"/>
    <x v="0"/>
    <x v="0"/>
    <s v="Completed"/>
    <s v="Completed"/>
    <n v="26"/>
    <n v="13"/>
    <n v="0"/>
    <n v="13"/>
    <n v="0.95"/>
    <n v="0.95"/>
    <s v="UAT In Test"/>
    <n v="13"/>
    <n v="0"/>
    <n v="0"/>
    <n v="0"/>
    <n v="13"/>
    <n v="1"/>
    <n v="1"/>
    <s v="Delivered To UAT _x000a_"/>
    <x v="1"/>
    <x v="0"/>
  </r>
  <r>
    <s v="Role Rename"/>
    <x v="6"/>
    <x v="6"/>
    <x v="1"/>
    <s v="Impact Check: As a Myisp user, I want the role &quot;Enterprise SA&quot; to be renamed to &quot;Market Maker ESA&quot; in myISP So that the role name clearly reflects the Market Make ESA in mentioned scopes"/>
    <n v="4391289"/>
    <s v="Namrata"/>
    <s v="Manisha"/>
    <m/>
    <x v="3"/>
    <x v="1"/>
    <s v="Related to MMS External app"/>
    <x v="8"/>
    <m/>
    <m/>
    <m/>
    <m/>
    <m/>
    <m/>
    <m/>
    <m/>
    <m/>
    <x v="0"/>
    <x v="0"/>
    <s v="In Progress"/>
    <s v="Completed"/>
    <n v="24"/>
    <n v="18"/>
    <n v="10"/>
    <n v="10"/>
    <n v="1"/>
    <n v="0.9"/>
    <s v="UAT In Test"/>
    <n v="24"/>
    <n v="0"/>
    <n v="0"/>
    <n v="0"/>
    <n v="24"/>
    <n v="1"/>
    <n v="1"/>
    <m/>
    <x v="1"/>
    <x v="0"/>
  </r>
  <r>
    <s v="DFD-myISP"/>
    <x v="18"/>
    <x v="19"/>
    <x v="1"/>
    <s v="Song Compliant Logic Update -(MFHost) As a myISP User - I want to access all myISP screens as per Solution Reviewer role, read-only mode and navigate using the fixed breadcrumb path so that I can maintain workflow continuity"/>
    <n v="4386412"/>
    <s v="Mary"/>
    <s v="Anitha"/>
    <m/>
    <x v="3"/>
    <x v="1"/>
    <s v="This US includes Navigation to all tiles"/>
    <x v="4"/>
    <m/>
    <m/>
    <m/>
    <m/>
    <m/>
    <m/>
    <m/>
    <m/>
    <m/>
    <x v="0"/>
    <x v="0"/>
    <s v="Completed"/>
    <s v="Completed"/>
    <n v="48"/>
    <n v="13"/>
    <n v="2"/>
    <n v="15"/>
    <n v="0.95"/>
    <n v="0.95"/>
    <s v="UAT In Test"/>
    <n v="15"/>
    <n v="0"/>
    <n v="0"/>
    <n v="0"/>
    <n v="15"/>
    <n v="1"/>
    <n v="1"/>
    <s v="Delievred to UAT "/>
    <x v="7"/>
    <x v="3"/>
  </r>
  <r>
    <s v="BPMS Onboarding"/>
    <x v="19"/>
    <x v="20"/>
    <x v="2"/>
    <s v="As a myIntegrated Solution Planner user, I should be able to see Ripple On/Off toggle for Productivity Grid in Generative AI screen under Reporting &amp; Compliance screen for BPMS Opportunity"/>
    <n v="4113135"/>
    <s v="Pavithra"/>
    <m/>
    <m/>
    <x v="16"/>
    <x v="0"/>
    <m/>
    <x v="0"/>
    <s v="Medium"/>
    <n v="6"/>
    <n v="1"/>
    <n v="6"/>
    <n v="4"/>
    <n v="0"/>
    <n v="4"/>
    <n v="0.6"/>
    <n v="0.5"/>
    <x v="0"/>
    <x v="0"/>
    <s v="Completed"/>
    <s v="Completed"/>
    <n v="18"/>
    <n v="4"/>
    <n v="2"/>
    <n v="5"/>
    <n v="0.78"/>
    <n v="0.7"/>
    <s v="Test Complete"/>
    <n v="5"/>
    <n v="0"/>
    <n v="0"/>
    <n v="0"/>
    <n v="5"/>
    <n v="1"/>
    <n v="1"/>
    <m/>
    <x v="10"/>
    <x v="4"/>
  </r>
  <r>
    <s v="BPMS Onboarding"/>
    <x v="19"/>
    <x v="20"/>
    <x v="2"/>
    <s v="As a my solution planner solution architect, Read more &amp; hide should be available in description for Maturity Index and Due Diligence Questionnaire for BPMS Opportunity"/>
    <n v="4113172"/>
    <s v="Pavithra"/>
    <m/>
    <m/>
    <x v="17"/>
    <x v="0"/>
    <m/>
    <x v="0"/>
    <s v="Simple"/>
    <n v="1"/>
    <n v="1"/>
    <n v="16"/>
    <n v="3"/>
    <n v="1"/>
    <n v="1"/>
    <n v="0.65"/>
    <n v="0.7"/>
    <x v="0"/>
    <x v="0"/>
    <s v="Completed"/>
    <s v="Completed"/>
    <n v="16"/>
    <n v="3"/>
    <n v="2"/>
    <n v="5"/>
    <n v="0.75"/>
    <n v="0.7"/>
    <s v="Test Complete"/>
    <n v="5"/>
    <n v="0"/>
    <n v="0"/>
    <n v="0"/>
    <n v="5"/>
    <n v="1"/>
    <n v="1"/>
    <m/>
    <x v="10"/>
    <x v="4"/>
  </r>
  <r>
    <s v="BPMS Onboarding"/>
    <x v="19"/>
    <x v="20"/>
    <x v="2"/>
    <s v="As a my solution planner solution architect, I want all dropdown values to be displayed in alphabetical order, with the &quot;Other Reasons&quot; option always appearing last"/>
    <n v="4113178"/>
    <s v="Pavithra"/>
    <m/>
    <m/>
    <x v="17"/>
    <x v="0"/>
    <m/>
    <x v="0"/>
    <s v="Simple"/>
    <n v="1"/>
    <n v="1"/>
    <n v="8"/>
    <n v="4"/>
    <n v="1"/>
    <n v="1"/>
    <n v="0.9"/>
    <n v="0.55000000000000004"/>
    <x v="0"/>
    <x v="0"/>
    <s v="Completed"/>
    <s v="Completed"/>
    <n v="18"/>
    <n v="8"/>
    <n v="1"/>
    <n v="8"/>
    <n v="0.9"/>
    <n v="0.8"/>
    <s v="Test Complete"/>
    <n v="8"/>
    <n v="0"/>
    <n v="0"/>
    <n v="0"/>
    <n v="8"/>
    <n v="1"/>
    <n v="1"/>
    <m/>
    <x v="10"/>
    <x v="4"/>
  </r>
  <r>
    <s v="DCSO"/>
    <x v="20"/>
    <x v="21"/>
    <x v="2"/>
    <s v="DCSO SI- API: As a mySolutionPlanner developer, I want the Persist Solution line Across Solution Operations, so that user can maintain consistency and traceability of a demand across different solution versions and operations."/>
    <n v="4275371"/>
    <s v="Arun"/>
    <m/>
    <m/>
    <x v="18"/>
    <x v="1"/>
    <s v="Full regression required"/>
    <x v="4"/>
    <s v="Complex"/>
    <m/>
    <m/>
    <m/>
    <m/>
    <m/>
    <m/>
    <m/>
    <m/>
    <x v="0"/>
    <x v="0"/>
    <s v="Completed"/>
    <s v="In Progress"/>
    <n v="50"/>
    <n v="20"/>
    <n v="1"/>
    <n v="21"/>
    <n v="0.9"/>
    <n v="0.4"/>
    <s v="UAT In Test"/>
    <n v="18"/>
    <n v="0"/>
    <n v="0"/>
    <n v="0"/>
    <n v="18"/>
    <n v="1"/>
    <n v="1"/>
    <s v="4414032_x000a_4428646_x000a_4434960"/>
    <x v="13"/>
    <x v="6"/>
  </r>
  <r>
    <s v="DCSO"/>
    <x v="21"/>
    <x v="22"/>
    <x v="2"/>
    <s v="As a Solution Architect, I want to enable Generate DCSO for multiple versions into an Opportunity-level DCSO(multiple SGs) so that I can have a unified view of staffing data"/>
    <n v="4278129"/>
    <s v="Arun"/>
    <m/>
    <m/>
    <x v="18"/>
    <x v="0"/>
    <m/>
    <x v="0"/>
    <s v="Simple"/>
    <n v="6"/>
    <n v="1"/>
    <n v="6"/>
    <n v="4"/>
    <n v="2"/>
    <n v="6"/>
    <n v="0.5"/>
    <n v="0.4"/>
    <x v="0"/>
    <x v="0"/>
    <s v="Completed"/>
    <s v="Completed"/>
    <n v="12"/>
    <n v="5"/>
    <n v="1"/>
    <n v="6"/>
    <n v="0.85"/>
    <n v="0.6"/>
    <s v="UAT In Test"/>
    <n v="6"/>
    <n v="0"/>
    <n v="0"/>
    <n v="0"/>
    <n v="6"/>
    <n v="1"/>
    <n v="1"/>
    <m/>
    <x v="14"/>
    <x v="7"/>
  </r>
  <r>
    <s v="BPMS Onboarding"/>
    <x v="22"/>
    <x v="23"/>
    <x v="2"/>
    <s v="As a BPMS User, I should be able to save Solution Simplification screen without mandatory checks on ?PriceOne used for Stage 0/1/2A? and ?Approval Committee Approach Followed? so that I can proceed smoothly without validation errors."/>
    <n v="4279597"/>
    <s v="Sakshi"/>
    <m/>
    <m/>
    <x v="19"/>
    <x v="0"/>
    <m/>
    <x v="0"/>
    <s v="Medium"/>
    <n v="2"/>
    <n v="1"/>
    <n v="6"/>
    <n v="5"/>
    <n v="2"/>
    <n v="2"/>
    <n v="1"/>
    <n v="0.6"/>
    <x v="0"/>
    <x v="0"/>
    <s v="Completed"/>
    <s v="Completed"/>
    <n v="6"/>
    <n v="2"/>
    <n v="2"/>
    <n v="2"/>
    <n v="0.5"/>
    <n v="0.5"/>
    <s v="Test Complete"/>
    <n v="2"/>
    <n v="0"/>
    <n v="0"/>
    <n v="0"/>
    <n v="2"/>
    <n v="1"/>
    <n v="1"/>
    <m/>
    <x v="10"/>
    <x v="4"/>
  </r>
  <r>
    <s v="BPMS Onboarding"/>
    <x v="22"/>
    <x v="23"/>
    <x v="2"/>
    <s v="As a BPMS User, I should be able to see Solution Simplification marked as compliant if ?PriceOne used for Stage 0/1/2A? and ?Approval Committee Approach Followed? are filled in the solution simplification screen so that the compliance score is updated."/>
    <n v="4279677"/>
    <s v="Sakshi"/>
    <m/>
    <m/>
    <x v="19"/>
    <x v="0"/>
    <m/>
    <x v="0"/>
    <s v="Medium"/>
    <n v="3"/>
    <n v="1"/>
    <n v="8"/>
    <n v="6"/>
    <n v="3"/>
    <n v="3"/>
    <n v="1"/>
    <n v="0.7"/>
    <x v="0"/>
    <x v="0"/>
    <s v="Completed"/>
    <s v="Completed"/>
    <n v="10"/>
    <n v="5"/>
    <n v="3"/>
    <n v="3"/>
    <n v="0.5"/>
    <n v="0.5"/>
    <s v="Test Complete"/>
    <n v="3"/>
    <n v="0"/>
    <n v="0"/>
    <n v="0"/>
    <n v="3"/>
    <n v="1"/>
    <n v="1"/>
    <m/>
    <x v="10"/>
    <x v="4"/>
  </r>
  <r>
    <s v="DCSO"/>
    <x v="21"/>
    <x v="22"/>
    <x v="2"/>
    <s v="As a Solution Architect, I want to Generate DCSO for selected SG versions from the SI / IMS Digital DCSO screen, so that I can create accurate staffing overviews for each solution group."/>
    <n v="4281629"/>
    <s v="Arun"/>
    <m/>
    <m/>
    <x v="16"/>
    <x v="0"/>
    <m/>
    <x v="0"/>
    <s v="Complex"/>
    <n v="10"/>
    <n v="1"/>
    <n v="10"/>
    <n v="6"/>
    <n v="4"/>
    <n v="10"/>
    <n v="0.45"/>
    <n v="0.45"/>
    <x v="0"/>
    <x v="0"/>
    <s v="Completed"/>
    <s v="Completed"/>
    <n v="12"/>
    <n v="8"/>
    <n v="6"/>
    <n v="14"/>
    <n v="0.6"/>
    <n v="0.6"/>
    <s v="UAT In Test"/>
    <n v="14"/>
    <n v="0"/>
    <n v="0"/>
    <n v="0"/>
    <n v="14"/>
    <n v="1"/>
    <n v="1"/>
    <n v="4426302"/>
    <x v="14"/>
    <x v="7"/>
  </r>
  <r>
    <s v="BPMS Onboarding"/>
    <x v="23"/>
    <x v="24"/>
    <x v="2"/>
    <s v="As a BPMS SA, I want the Capco template to automatically format revenue numbers with commas"/>
    <n v="4309748"/>
    <s v="Jeba"/>
    <m/>
    <m/>
    <x v="3"/>
    <x v="1"/>
    <s v="Capco Template has Mail Functionality So it Can't be automated"/>
    <x v="5"/>
    <m/>
    <n v="5"/>
    <m/>
    <m/>
    <m/>
    <m/>
    <m/>
    <m/>
    <m/>
    <x v="0"/>
    <x v="0"/>
    <s v="Completed"/>
    <s v="Completed"/>
    <n v="35"/>
    <n v="3"/>
    <n v="0"/>
    <n v="3"/>
    <n v="0.5"/>
    <n v="0.7"/>
    <s v="Test Complete"/>
    <n v="3"/>
    <n v="0"/>
    <n v="0"/>
    <n v="0"/>
    <n v="3"/>
    <n v="1"/>
    <n v="1"/>
    <m/>
    <x v="10"/>
    <x v="4"/>
  </r>
  <r>
    <s v="DCSO"/>
    <x v="21"/>
    <x v="22"/>
    <x v="2"/>
    <s v="As a Solution Architect, I want to land on the Digital DCSO section from last activity tab if user have recently made changes to Digital DCSO for all SGs so that I can generate and manage DCSO files efficiently."/>
    <n v="4311857"/>
    <s v="Arun"/>
    <m/>
    <m/>
    <x v="18"/>
    <x v="0"/>
    <m/>
    <x v="0"/>
    <s v="Medium"/>
    <n v="7"/>
    <n v="1"/>
    <n v="7"/>
    <n v="4"/>
    <n v="3"/>
    <n v="7"/>
    <n v="0.5"/>
    <n v="0.4"/>
    <x v="0"/>
    <x v="0"/>
    <s v="Completed"/>
    <s v="Completed"/>
    <n v="12"/>
    <n v="5"/>
    <n v="2"/>
    <n v="7"/>
    <n v="0.7"/>
    <n v="0.4"/>
    <s v="UAT In Test"/>
    <n v="7"/>
    <n v="0"/>
    <n v="0"/>
    <n v="0"/>
    <n v="7"/>
    <n v="1"/>
    <n v="1"/>
    <m/>
    <x v="0"/>
    <x v="0"/>
  </r>
  <r>
    <s v="BPMS Onboarding"/>
    <x v="24"/>
    <x v="25"/>
    <x v="2"/>
    <s v="As a CXTA and Tfo stakeholder, I want the document upload to be optional in TfO and CXTA tabs so that I can initiate approval stages without being blocked when supporting documents are not yet available."/>
    <n v="4337740"/>
    <s v="Mohamed"/>
    <m/>
    <m/>
    <x v="20"/>
    <x v="0"/>
    <m/>
    <x v="0"/>
    <s v="Complex"/>
    <n v="1"/>
    <n v="1"/>
    <n v="8"/>
    <n v="4"/>
    <n v="2"/>
    <n v="6"/>
    <n v="0.6"/>
    <n v="0.6"/>
    <x v="0"/>
    <x v="0"/>
    <s v="Completed"/>
    <s v="Completed"/>
    <n v="15"/>
    <n v="4"/>
    <n v="8"/>
    <n v="12"/>
    <n v="0.4"/>
    <n v="0.4"/>
    <s v="Test Complete"/>
    <n v="12"/>
    <n v="0"/>
    <n v="0"/>
    <n v="0"/>
    <n v="12"/>
    <n v="1"/>
    <n v="1"/>
    <m/>
    <x v="15"/>
    <x v="4"/>
  </r>
  <r>
    <s v="DCSO"/>
    <x v="21"/>
    <x v="22"/>
    <x v="2"/>
    <s v="As a myISP Solution Architect , I want to access DCSO for all SGs based on roles assigned, so that I can generate, update, publish, and manage DCSO versions, while other roles should have only read‑only access for visibility."/>
    <n v="4341403"/>
    <s v="Pavithra"/>
    <m/>
    <m/>
    <x v="21"/>
    <x v="0"/>
    <m/>
    <x v="0"/>
    <s v="Complex"/>
    <n v="5"/>
    <n v="1"/>
    <n v="5"/>
    <n v="3"/>
    <n v="2"/>
    <n v="5"/>
    <n v="0.4"/>
    <n v="0.4"/>
    <x v="0"/>
    <x v="0"/>
    <s v="Completed"/>
    <s v="Completed"/>
    <n v="16"/>
    <n v="4"/>
    <n v="1"/>
    <n v="5"/>
    <n v="0.8"/>
    <n v="0.6"/>
    <s v="UAT In Test"/>
    <n v="5"/>
    <n v="0"/>
    <n v="0"/>
    <n v="0"/>
    <n v="5"/>
    <n v="1"/>
    <n v="1"/>
    <s v="bug id : 4438224 (deferred to may release)_x000a_"/>
    <x v="14"/>
    <x v="7"/>
  </r>
  <r>
    <s v="DCSO"/>
    <x v="21"/>
    <x v="22"/>
    <x v="2"/>
    <s v="As a Solution Architect, I want the system to Filter the DCSO line items based on certain conditions , so that the DCSO generated provide accurate results to user."/>
    <n v="4355886"/>
    <s v="Shital"/>
    <m/>
    <m/>
    <x v="3"/>
    <x v="1"/>
    <s v="Validation should be done in the Downloded Excel file"/>
    <x v="3"/>
    <s v="Medium"/>
    <m/>
    <m/>
    <m/>
    <m/>
    <m/>
    <m/>
    <m/>
    <m/>
    <x v="0"/>
    <x v="0"/>
    <s v="Completed"/>
    <s v="In Progress"/>
    <n v="20"/>
    <n v="9"/>
    <n v="0"/>
    <n v="9"/>
    <n v="1"/>
    <n v="0.98"/>
    <s v="UAT In Test"/>
    <n v="9"/>
    <n v="0"/>
    <n v="0"/>
    <n v="0"/>
    <n v="9"/>
    <n v="1"/>
    <n v="1"/>
    <m/>
    <x v="14"/>
    <x v="7"/>
  </r>
  <r>
    <s v="Mobilization Calculator"/>
    <x v="25"/>
    <x v="26"/>
    <x v="2"/>
    <s v="Mobilization CXTA Calculator : As a mySP CXTA user I should be able to see the field CXIL renamed to &quot;Transition Executive&quot; under Execution Preparation so that it is as per Business standards"/>
    <n v="4358192"/>
    <s v="Lakshmi"/>
    <m/>
    <m/>
    <x v="22"/>
    <x v="0"/>
    <m/>
    <x v="0"/>
    <s v="Simple"/>
    <n v="2"/>
    <n v="1"/>
    <n v="7"/>
    <n v="4"/>
    <n v="1"/>
    <n v="2"/>
    <n v="0.7"/>
    <n v="0.6"/>
    <x v="0"/>
    <x v="0"/>
    <s v="Completed"/>
    <s v="Completed"/>
    <n v="8"/>
    <n v="6"/>
    <n v="0"/>
    <n v="3"/>
    <n v="1"/>
    <n v="1"/>
    <s v="Test Complete"/>
    <n v="6"/>
    <n v="0"/>
    <n v="0"/>
    <n v="0"/>
    <n v="6"/>
    <n v="1"/>
    <n v="1"/>
    <n v="4412622"/>
    <x v="16"/>
    <x v="1"/>
  </r>
  <r>
    <s v="Mobilization Calculator"/>
    <x v="25"/>
    <x v="26"/>
    <x v="2"/>
    <s v="Mobilization - CXTA Calculator : As a mySP CXTA user I need to add fields under Deal Details section so that it is as per Business standards"/>
    <n v="4358812"/>
    <s v="Lakshmi"/>
    <m/>
    <m/>
    <x v="22"/>
    <x v="0"/>
    <m/>
    <x v="0"/>
    <s v="Complex"/>
    <n v="5"/>
    <n v="1"/>
    <n v="7"/>
    <n v="5"/>
    <n v="0"/>
    <n v="5"/>
    <n v="0.8"/>
    <n v="0.8"/>
    <x v="0"/>
    <x v="0"/>
    <s v="Completed"/>
    <s v="Completed"/>
    <n v="8"/>
    <n v="2"/>
    <n v="10"/>
    <n v="13"/>
    <n v="0.4"/>
    <n v="0.4"/>
    <s v="Test Complete"/>
    <n v="13"/>
    <n v="0"/>
    <n v="0"/>
    <n v="0"/>
    <n v="13"/>
    <n v="1"/>
    <n v="1"/>
    <m/>
    <x v="16"/>
    <x v="1"/>
  </r>
  <r>
    <s v="DCSO"/>
    <x v="21"/>
    <x v="22"/>
    <x v="2"/>
    <s v="As a Solution Architect, I want a new tab for DCSO Versions inside the Digital DCSO for AMS SG , so that I can generate and manage multiple DCSO versions efficiently"/>
    <n v="4359566"/>
    <s v="Arun"/>
    <m/>
    <m/>
    <x v="18"/>
    <x v="0"/>
    <m/>
    <x v="0"/>
    <s v="Simple"/>
    <n v="8"/>
    <n v="1"/>
    <n v="8"/>
    <n v="6"/>
    <n v="2"/>
    <n v="8"/>
    <n v="0.5"/>
    <n v="0.4"/>
    <x v="0"/>
    <x v="0"/>
    <s v="Completed"/>
    <s v="Completed"/>
    <n v="12"/>
    <n v="5"/>
    <n v="6"/>
    <n v="11"/>
    <n v="0.45"/>
    <n v="0.3"/>
    <s v="UAT In Test"/>
    <n v="11"/>
    <n v="0"/>
    <n v="0"/>
    <n v="0"/>
    <n v="11"/>
    <n v="1"/>
    <n v="1"/>
    <s v="4423576:"/>
    <x v="14"/>
    <x v="7"/>
  </r>
  <r>
    <s v="DCSO"/>
    <x v="21"/>
    <x v="22"/>
    <x v="2"/>
    <s v="As a Solution Architect, I want to Generate DCSO for selected SG versions from the AMS Digital DCSO screen, so that I can create accurate staffing overviews for each solution group"/>
    <n v="4359567"/>
    <s v="Arun"/>
    <m/>
    <m/>
    <x v="18"/>
    <x v="0"/>
    <m/>
    <x v="0"/>
    <s v="Complex"/>
    <n v="8"/>
    <n v="1"/>
    <n v="8"/>
    <n v="4"/>
    <n v="4"/>
    <n v="8"/>
    <n v="0.5"/>
    <n v="0.4"/>
    <x v="0"/>
    <x v="0"/>
    <s v="Completed"/>
    <s v="Completed"/>
    <n v="11"/>
    <n v="7"/>
    <n v="6"/>
    <n v="13"/>
    <n v="0.5"/>
    <n v="0.5"/>
    <s v="UAT In Test"/>
    <n v="13"/>
    <n v="0"/>
    <n v="0"/>
    <n v="0"/>
    <n v="13"/>
    <n v="1"/>
    <n v="1"/>
    <s v="4423576:"/>
    <x v="14"/>
    <x v="7"/>
  </r>
  <r>
    <s v="DCSO"/>
    <x v="21"/>
    <x v="22"/>
    <x v="2"/>
    <s v="As a Solution Architect, I want the DCSO grid to dynamically update based on user actions for AMS SG, so that I can view accurate status and perform subsequent actions easily."/>
    <n v="4359568"/>
    <s v="Heena"/>
    <m/>
    <m/>
    <x v="23"/>
    <x v="0"/>
    <m/>
    <x v="0"/>
    <s v="Complex"/>
    <n v="10"/>
    <n v="1"/>
    <n v="10"/>
    <n v="5"/>
    <n v="5"/>
    <n v="10"/>
    <n v="0.5"/>
    <n v="0.3"/>
    <x v="0"/>
    <x v="0"/>
    <s v="Completed"/>
    <s v="In Progress"/>
    <n v="38"/>
    <n v="4"/>
    <n v="15"/>
    <n v="15"/>
    <n v="0.5"/>
    <n v="0.4"/>
    <s v="UAT In Test"/>
    <n v="13"/>
    <n v="0"/>
    <n v="0"/>
    <n v="0"/>
    <n v="13"/>
    <n v="1"/>
    <n v="1"/>
    <s v="UI bug: 4425268, 4425283(M), 4423855"/>
    <x v="14"/>
    <x v="7"/>
  </r>
  <r>
    <s v="DCSO"/>
    <x v="21"/>
    <x v="22"/>
    <x v="2"/>
    <s v="As a Solution Architect, I want a new tab for DCSO Versions inside the Digital DCSO for SI / IMS SG , so that I can generate and manage multiple DCSO versions efficiently"/>
    <n v="4359569"/>
    <s v="Heena"/>
    <m/>
    <m/>
    <x v="23"/>
    <x v="0"/>
    <m/>
    <x v="0"/>
    <m/>
    <n v="5"/>
    <n v="1"/>
    <n v="5"/>
    <n v="5"/>
    <n v="5"/>
    <n v="5"/>
    <n v="0.4"/>
    <n v="0.3"/>
    <x v="0"/>
    <x v="0"/>
    <s v="Completed"/>
    <s v="Completed"/>
    <n v="20"/>
    <n v="2"/>
    <n v="5"/>
    <n v="5"/>
    <n v="0.4"/>
    <n v="0.3"/>
    <s v="UAT In Test"/>
    <n v="5"/>
    <n v="0"/>
    <n v="0"/>
    <n v="0"/>
    <n v="5"/>
    <n v="1"/>
    <n v="1"/>
    <s v="4443655 Closed"/>
    <x v="14"/>
    <x v="7"/>
  </r>
  <r>
    <s v="DCSO"/>
    <x v="21"/>
    <x v="22"/>
    <x v="2"/>
    <s v="As a Solution Architect, I want to view and manage generated DCSOs in a grid for AMS SG, so that I can track status and perform actions"/>
    <n v="4359570"/>
    <s v="Heena"/>
    <m/>
    <m/>
    <x v="21"/>
    <x v="0"/>
    <m/>
    <x v="0"/>
    <s v="Complex"/>
    <n v="6"/>
    <n v="1"/>
    <n v="6"/>
    <n v="5"/>
    <n v="1"/>
    <n v="6"/>
    <n v="0.7"/>
    <n v="0.7"/>
    <x v="0"/>
    <x v="0"/>
    <s v="Completed"/>
    <s v="In Progress"/>
    <n v="50"/>
    <n v="2"/>
    <n v="7"/>
    <n v="7"/>
    <n v="0.6"/>
    <n v="0.4"/>
    <s v="UAT In Test"/>
    <n v="6"/>
    <n v="0"/>
    <n v="0"/>
    <n v="0"/>
    <n v="6"/>
    <n v="1"/>
    <n v="1"/>
    <s v="4423511 Closed"/>
    <x v="14"/>
    <x v="7"/>
  </r>
  <r>
    <s v="DCSO"/>
    <x v="21"/>
    <x v="22"/>
    <x v="2"/>
    <s v="As a Solution Architect, I want to upload the DCSO template back into MyISP for IMS/ SI / AMS SG so that I can validate changes and sync with staffing and pricing tools."/>
    <n v="4359571"/>
    <s v="Heena"/>
    <m/>
    <m/>
    <x v="3"/>
    <x v="1"/>
    <s v="Excel Validation and more functionality is covered.(Temparing/ adding additon row to excel is not possible in automation)"/>
    <x v="3"/>
    <m/>
    <m/>
    <m/>
    <m/>
    <m/>
    <m/>
    <m/>
    <m/>
    <m/>
    <x v="0"/>
    <x v="0"/>
    <s v="Completed"/>
    <s v="In Progress"/>
    <n v="40"/>
    <n v="1"/>
    <n v="24"/>
    <n v="24"/>
    <n v="0.4"/>
    <n v="0.3"/>
    <s v="UAT In Test"/>
    <n v="24"/>
    <n v="0"/>
    <n v="0"/>
    <n v="0"/>
    <n v="24"/>
    <n v="1"/>
    <n v="1"/>
    <s v="4443431, 4443521, 4443476, 4443655_x000a__x000a_Closed- 4427354, 4429664(H),4429516,4428859"/>
    <x v="14"/>
    <x v="7"/>
  </r>
  <r>
    <s v="DCSO"/>
    <x v="21"/>
    <x v="22"/>
    <x v="2"/>
    <s v="As a Solution Architect, I want to download the generated DCSO file for AMS SG so that I can review and update staffing details offline before uploading"/>
    <n v="4359572"/>
    <s v="Heena"/>
    <m/>
    <m/>
    <x v="3"/>
    <x v="1"/>
    <s v="Automation not feasible because the application checks integrity of_x000a_the exported Excel file.If the file is modified and uploaded again through automation,_x000a_the system detects it as a tampered file and rejects it."/>
    <x v="3"/>
    <s v="Complex"/>
    <m/>
    <m/>
    <m/>
    <m/>
    <m/>
    <m/>
    <m/>
    <m/>
    <x v="0"/>
    <x v="0"/>
    <s v="Completed"/>
    <s v="In Progress"/>
    <n v="10"/>
    <n v="2"/>
    <n v="6"/>
    <n v="6"/>
    <n v="0.4"/>
    <n v="0.2"/>
    <s v="UAT In Test"/>
    <n v="6"/>
    <n v="0"/>
    <n v="0"/>
    <n v="0"/>
    <n v="6"/>
    <n v="1"/>
    <n v="1"/>
    <s v="4429278, 4428859(Duplicate to 4427541),_x000a_4429516(H)"/>
    <x v="14"/>
    <x v="7"/>
  </r>
  <r>
    <s v="DCSO"/>
    <x v="21"/>
    <x v="22"/>
    <x v="2"/>
    <s v="As a Solution Architect, I want to land on the Digital DCSO section when I click on Digital DCSO from the Opportunity workflow for AMS SG so that I can generate and manage DCSO files efficiently."/>
    <n v="4359573"/>
    <s v="Shital"/>
    <m/>
    <m/>
    <x v="24"/>
    <x v="0"/>
    <m/>
    <x v="0"/>
    <s v="Simple"/>
    <n v="6"/>
    <n v="1"/>
    <n v="6"/>
    <n v="6"/>
    <n v="0"/>
    <n v="6"/>
    <n v="0.86"/>
    <n v="0.7"/>
    <x v="0"/>
    <x v="0"/>
    <s v="Completed"/>
    <s v="Completed"/>
    <n v="15"/>
    <n v="6"/>
    <n v="7"/>
    <n v="7"/>
    <n v="0.86"/>
    <n v="0.86"/>
    <s v="UAT In Test"/>
    <n v="7"/>
    <n v="0"/>
    <n v="0"/>
    <n v="0"/>
    <n v="7"/>
    <n v="1"/>
    <n v="1"/>
    <s v="4422932-Deffered"/>
    <x v="1"/>
    <x v="0"/>
  </r>
  <r>
    <s v="DCSO"/>
    <x v="21"/>
    <x v="22"/>
    <x v="2"/>
    <s v="As a Solution Architect, I want to land on the Digital DCSO section when I click on Digital DCSO from the Opportunity workflow for SI SG so that I can generate and manage DCSO files efficiently."/>
    <n v="4359574"/>
    <s v="Shital"/>
    <m/>
    <m/>
    <x v="24"/>
    <x v="0"/>
    <m/>
    <x v="0"/>
    <s v="Simple"/>
    <n v="6"/>
    <n v="1"/>
    <n v="6"/>
    <n v="6"/>
    <n v="0"/>
    <n v="6"/>
    <n v="0.86"/>
    <n v="0.7"/>
    <x v="0"/>
    <x v="0"/>
    <s v="Completed"/>
    <s v="Completed"/>
    <n v="15"/>
    <n v="6"/>
    <n v="7"/>
    <n v="7"/>
    <n v="0.86"/>
    <n v="0.86"/>
    <s v="UAT In Test"/>
    <n v="7"/>
    <n v="0"/>
    <n v="0"/>
    <n v="0"/>
    <n v="7"/>
    <n v="1"/>
    <n v="1"/>
    <m/>
    <x v="1"/>
    <x v="0"/>
  </r>
  <r>
    <s v="DCSO"/>
    <x v="21"/>
    <x v="22"/>
    <x v="2"/>
    <s v="As a Solution Architect, I want to land on the Digital DCSO section when I click on Digital DCSO from the Opportunity workflow for IMS SG so that I can generate and manage DCSO files efficiently."/>
    <n v="4359575"/>
    <s v="Shital"/>
    <m/>
    <m/>
    <x v="24"/>
    <x v="0"/>
    <m/>
    <x v="0"/>
    <s v="Simple"/>
    <n v="6"/>
    <n v="1"/>
    <n v="6"/>
    <n v="6"/>
    <n v="0"/>
    <n v="6"/>
    <n v="0.86"/>
    <n v="0.7"/>
    <x v="0"/>
    <x v="0"/>
    <s v="Completed"/>
    <s v="Completed"/>
    <n v="15"/>
    <n v="6"/>
    <n v="7"/>
    <n v="7"/>
    <n v="0.86"/>
    <n v="0.86"/>
    <s v="UAT In Test"/>
    <n v="7"/>
    <n v="0"/>
    <n v="0"/>
    <n v="0"/>
    <n v="7"/>
    <n v="1"/>
    <n v="1"/>
    <m/>
    <x v="1"/>
    <x v="0"/>
  </r>
  <r>
    <s v="DCSO"/>
    <x v="21"/>
    <x v="22"/>
    <x v="2"/>
    <s v="As a Solution Architect, I want to add a new section under Digital Documentation named Digital DCSO for AMS in the opportunity workflow, so that I can manage DCSO-related functionalities in one place."/>
    <n v="4359576"/>
    <s v="Shital"/>
    <m/>
    <m/>
    <x v="16"/>
    <x v="0"/>
    <m/>
    <x v="0"/>
    <s v="Simple"/>
    <n v="3"/>
    <n v="1"/>
    <n v="3"/>
    <n v="3"/>
    <n v="0"/>
    <n v="3"/>
    <n v="1"/>
    <n v="1"/>
    <x v="0"/>
    <x v="0"/>
    <s v="Completed"/>
    <s v="Completed"/>
    <n v="10"/>
    <n v="2"/>
    <n v="3"/>
    <n v="3"/>
    <n v="0.66"/>
    <n v="0.66"/>
    <s v="UAT In Test"/>
    <n v="3"/>
    <n v="0"/>
    <n v="0"/>
    <n v="0"/>
    <n v="3"/>
    <n v="1"/>
    <n v="1"/>
    <m/>
    <x v="1"/>
    <x v="0"/>
  </r>
  <r>
    <s v="DCSO"/>
    <x v="21"/>
    <x v="22"/>
    <x v="2"/>
    <s v="As a Solution Architect, I want to add a new section Digital DCSO inside the Digital Documentation for AMS SG, so that I can manage DCSO-related functionalities."/>
    <n v="4359577"/>
    <s v="Shital"/>
    <m/>
    <m/>
    <x v="16"/>
    <x v="0"/>
    <m/>
    <x v="0"/>
    <s v="Simple"/>
    <n v="11"/>
    <n v="1"/>
    <n v="11"/>
    <n v="6"/>
    <n v="5"/>
    <n v="11"/>
    <n v="0.6"/>
    <n v="0.6"/>
    <x v="0"/>
    <x v="0"/>
    <s v="Completed"/>
    <s v="Completed"/>
    <n v="20"/>
    <n v="8"/>
    <n v="11"/>
    <n v="11"/>
    <n v="0.72"/>
    <n v="0.72"/>
    <s v="UAT In Test"/>
    <n v="11"/>
    <n v="0"/>
    <n v="0"/>
    <n v="0"/>
    <n v="11"/>
    <n v="1"/>
    <n v="1"/>
    <m/>
    <x v="12"/>
    <x v="5"/>
  </r>
  <r>
    <s v="DCSO"/>
    <x v="21"/>
    <x v="22"/>
    <x v="2"/>
    <s v="As a Solution Architect, I want to add a new section under Digital Documentation named Digital DCSO for SI in the opportunity workflow, so that I can manage DCSO-related functionalities in one place."/>
    <n v="4359578"/>
    <s v="Lakshmi"/>
    <m/>
    <m/>
    <x v="22"/>
    <x v="0"/>
    <m/>
    <x v="0"/>
    <s v="Simple"/>
    <n v="3"/>
    <n v="1"/>
    <n v="3"/>
    <n v="2"/>
    <n v="1"/>
    <n v="3"/>
    <n v="0.8"/>
    <n v="0.7"/>
    <x v="0"/>
    <x v="0"/>
    <s v="Completed"/>
    <s v="Completed"/>
    <n v="10"/>
    <n v="5"/>
    <n v="0"/>
    <n v="3"/>
    <n v="1"/>
    <n v="1"/>
    <s v="UAT In Test"/>
    <n v="5"/>
    <n v="0"/>
    <n v="0"/>
    <n v="0"/>
    <n v="5"/>
    <n v="1"/>
    <n v="1"/>
    <m/>
    <x v="1"/>
    <x v="0"/>
  </r>
  <r>
    <s v="DCSO"/>
    <x v="21"/>
    <x v="22"/>
    <x v="2"/>
    <s v="As a Solution Architect, I want to add a new section Digital DCSO inside the Digital Documentation for SI SG, so that I can manage DCSO-related functionalities."/>
    <n v="4359579"/>
    <s v="Lakshmi"/>
    <m/>
    <m/>
    <x v="22"/>
    <x v="0"/>
    <m/>
    <x v="0"/>
    <s v="Medium"/>
    <n v="5"/>
    <n v="1"/>
    <n v="5"/>
    <n v="3"/>
    <n v="2"/>
    <n v="5"/>
    <n v="0.7"/>
    <n v="0.7"/>
    <x v="0"/>
    <x v="0"/>
    <s v="Completed"/>
    <s v="Completed"/>
    <n v="10"/>
    <n v="2"/>
    <n v="6"/>
    <n v="8"/>
    <n v="0.4"/>
    <n v="0.4"/>
    <s v="UAT In Test"/>
    <n v="8"/>
    <n v="0"/>
    <n v="0"/>
    <n v="0"/>
    <n v="8"/>
    <n v="1"/>
    <n v="1"/>
    <m/>
    <x v="12"/>
    <x v="5"/>
  </r>
  <r>
    <s v="DCSO"/>
    <x v="21"/>
    <x v="22"/>
    <x v="2"/>
    <s v="As a Solution Architect, I want to add a new section under Digital Documentation named Digital DCSO for IMS in the opportunity workflow, so that I can manage DCSO-related functionalities in one place."/>
    <n v="4359580"/>
    <s v="Lakshmi"/>
    <m/>
    <m/>
    <x v="22"/>
    <x v="0"/>
    <m/>
    <x v="0"/>
    <s v="Simple"/>
    <n v="3"/>
    <n v="1"/>
    <n v="3"/>
    <n v="2"/>
    <n v="1"/>
    <n v="3"/>
    <n v="0.8"/>
    <n v="0.7"/>
    <x v="0"/>
    <x v="0"/>
    <s v="Completed"/>
    <s v="Completed"/>
    <n v="10"/>
    <n v="5"/>
    <n v="0"/>
    <n v="3"/>
    <n v="1"/>
    <n v="1"/>
    <s v="UAT In Test"/>
    <n v="5"/>
    <n v="0"/>
    <n v="0"/>
    <n v="0"/>
    <n v="5"/>
    <n v="1"/>
    <n v="1"/>
    <m/>
    <x v="1"/>
    <x v="0"/>
  </r>
  <r>
    <s v="DCSO"/>
    <x v="21"/>
    <x v="22"/>
    <x v="2"/>
    <s v="As a Solution Architect, I want to add a new section Digital DCSO inside the Digital Documentation for IMS SG, so that I can manage DCSO-related functionalities."/>
    <n v="4359581"/>
    <s v="Lakshmi"/>
    <m/>
    <m/>
    <x v="22"/>
    <x v="0"/>
    <m/>
    <x v="0"/>
    <s v="Medium"/>
    <n v="5"/>
    <n v="1"/>
    <n v="5"/>
    <n v="4"/>
    <n v="1"/>
    <n v="5"/>
    <n v="0.7"/>
    <n v="0.65"/>
    <x v="0"/>
    <x v="0"/>
    <s v="Completed"/>
    <s v="Completed"/>
    <n v="10"/>
    <n v="2"/>
    <n v="6"/>
    <n v="8"/>
    <n v="0.4"/>
    <n v="0.4"/>
    <s v="UAT In Test"/>
    <n v="8"/>
    <n v="0"/>
    <n v="0"/>
    <n v="0"/>
    <n v="8"/>
    <n v="1"/>
    <n v="1"/>
    <m/>
    <x v="12"/>
    <x v="5"/>
  </r>
  <r>
    <s v="DCSO"/>
    <x v="21"/>
    <x v="22"/>
    <x v="2"/>
    <s v="As a my solution planner solution architect, I want to apply FTE split logic in the DCSO template for AMS SG so that resource allocation across multiple roles or projects is accurately represented."/>
    <n v="4359586"/>
    <s v="Nithish"/>
    <m/>
    <m/>
    <x v="3"/>
    <x v="1"/>
    <s v="Validation should be done in the Downloded Excel file"/>
    <x v="3"/>
    <s v="Complex"/>
    <m/>
    <m/>
    <m/>
    <m/>
    <m/>
    <m/>
    <m/>
    <m/>
    <x v="0"/>
    <x v="0"/>
    <s v="Completed"/>
    <s v="In Progress"/>
    <n v="25"/>
    <n v="10"/>
    <n v="7"/>
    <n v="17"/>
    <n v="0.6"/>
    <n v="0.6"/>
    <s v="UAT In Test"/>
    <n v="11"/>
    <n v="0"/>
    <n v="0"/>
    <n v="0"/>
    <n v="11"/>
    <n v="1"/>
    <n v="1"/>
    <m/>
    <x v="14"/>
    <x v="7"/>
  </r>
  <r>
    <s v="DCSO"/>
    <x v="21"/>
    <x v="22"/>
    <x v="2"/>
    <s v="As a myisp Solution Architect, I want the SI SG Old DCSO template to use updated field names and simplified skill representation So that the template aligns with current terminology"/>
    <n v="4362519"/>
    <s v="Mahesh"/>
    <m/>
    <m/>
    <x v="3"/>
    <x v="1"/>
    <s v="Validation should be done in the Downloded Excel file"/>
    <x v="3"/>
    <m/>
    <m/>
    <m/>
    <m/>
    <m/>
    <m/>
    <m/>
    <m/>
    <m/>
    <x v="0"/>
    <x v="0"/>
    <s v="Completed"/>
    <s v="Completed"/>
    <n v="15"/>
    <n v="7"/>
    <n v="1"/>
    <n v="9"/>
    <n v="0.95"/>
    <n v="0.95"/>
    <s v="UAT In Test"/>
    <n v="9"/>
    <n v="0"/>
    <n v="0"/>
    <n v="0"/>
    <n v="9"/>
    <n v="1"/>
    <n v="1"/>
    <m/>
    <x v="17"/>
    <x v="6"/>
  </r>
  <r>
    <s v="DCSO"/>
    <x v="21"/>
    <x v="22"/>
    <x v="2"/>
    <s v="As a myisp Solution Architect, I want the AMS SG Old DCSO template to use updated field names and simplified skill representation So that the template aligns with current terminology"/>
    <n v="4362595"/>
    <s v="Mahesh"/>
    <m/>
    <m/>
    <x v="3"/>
    <x v="1"/>
    <s v="Validation should be done in the Downloded Excel file"/>
    <x v="3"/>
    <m/>
    <m/>
    <m/>
    <m/>
    <m/>
    <m/>
    <m/>
    <m/>
    <m/>
    <x v="0"/>
    <x v="0"/>
    <s v="Completed"/>
    <s v="Completed"/>
    <n v="15"/>
    <n v="7"/>
    <n v="1"/>
    <n v="9"/>
    <n v="0.95"/>
    <n v="0.95"/>
    <s v="UAT In Test"/>
    <n v="9"/>
    <n v="0"/>
    <n v="0"/>
    <n v="0"/>
    <n v="9"/>
    <n v="1"/>
    <n v="1"/>
    <m/>
    <x v="6"/>
    <x v="2"/>
  </r>
  <r>
    <s v="BPMS Onboarding"/>
    <x v="26"/>
    <x v="27"/>
    <x v="2"/>
    <s v="As a BPMS SA, I want the below Role to be added in Raise Request email template, so that deal-level visibility are consistently maintained across role requests."/>
    <n v="4366445"/>
    <s v="Jeba"/>
    <m/>
    <m/>
    <x v="3"/>
    <x v="1"/>
    <s v="Raise request has mail functionality so it can't automated"/>
    <x v="5"/>
    <m/>
    <m/>
    <m/>
    <m/>
    <m/>
    <m/>
    <m/>
    <m/>
    <m/>
    <x v="0"/>
    <x v="0"/>
    <s v="Completed"/>
    <s v="Completed"/>
    <n v="45"/>
    <n v="6"/>
    <n v="4"/>
    <n v="10"/>
    <n v="0.45"/>
    <n v="0.6"/>
    <s v="Test Complete"/>
    <n v="10"/>
    <n v="0"/>
    <n v="0"/>
    <n v="0"/>
    <n v="10"/>
    <n v="1"/>
    <n v="1"/>
    <m/>
    <x v="9"/>
    <x v="0"/>
  </r>
  <r>
    <s v="DCSO"/>
    <x v="21"/>
    <x v="22"/>
    <x v="2"/>
    <s v="As a Solution Architect, I want to view and manage generated DCSOs in a grid for SI/IMS SG, so that I can track status and perform actions"/>
    <n v="4367415"/>
    <s v="Nithish"/>
    <m/>
    <m/>
    <x v="16"/>
    <x v="0"/>
    <m/>
    <x v="0"/>
    <s v="Medium"/>
    <n v="6"/>
    <n v="1"/>
    <n v="6"/>
    <n v="3"/>
    <n v="3"/>
    <n v="6"/>
    <n v="0.5"/>
    <n v="0.5"/>
    <x v="0"/>
    <x v="0"/>
    <s v="Completed"/>
    <s v="In Progress"/>
    <n v="18"/>
    <n v="6"/>
    <n v="1"/>
    <n v="7"/>
    <n v="0.8"/>
    <n v="0.8"/>
    <s v="UAT In Test"/>
    <n v="7"/>
    <n v="0"/>
    <n v="0"/>
    <n v="0"/>
    <n v="7"/>
    <n v="1"/>
    <n v="1"/>
    <m/>
    <x v="14"/>
    <x v="7"/>
  </r>
  <r>
    <s v="DCSO"/>
    <x v="21"/>
    <x v="22"/>
    <x v="2"/>
    <s v="As a Solution Architect, I want to download the generated DCSO file for SI/IMS SG so that I can review and update staffing details offline before uploading"/>
    <n v="4367420"/>
    <s v="Nithish"/>
    <m/>
    <m/>
    <x v="3"/>
    <x v="1"/>
    <s v="Validation should be done in the Downloded Excel file"/>
    <x v="3"/>
    <s v="Simple"/>
    <m/>
    <m/>
    <m/>
    <m/>
    <m/>
    <m/>
    <m/>
    <m/>
    <x v="0"/>
    <x v="0"/>
    <s v="Completed"/>
    <s v="In Progress"/>
    <n v="20"/>
    <n v="10"/>
    <n v="4"/>
    <n v="14"/>
    <n v="0.75"/>
    <n v="0.75"/>
    <s v="UAT In Test"/>
    <n v="10"/>
    <n v="0"/>
    <n v="0"/>
    <n v="0"/>
    <n v="10"/>
    <n v="1"/>
    <n v="1"/>
    <m/>
    <x v="14"/>
    <x v="7"/>
  </r>
  <r>
    <s v="BPMS Onboarding"/>
    <x v="14"/>
    <x v="15"/>
    <x v="2"/>
    <s v="As a BPMS Solution Architect, I Want to See Rolled‑Up BPMS Revenue used in the Global Watchlist Flag under operations Attributes of reporting &amp; Compliance"/>
    <n v="4367455"/>
    <s v="Nithish"/>
    <m/>
    <m/>
    <x v="16"/>
    <x v="0"/>
    <m/>
    <x v="0"/>
    <s v="Medium"/>
    <n v="10"/>
    <n v="1"/>
    <n v="10"/>
    <n v="4"/>
    <n v="6"/>
    <n v="10"/>
    <n v="0.45"/>
    <n v="0.5"/>
    <x v="0"/>
    <x v="0"/>
    <s v="Completed"/>
    <s v="Completed"/>
    <n v="20"/>
    <n v="8"/>
    <n v="2"/>
    <n v="10"/>
    <n v="0.75"/>
    <n v="0.75"/>
    <s v="Test Complete"/>
    <n v="6"/>
    <n v="0"/>
    <n v="0"/>
    <n v="0"/>
    <n v="6"/>
    <n v="1"/>
    <n v="1"/>
    <m/>
    <x v="10"/>
    <x v="4"/>
  </r>
  <r>
    <s v="BPMS Onboarding"/>
    <x v="27"/>
    <x v="28"/>
    <x v="2"/>
    <s v="As a PMO or Super User, I want the ability to set an approver as Auto Approver so that approvals across all stages can be automatically processed without manual intervention"/>
    <n v="4368356"/>
    <s v="Mohamed"/>
    <m/>
    <m/>
    <x v="20"/>
    <x v="0"/>
    <m/>
    <x v="0"/>
    <s v="Complex"/>
    <n v="4"/>
    <n v="1"/>
    <n v="8"/>
    <n v="2"/>
    <n v="2"/>
    <n v="6"/>
    <n v="0.8"/>
    <n v="0.6"/>
    <x v="0"/>
    <x v="0"/>
    <s v="Completed"/>
    <s v="Completed"/>
    <n v="15"/>
    <n v="8"/>
    <n v="4"/>
    <n v="12"/>
    <n v="0.6"/>
    <n v="0.4"/>
    <s v="Test Complete"/>
    <n v="12"/>
    <n v="0"/>
    <n v="0"/>
    <n v="0"/>
    <n v="12"/>
    <n v="1"/>
    <n v="1"/>
    <m/>
    <x v="15"/>
    <x v="4"/>
  </r>
  <r>
    <s v="BPMS Onboarding"/>
    <x v="28"/>
    <x v="29"/>
    <x v="2"/>
    <s v="As a BPMS SA , I want to select a “Custom” meeting slot and provide start and end times so that I can request meetings outside predefined time options and have them synchronized with the Outlook meeting invite."/>
    <n v="4368358"/>
    <s v="Mohamed"/>
    <m/>
    <m/>
    <x v="21"/>
    <x v="0"/>
    <m/>
    <x v="0"/>
    <s v="Complex"/>
    <n v="8"/>
    <n v="1"/>
    <n v="8"/>
    <n v="3"/>
    <n v="5"/>
    <n v="8"/>
    <n v="0.45"/>
    <n v="0.45"/>
    <x v="0"/>
    <x v="0"/>
    <s v="Completed"/>
    <s v="Completed"/>
    <n v="15"/>
    <n v="4"/>
    <n v="8"/>
    <n v="12"/>
    <n v="0.6"/>
    <n v="0.6"/>
    <s v="Test Complete"/>
    <n v="12"/>
    <n v="0"/>
    <n v="0"/>
    <n v="0"/>
    <n v="12"/>
    <n v="1"/>
    <n v="1"/>
    <m/>
    <x v="15"/>
    <x v="4"/>
  </r>
  <r>
    <s v="BPMS Onboarding"/>
    <x v="29"/>
    <x v="30"/>
    <x v="2"/>
    <s v="As a BPMS SA/PMO, I want the system to prevent auto‑inserting the Risk &amp; Compliance approval request when Foxtrot Q1 is answered as NO, so that incorrect approval requests do not progress further in the workflow."/>
    <n v="4368360"/>
    <s v="Mohamed"/>
    <m/>
    <m/>
    <x v="21"/>
    <x v="0"/>
    <m/>
    <x v="0"/>
    <s v="Complex"/>
    <n v="7"/>
    <n v="1"/>
    <n v="7"/>
    <n v="4"/>
    <n v="3"/>
    <n v="7"/>
    <n v="0.6"/>
    <n v="0.6"/>
    <x v="0"/>
    <x v="0"/>
    <s v="Completed"/>
    <s v="Completed"/>
    <n v="15"/>
    <n v="4"/>
    <n v="8"/>
    <n v="12"/>
    <n v="0.4"/>
    <n v="0.4"/>
    <s v="Test Complete"/>
    <n v="12"/>
    <n v="0"/>
    <n v="0"/>
    <n v="0"/>
    <n v="12"/>
    <n v="1"/>
    <n v="1"/>
    <m/>
    <x v="15"/>
    <x v="4"/>
  </r>
  <r>
    <s v="DCSO"/>
    <x v="21"/>
    <x v="22"/>
    <x v="2"/>
    <s v="As a Solution Architect, I want the DCSO grid to dynamically update based on user actions for SI / IMS SG, so that I can view accurate status and perform subsequent actions easily."/>
    <n v="4370079"/>
    <s v="Nithish"/>
    <m/>
    <m/>
    <x v="25"/>
    <x v="0"/>
    <m/>
    <x v="0"/>
    <s v="Complex"/>
    <n v="8"/>
    <n v="1"/>
    <n v="8"/>
    <n v="6"/>
    <n v="2"/>
    <n v="8"/>
    <n v="0.8"/>
    <n v="0.85"/>
    <x v="0"/>
    <x v="0"/>
    <s v="Completed"/>
    <s v="Completed"/>
    <n v="15"/>
    <n v="7"/>
    <n v="3"/>
    <n v="10"/>
    <n v="0.7"/>
    <n v="0.75"/>
    <s v="UAT In Test"/>
    <n v="8"/>
    <n v="0"/>
    <n v="0"/>
    <n v="0"/>
    <n v="8"/>
    <n v="1"/>
    <n v="1"/>
    <m/>
    <x v="14"/>
    <x v="7"/>
  </r>
  <r>
    <s v="BPMS Onboarding"/>
    <x v="30"/>
    <x v="31"/>
    <x v="2"/>
    <s v="As a Enterprise SA, I should be able to have Read–Write access to the Reporting &amp; Compliance module (Maturity Index, Due Diligence, Solution Simplification) so that I can update compliance information for my solutions."/>
    <n v="4372114"/>
    <s v="Nithish"/>
    <m/>
    <m/>
    <x v="25"/>
    <x v="0"/>
    <m/>
    <x v="0"/>
    <s v="Simple"/>
    <n v="1"/>
    <n v="1"/>
    <n v="8"/>
    <n v="7"/>
    <n v="1"/>
    <n v="8"/>
    <n v="0.9"/>
    <n v="0.9"/>
    <x v="0"/>
    <x v="0"/>
    <s v="Completed"/>
    <s v="Completed"/>
    <n v="20"/>
    <n v="8"/>
    <n v="5"/>
    <n v="13"/>
    <n v="0.65"/>
    <n v="0.6"/>
    <s v="Test Complete"/>
    <n v="11"/>
    <n v="0"/>
    <n v="0"/>
    <n v="0"/>
    <n v="11"/>
    <n v="1"/>
    <n v="1"/>
    <m/>
    <x v="10"/>
    <x v="4"/>
  </r>
  <r>
    <s v="BPMS Onboarding"/>
    <x v="14"/>
    <x v="15"/>
    <x v="2"/>
    <s v="As a myIntegrated Solution Planner (myISP) user, I want BPMS Net Revenue to be rolled up across and used consistently wherever BPMS Net Revenue is referenced, so that the CCI Delta against the target margin (27%) is calculated accurately"/>
    <n v="4367436"/>
    <s v="Jeba"/>
    <m/>
    <m/>
    <x v="21"/>
    <x v="0"/>
    <m/>
    <x v="0"/>
    <s v="Complex"/>
    <n v="7"/>
    <n v="1"/>
    <n v="7"/>
    <n v="5"/>
    <n v="2"/>
    <n v="7"/>
    <n v="0.8"/>
    <n v="0.8"/>
    <x v="0"/>
    <x v="0"/>
    <s v="Completed"/>
    <s v="Completed"/>
    <n v="45"/>
    <n v="8"/>
    <n v="1"/>
    <n v="9"/>
    <n v="0.5"/>
    <n v="0.6"/>
    <s v="Test Complete"/>
    <n v="9"/>
    <n v="0"/>
    <n v="0"/>
    <n v="0"/>
    <n v="9"/>
    <n v="1"/>
    <n v="1"/>
    <m/>
    <x v="10"/>
    <x v="4"/>
  </r>
  <r>
    <s v="BPMS Onboarding"/>
    <x v="31"/>
    <x v="32"/>
    <x v="2"/>
    <s v="As a BPMS user, I should be able to see only the Operations toggle for the BPMS service group on the Status Update screen so that I can update status only for the Operations service."/>
    <n v="4373589"/>
    <s v="Mahesh"/>
    <m/>
    <m/>
    <x v="26"/>
    <x v="0"/>
    <m/>
    <x v="0"/>
    <s v="Simple"/>
    <n v="3"/>
    <n v="1"/>
    <n v="10"/>
    <n v="4"/>
    <n v="0"/>
    <n v="3"/>
    <n v="0.95"/>
    <n v="0.95"/>
    <x v="0"/>
    <x v="0"/>
    <s v="Completed"/>
    <s v="Completed"/>
    <n v="10"/>
    <n v="3"/>
    <n v="0"/>
    <n v="4"/>
    <n v="0.9"/>
    <n v="0.9"/>
    <s v="Test Complete"/>
    <n v="5"/>
    <n v="0"/>
    <n v="0"/>
    <n v="0"/>
    <n v="5"/>
    <n v="1"/>
    <n v="1"/>
    <m/>
    <x v="0"/>
    <x v="0"/>
  </r>
  <r>
    <s v="BPMS Onboarding"/>
    <x v="32"/>
    <x v="33"/>
    <x v="2"/>
    <s v="As a BPMS User, I should be able to see only four options (Active, Won, Withdrawn, Archive) in the Solution Status dropdown for BPMS stream - Transition Status so that the status selection remains standardized"/>
    <n v="4373604"/>
    <s v="Mahesh"/>
    <m/>
    <m/>
    <x v="26"/>
    <x v="0"/>
    <m/>
    <x v="0"/>
    <s v="Simple"/>
    <n v="8"/>
    <n v="1"/>
    <n v="10"/>
    <n v="8"/>
    <n v="0"/>
    <n v="8"/>
    <n v="0.95"/>
    <n v="0.95"/>
    <x v="0"/>
    <x v="0"/>
    <s v="Completed"/>
    <s v="Completed"/>
    <n v="10"/>
    <n v="8"/>
    <n v="0"/>
    <n v="8"/>
    <n v="0.9"/>
    <n v="0.9"/>
    <s v="Test Complete"/>
    <n v="10"/>
    <n v="0"/>
    <n v="0"/>
    <n v="0"/>
    <n v="10"/>
    <n v="1"/>
    <n v="1"/>
    <m/>
    <x v="0"/>
    <x v="0"/>
  </r>
  <r>
    <s v="BPMS Onboarding"/>
    <x v="14"/>
    <x v="15"/>
    <x v="2"/>
    <s v="As a BPMS stakeholder, I want the auto‑assignment logic during auto insert to use rolled‑up revenue instead of BPMS Net Revenue so that final approvers are selected accurately based on the full deal value."/>
    <n v="4376360"/>
    <s v="Mohamed"/>
    <m/>
    <m/>
    <x v="3"/>
    <x v="1"/>
    <s v="We need to validate with download Final Approval Matrix excel file"/>
    <x v="3"/>
    <m/>
    <m/>
    <m/>
    <m/>
    <m/>
    <m/>
    <m/>
    <m/>
    <m/>
    <x v="0"/>
    <x v="0"/>
    <s v="Completed"/>
    <s v="Completed"/>
    <n v="15"/>
    <n v="8"/>
    <n v="2"/>
    <n v="12"/>
    <n v="0.6"/>
    <n v="0.6"/>
    <s v="Test Complete"/>
    <n v="12"/>
    <n v="0"/>
    <n v="0"/>
    <n v="0"/>
    <n v="12"/>
    <n v="1"/>
    <n v="1"/>
    <m/>
    <x v="15"/>
    <x v="4"/>
  </r>
  <r>
    <s v="BPMS Onboarding"/>
    <x v="14"/>
    <x v="15"/>
    <x v="2"/>
    <s v="As a BPMS User, I should be able to auto‑trigger the FTS email on Define Team save based on opportunity criteria using rolled‑up BPMS revenue for FTS calculation,"/>
    <n v="4378075"/>
    <s v="Sakshi"/>
    <m/>
    <m/>
    <x v="3"/>
    <x v="1"/>
    <s v="Email Functionality"/>
    <x v="5"/>
    <m/>
    <m/>
    <m/>
    <m/>
    <m/>
    <m/>
    <m/>
    <m/>
    <m/>
    <x v="0"/>
    <x v="0"/>
    <s v="Completed"/>
    <s v="Completed"/>
    <n v="6"/>
    <n v="3"/>
    <n v="8"/>
    <n v="8"/>
    <n v="0.5"/>
    <n v="0.5"/>
    <s v="Test Complete"/>
    <n v="8"/>
    <n v="0"/>
    <n v="0"/>
    <n v="0"/>
    <n v="8"/>
    <n v="1"/>
    <n v="1"/>
    <m/>
    <x v="9"/>
    <x v="0"/>
  </r>
  <r>
    <s v="BPMS Onboarding"/>
    <x v="14"/>
    <x v="15"/>
    <x v="2"/>
    <s v="As a BPMS User, I should be able to auto‑trigger the Fast Track Solutioning (FTS) email on WRWS screen save based on opportunity criteria using rolled‑up BPMS revenue for FTS calculation"/>
    <n v="4378418"/>
    <s v="Sakshi"/>
    <m/>
    <m/>
    <x v="3"/>
    <x v="1"/>
    <s v="Email Functionality"/>
    <x v="5"/>
    <m/>
    <m/>
    <m/>
    <m/>
    <m/>
    <m/>
    <m/>
    <m/>
    <m/>
    <x v="0"/>
    <x v="0"/>
    <s v="Completed"/>
    <s v="Completed"/>
    <n v="10"/>
    <n v="5"/>
    <n v="8"/>
    <n v="8"/>
    <n v="0.5"/>
    <n v="0.5"/>
    <s v="Test Complete"/>
    <n v="8"/>
    <n v="0"/>
    <n v="0"/>
    <n v="0"/>
    <n v="8"/>
    <n v="1"/>
    <n v="1"/>
    <m/>
    <x v="1"/>
    <x v="0"/>
  </r>
  <r>
    <s v="BPMS Onboarding"/>
    <x v="14"/>
    <x v="15"/>
    <x v="2"/>
    <s v="As a BPMS User, I should be able to auto‑trigger the Fast Track Solutioning (FTS) email from the Self Assign screen save based on opportunity criteria using rolled‑up BPMS revenue for FTS calculation"/>
    <n v="4378666"/>
    <s v="Sakshi"/>
    <m/>
    <m/>
    <x v="3"/>
    <x v="1"/>
    <s v="Email Functionality"/>
    <x v="5"/>
    <m/>
    <m/>
    <m/>
    <m/>
    <m/>
    <m/>
    <m/>
    <m/>
    <m/>
    <x v="0"/>
    <x v="0"/>
    <s v="Completed"/>
    <s v="Completed"/>
    <n v="10"/>
    <n v="5"/>
    <n v="8"/>
    <n v="8"/>
    <n v="0.5"/>
    <n v="0.5"/>
    <s v="Test Complete"/>
    <n v="8"/>
    <n v="0"/>
    <n v="0"/>
    <n v="0"/>
    <n v="8"/>
    <n v="1"/>
    <n v="1"/>
    <m/>
    <x v="8"/>
    <x v="0"/>
  </r>
  <r>
    <s v="BPMS Onboarding"/>
    <x v="14"/>
    <x v="15"/>
    <x v="2"/>
    <s v="As a BPMS User, I should be able to view and update the FTS toggle based on defined criteria using rolled‑up BPMS revenue, with the ability to manually override when required, so that system compliance is ensured."/>
    <n v="4378825"/>
    <s v="Sakshi"/>
    <m/>
    <m/>
    <x v="3"/>
    <x v="1"/>
    <s v="Email Functionality"/>
    <x v="5"/>
    <m/>
    <m/>
    <m/>
    <m/>
    <m/>
    <m/>
    <m/>
    <m/>
    <m/>
    <x v="0"/>
    <x v="0"/>
    <s v="Completed"/>
    <s v="Completed"/>
    <n v="10"/>
    <n v="5"/>
    <n v="4"/>
    <n v="4"/>
    <n v="0.5"/>
    <n v="0.5"/>
    <s v="Test Complete"/>
    <n v="4"/>
    <n v="0"/>
    <n v="0"/>
    <n v="0"/>
    <n v="4"/>
    <n v="1"/>
    <n v="1"/>
    <m/>
    <x v="10"/>
    <x v="4"/>
  </r>
  <r>
    <s v="CDAT Auto-mailers"/>
    <x v="33"/>
    <x v="34"/>
    <x v="3"/>
    <s v="As a mySolution Planner user, I want to view the auto mailers get triggered for deals with no solution ID updates to flow into CDAT process, so that there is a seamless flow"/>
    <n v="4392689"/>
    <s v="Pavithra"/>
    <s v="Sowndarya"/>
    <m/>
    <x v="3"/>
    <x v="1"/>
    <s v="Mailer scenario"/>
    <x v="5"/>
    <m/>
    <m/>
    <m/>
    <m/>
    <m/>
    <m/>
    <m/>
    <m/>
    <m/>
    <x v="0"/>
    <x v="0"/>
    <s v="Completed"/>
    <s v="Completed"/>
    <n v="47"/>
    <n v="14"/>
    <n v="0"/>
    <n v="14"/>
    <n v="1"/>
    <m/>
    <s v="Test Complete"/>
    <n v="14"/>
    <n v="0"/>
    <n v="0"/>
    <n v="0"/>
    <n v="14"/>
    <n v="1"/>
    <n v="1"/>
    <m/>
    <x v="9"/>
    <x v="0"/>
  </r>
  <r>
    <s v="CDAT Auto-mailers"/>
    <x v="33"/>
    <x v="34"/>
    <x v="3"/>
    <s v="As a CDAT user, I want to send out the first reminder mail for MMS Stage 3_ Multi tower so that acceptance criteria are achieved."/>
    <n v="4392716"/>
    <s v="Sowndarya"/>
    <s v="Pavithra"/>
    <m/>
    <x v="3"/>
    <x v="1"/>
    <s v="Mailer scenario"/>
    <x v="5"/>
    <m/>
    <m/>
    <m/>
    <m/>
    <m/>
    <m/>
    <m/>
    <m/>
    <m/>
    <x v="0"/>
    <x v="0"/>
    <s v="Completed"/>
    <s v="Completed"/>
    <n v="40"/>
    <n v="18"/>
    <n v="0"/>
    <n v="18"/>
    <n v="1"/>
    <m/>
    <s v="PT In Test"/>
    <n v="17"/>
    <n v="0"/>
    <n v="0"/>
    <n v="0"/>
    <n v="17"/>
    <n v="1"/>
    <n v="1"/>
    <m/>
    <x v="9"/>
    <x v="0"/>
  </r>
  <r>
    <s v="CDAT"/>
    <x v="34"/>
    <x v="35"/>
    <x v="3"/>
    <s v="As a CDAT user, I want to send out the second reminder mail for MMS Stage 3_ Multi tower so that acceptance criteria are achieved."/>
    <n v="4373916"/>
    <s v="Aldrin"/>
    <s v="Komal"/>
    <m/>
    <x v="3"/>
    <x v="1"/>
    <s v="Gen AI cannot be automated"/>
    <x v="9"/>
    <m/>
    <m/>
    <m/>
    <m/>
    <m/>
    <m/>
    <m/>
    <m/>
    <m/>
    <x v="0"/>
    <x v="0"/>
    <s v="Completed"/>
    <s v="Completed"/>
    <n v="56"/>
    <n v="6"/>
    <n v="0"/>
    <n v="6"/>
    <n v="1"/>
    <n v="0.9"/>
    <s v="UAT In Test"/>
    <n v="6"/>
    <n v="0"/>
    <n v="0"/>
    <n v="0"/>
    <n v="6"/>
    <n v="1"/>
    <n v="1"/>
    <m/>
    <x v="18"/>
    <x v="5"/>
  </r>
  <r>
    <s v="CDAT"/>
    <x v="34"/>
    <x v="35"/>
    <x v="3"/>
    <s v="SI-As a myISP user, I want Areas and Sub-Areas in the CDAT Online Platform to be mapped with Gen-AI Nudges and Sub-Nudges, So that Gen-AI findings can be accurately classified, auto-converted into gaps, and placed under the correct Service Group."/>
    <n v="4373918"/>
    <s v="Aldrin"/>
    <s v="Komal"/>
    <m/>
    <x v="3"/>
    <x v="1"/>
    <s v="Gen AI cannot be automated"/>
    <x v="9"/>
    <m/>
    <m/>
    <m/>
    <m/>
    <m/>
    <m/>
    <m/>
    <m/>
    <m/>
    <x v="0"/>
    <x v="0"/>
    <s v="Completed"/>
    <s v="Completed"/>
    <n v="58"/>
    <n v="5"/>
    <n v="0"/>
    <n v="5"/>
    <n v="1"/>
    <n v="0.9"/>
    <s v="UAT In Test"/>
    <n v="5"/>
    <n v="0"/>
    <n v="0"/>
    <n v="0"/>
    <n v="5"/>
    <n v="1"/>
    <n v="1"/>
    <m/>
    <x v="18"/>
    <x v="5"/>
  </r>
  <r>
    <s v="CDAT"/>
    <x v="34"/>
    <x v="35"/>
    <x v="3"/>
    <s v="AMS-As a myISP user, I want Areas and Sub-Areas in the CDAT Online Platform to be mapped with Gen-AI Nudges and Sub-Nudges, So that Gen-AI findings can be accurately classified, auto-converted into gaps, and placed under the correct Service Group."/>
    <n v="4373922"/>
    <s v="Aldrin"/>
    <s v="Komal"/>
    <m/>
    <x v="3"/>
    <x v="1"/>
    <s v="Gen AI cannot be automated"/>
    <x v="9"/>
    <m/>
    <m/>
    <m/>
    <m/>
    <m/>
    <m/>
    <m/>
    <m/>
    <m/>
    <x v="0"/>
    <x v="0"/>
    <s v="Completed"/>
    <s v="Completed"/>
    <n v="58"/>
    <n v="4"/>
    <n v="1"/>
    <n v="5"/>
    <n v="0.8"/>
    <n v="0.9"/>
    <s v="UAT In Test"/>
    <n v="5"/>
    <n v="0"/>
    <n v="0"/>
    <n v="0"/>
    <n v="5"/>
    <n v="1"/>
    <n v="1"/>
    <m/>
    <x v="18"/>
    <x v="5"/>
  </r>
  <r>
    <s v="CDAT "/>
    <x v="35"/>
    <x v="36"/>
    <x v="3"/>
    <s v="IMS-As a myISP user, I want Areas and Sub-Areas in the CDAT Online Platform to be mapped with Gen-AI Nudges and Sub-Nudges,So that Gen-AI findings can be accurately classified, auto-converted into gaps, and placed under the correct Service Group."/>
    <n v="4392685"/>
    <s v="Pavithra"/>
    <s v="Sowndarya"/>
    <m/>
    <x v="3"/>
    <x v="1"/>
    <s v="Multiple Roles and Screens dependency"/>
    <x v="1"/>
    <m/>
    <m/>
    <m/>
    <m/>
    <m/>
    <m/>
    <m/>
    <m/>
    <m/>
    <x v="0"/>
    <x v="0"/>
    <s v="Completed"/>
    <s v="Completed"/>
    <n v="56"/>
    <n v="11"/>
    <n v="0"/>
    <n v="11"/>
    <n v="1"/>
    <m/>
    <s v="Test Complete"/>
    <n v="11"/>
    <n v="0"/>
    <n v="0"/>
    <n v="0"/>
    <n v="11"/>
    <n v="1"/>
    <n v="1"/>
    <m/>
    <x v="18"/>
    <x v="5"/>
  </r>
  <r>
    <s v="Role Rename"/>
    <x v="6"/>
    <x v="6"/>
    <x v="3"/>
    <s v="As a CDAT user, I want the tooltip text displayed on the Assessment outcome screen to remain visible as long as the user in that place So that I can clearly read, understand gap details."/>
    <n v="4391372"/>
    <s v="Aldrin"/>
    <s v="Komal"/>
    <m/>
    <x v="3"/>
    <x v="1"/>
    <s v="Multiple Roles and Screens dependency"/>
    <x v="1"/>
    <m/>
    <m/>
    <m/>
    <m/>
    <m/>
    <m/>
    <m/>
    <m/>
    <m/>
    <x v="0"/>
    <x v="0"/>
    <s v="Completed"/>
    <s v="Completed"/>
    <n v="56"/>
    <n v="5"/>
    <n v="0"/>
    <n v="5"/>
    <n v="1"/>
    <n v="0.9"/>
    <s v="UAT In Test"/>
    <n v="5"/>
    <n v="0"/>
    <n v="0"/>
    <n v="0"/>
    <n v="5"/>
    <n v="1"/>
    <n v="1"/>
    <m/>
    <x v="18"/>
    <x v="5"/>
  </r>
  <r>
    <s v="CDAT "/>
    <x v="35"/>
    <x v="36"/>
    <x v="3"/>
    <s v="Impact Check: As a Myisp user, I want the role &quot;Enterprise SA&quot; to be renamed to &quot;Market Maker ESA&quot; in myISP So that the role name clearly reflects the Market Make ESA in &quot;Solution to Contract Analysis&quot;"/>
    <n v="4392316"/>
    <s v="Sowndarya"/>
    <s v="Komal"/>
    <m/>
    <x v="3"/>
    <x v="1"/>
    <s v="Multiple Roles and Screens dependency"/>
    <x v="1"/>
    <m/>
    <m/>
    <m/>
    <m/>
    <m/>
    <m/>
    <m/>
    <m/>
    <m/>
    <x v="0"/>
    <x v="0"/>
    <s v="Completed"/>
    <s v="Completed"/>
    <n v="60"/>
    <n v="22"/>
    <n v="0"/>
    <n v="22"/>
    <n v="1"/>
    <n v="0.9"/>
    <s v="Test Complete"/>
    <n v="22"/>
    <n v="0"/>
    <n v="0"/>
    <n v="0"/>
    <n v="22"/>
    <n v="1"/>
    <n v="1"/>
    <m/>
    <x v="18"/>
    <x v="5"/>
  </r>
  <r>
    <s v="CDAT"/>
    <x v="36"/>
    <x v="37"/>
    <x v="3"/>
    <s v="As a CDAT user, I want to select a GCC classification from a predefined dropdown list while updating the tracker tab So that GCC engagement information is consistently captured"/>
    <n v="4358329"/>
    <s v="Aldrin"/>
    <s v="Komal"/>
    <m/>
    <x v="3"/>
    <x v="1"/>
    <s v="Regression based"/>
    <x v="4"/>
    <m/>
    <m/>
    <m/>
    <m/>
    <m/>
    <m/>
    <m/>
    <m/>
    <m/>
    <x v="0"/>
    <x v="0"/>
    <s v="Completed"/>
    <s v="Completed"/>
    <n v="30"/>
    <n v="6"/>
    <n v="0"/>
    <n v="6"/>
    <n v="1"/>
    <n v="0.9"/>
    <s v="Test Complete"/>
    <n v="6"/>
    <n v="0"/>
    <n v="0"/>
    <n v="0"/>
    <n v="6"/>
    <n v="1"/>
    <n v="1"/>
    <m/>
    <x v="1"/>
    <x v="0"/>
  </r>
  <r>
    <s v="CDAT Auto-mailers"/>
    <x v="33"/>
    <x v="34"/>
    <x v="3"/>
    <s v="As a CDAT Lead, I want to access only Contract Gap Analyis tab so that Acceptance Criteria are achieved."/>
    <n v="4349408"/>
    <s v="Pavithra"/>
    <s v="Sowndarya"/>
    <m/>
    <x v="3"/>
    <x v="1"/>
    <s v="Mailer scenario"/>
    <x v="5"/>
    <m/>
    <m/>
    <m/>
    <m/>
    <m/>
    <m/>
    <m/>
    <m/>
    <m/>
    <x v="0"/>
    <x v="0"/>
    <s v="Completed"/>
    <s v="Completed"/>
    <n v="40"/>
    <n v="13"/>
    <n v="0"/>
    <n v="13"/>
    <n v="1"/>
    <m/>
    <s v="PT In Test"/>
    <n v="12"/>
    <n v="0"/>
    <n v="0"/>
    <n v="0"/>
    <n v="12"/>
    <n v="1"/>
    <n v="1"/>
    <m/>
    <x v="9"/>
    <x v="0"/>
  </r>
  <r>
    <s v="CDAT Auto-mailers"/>
    <x v="33"/>
    <x v="34"/>
    <x v="3"/>
    <s v="As a CDAT user, I want to check the condition to send out the reminder mail so that acceptance criteria are achieved."/>
    <n v="4349409"/>
    <s v="Sowndarya"/>
    <s v="Pavithra"/>
    <m/>
    <x v="3"/>
    <x v="1"/>
    <s v="Mailer scenario"/>
    <x v="5"/>
    <m/>
    <m/>
    <m/>
    <m/>
    <m/>
    <m/>
    <m/>
    <m/>
    <m/>
    <x v="0"/>
    <x v="0"/>
    <s v="Completed"/>
    <s v="Completed"/>
    <n v="30"/>
    <n v="22"/>
    <n v="0"/>
    <n v="22"/>
    <n v="1"/>
    <m/>
    <s v="Test Complete"/>
    <n v="22"/>
    <n v="0"/>
    <n v="0"/>
    <n v="0"/>
    <n v="22"/>
    <n v="1"/>
    <n v="1"/>
    <m/>
    <x v="9"/>
    <x v="0"/>
  </r>
  <r>
    <s v="CDAT Auto-mailers"/>
    <x v="33"/>
    <x v="34"/>
    <x v="3"/>
    <s v="As a CDAT user, I want to send out the first reminder mail so that acceptance criteria are achieved."/>
    <n v="4349500"/>
    <s v="Pavithra"/>
    <s v="Sowndarya"/>
    <m/>
    <x v="3"/>
    <x v="1"/>
    <s v="Mailer scenario"/>
    <x v="5"/>
    <m/>
    <m/>
    <m/>
    <m/>
    <m/>
    <m/>
    <m/>
    <m/>
    <m/>
    <x v="0"/>
    <x v="0"/>
    <s v="Completed"/>
    <s v="Completed"/>
    <n v="50"/>
    <n v="17"/>
    <n v="0"/>
    <n v="17"/>
    <n v="1"/>
    <m/>
    <s v="PT In Test"/>
    <n v="14"/>
    <n v="0"/>
    <n v="0"/>
    <n v="0"/>
    <n v="14"/>
    <n v="1"/>
    <n v="1"/>
    <m/>
    <x v="9"/>
    <x v="0"/>
  </r>
  <r>
    <s v="CDAT Auto-mailers"/>
    <x v="33"/>
    <x v="34"/>
    <x v="3"/>
    <s v="As a CDAT user, I want to send out the Second reminder mail so that acceptance criteria are achieved."/>
    <n v="4349598"/>
    <s v="Sowndarya"/>
    <s v="Pavithra"/>
    <m/>
    <x v="3"/>
    <x v="1"/>
    <s v="Mailer scenario"/>
    <x v="5"/>
    <m/>
    <m/>
    <m/>
    <m/>
    <m/>
    <m/>
    <m/>
    <m/>
    <m/>
    <x v="0"/>
    <x v="0"/>
    <s v="Completed"/>
    <s v="Completed"/>
    <n v="40"/>
    <n v="14"/>
    <n v="0"/>
    <n v="14"/>
    <n v="1"/>
    <m/>
    <s v="Test Complete"/>
    <n v="14"/>
    <n v="0"/>
    <n v="0"/>
    <n v="0"/>
    <n v="14"/>
    <n v="1"/>
    <n v="1"/>
    <m/>
    <x v="9"/>
    <x v="0"/>
  </r>
  <r>
    <s v="CDAT Auto-mailers"/>
    <x v="33"/>
    <x v="34"/>
    <x v="3"/>
    <s v="As a CDAT user, I want to send out the appropriate mail template based the dropdown selected so that acceptance criteria are achieved."/>
    <n v="4355655"/>
    <s v="Shiva"/>
    <s v="Komal"/>
    <m/>
    <x v="3"/>
    <x v="1"/>
    <s v="Mailer scenario"/>
    <x v="5"/>
    <m/>
    <m/>
    <m/>
    <m/>
    <m/>
    <m/>
    <m/>
    <m/>
    <m/>
    <x v="0"/>
    <x v="0"/>
    <s v="Completed"/>
    <s v="Completed"/>
    <n v="50"/>
    <n v="10"/>
    <n v="0"/>
    <n v="10"/>
    <n v="1"/>
    <m/>
    <s v="Test Complete"/>
    <n v="10"/>
    <n v="0"/>
    <n v="0"/>
    <n v="0"/>
    <n v="10"/>
    <n v="1"/>
    <n v="1"/>
    <m/>
    <x v="18"/>
    <x v="5"/>
  </r>
  <r>
    <s v="CDAT Auto-mailers"/>
    <x v="33"/>
    <x v="34"/>
    <x v="3"/>
    <s v="As a CDAT PMO, I want to automatically send reminders and escalations after an initial CDAT automailer, based on deal date type, radar windows, deal status, and PMO selections-Dropdown1 &amp; Dropdown2 so that acceptance criteria are achieved."/>
    <n v="4371407"/>
    <s v="Pavithra"/>
    <s v="Sowndarya"/>
    <m/>
    <x v="3"/>
    <x v="1"/>
    <s v="Mailer scenario"/>
    <x v="5"/>
    <m/>
    <m/>
    <m/>
    <m/>
    <m/>
    <m/>
    <m/>
    <m/>
    <m/>
    <x v="0"/>
    <x v="0"/>
    <s v="Completed"/>
    <s v="Completed"/>
    <n v="56"/>
    <n v="23"/>
    <n v="0"/>
    <n v="23"/>
    <n v="1"/>
    <m/>
    <s v="PT In Test"/>
    <n v="21"/>
    <n v="0"/>
    <n v="0"/>
    <n v="0"/>
    <n v="21"/>
    <n v="1"/>
    <n v="1"/>
    <m/>
    <x v="18"/>
    <x v="5"/>
  </r>
  <r>
    <s v="Auto-mailers"/>
    <x v="37"/>
    <x v="38"/>
    <x v="3"/>
    <s v="As a CDAT user, I want to have table columns to track the reminder mail 1,2 and escalation so that acceptance criteria are achieved."/>
    <n v="4315742"/>
    <s v="Sowndarya"/>
    <s v="Pavithra"/>
    <m/>
    <x v="3"/>
    <x v="1"/>
    <s v="Excel validation required"/>
    <x v="3"/>
    <m/>
    <m/>
    <m/>
    <m/>
    <m/>
    <m/>
    <m/>
    <m/>
    <m/>
    <x v="0"/>
    <x v="0"/>
    <s v="Completed"/>
    <s v="Completed"/>
    <n v="50"/>
    <n v="21"/>
    <n v="0"/>
    <n v="21"/>
    <n v="1"/>
    <n v="0.9"/>
    <s v="Test Complete"/>
    <n v="21"/>
    <n v="0"/>
    <n v="0"/>
    <n v="0"/>
    <n v="21"/>
    <n v="1"/>
    <n v="1"/>
    <m/>
    <x v="18"/>
    <x v="5"/>
  </r>
  <r>
    <s v="CDAT"/>
    <x v="37"/>
    <x v="38"/>
    <x v="3"/>
    <s v="As a CDAT PMO, I want to view the integration of PMO Dashboard and CDAT so that acceptance criteria are achieved."/>
    <n v="4163203"/>
    <s v="Pavithra"/>
    <s v="Sowndarya"/>
    <m/>
    <x v="3"/>
    <x v="1"/>
    <s v="Mailer scenario"/>
    <x v="5"/>
    <m/>
    <m/>
    <m/>
    <m/>
    <m/>
    <m/>
    <m/>
    <m/>
    <m/>
    <x v="0"/>
    <x v="0"/>
    <s v="Completed"/>
    <s v="Completed"/>
    <n v="44"/>
    <n v="18"/>
    <n v="0"/>
    <n v="18"/>
    <n v="1"/>
    <m/>
    <s v="Test Complete"/>
    <n v="18"/>
    <n v="0"/>
    <n v="0"/>
    <n v="0"/>
    <n v="18"/>
    <n v="1"/>
    <n v="1"/>
    <m/>
    <x v="18"/>
    <x v="5"/>
  </r>
  <r>
    <s v="CDAT "/>
    <x v="38"/>
    <x v="39"/>
    <x v="3"/>
    <s v="As a CDAT PMO, I want to automatically send reminders and escalations after an initial CDAT automailer, based on deal date type, radar windows, deal status, and PMO selections-Dropdown1 &amp; Dropdown2 so that acceptance criteria are achieved. - Copy"/>
    <n v="4167987"/>
    <s v="Sowndarya"/>
    <s v="Pavithra"/>
    <m/>
    <x v="3"/>
    <x v="1"/>
    <s v="Excel validation required"/>
    <x v="3"/>
    <m/>
    <m/>
    <m/>
    <m/>
    <m/>
    <m/>
    <m/>
    <m/>
    <m/>
    <x v="0"/>
    <x v="0"/>
    <s v="Completed"/>
    <s v="Completed"/>
    <n v="26"/>
    <n v="18"/>
    <n v="0"/>
    <n v="18"/>
    <n v="1"/>
    <n v="0.95"/>
    <s v="Test Complete"/>
    <n v="18"/>
    <n v="0"/>
    <n v="0"/>
    <n v="0"/>
    <n v="18"/>
    <n v="1"/>
    <n v="1"/>
    <m/>
    <x v="18"/>
    <x v="5"/>
  </r>
  <r>
    <s v="DFD-myISP"/>
    <x v="18"/>
    <x v="19"/>
    <x v="4"/>
    <s v="Song Compliant Logic Update [PLD] - As a myISP User, I want to update the Song Compliance Status logic popup in PLD screen in the Opportunities screen, so that users can quickly assess the compliance health of each deal."/>
    <n v="4174505"/>
    <s v="Uma"/>
    <s v="Karpagrpiya"/>
    <m/>
    <x v="3"/>
    <x v="1"/>
    <s v="Data validation"/>
    <x v="8"/>
    <m/>
    <m/>
    <m/>
    <m/>
    <m/>
    <m/>
    <m/>
    <m/>
    <m/>
    <x v="0"/>
    <x v="0"/>
    <s v="Completed"/>
    <s v="Completed"/>
    <n v="64"/>
    <n v="28"/>
    <n v="31"/>
    <n v="31"/>
    <n v="0.7"/>
    <n v="0.6"/>
    <s v="UAT In Test"/>
    <n v="31"/>
    <n v="0"/>
    <n v="0"/>
    <n v="0"/>
    <n v="31"/>
    <n v="1"/>
    <n v="1"/>
    <s v="Delivered To UAT"/>
    <x v="11"/>
    <x v="4"/>
  </r>
  <r>
    <s v="DFD-myISP"/>
    <x v="18"/>
    <x v="19"/>
    <x v="4"/>
    <s v="Song Compliant Logic Update[PLD] - As a myISP User, I want to provide onetime update for the existing deals and update the RAG , Score as per updated Song Compliance Logic so that all historical and active deals reflect accurate compliance status"/>
    <n v="4266636"/>
    <s v="Sangeetha"/>
    <s v="VishnuPriya"/>
    <m/>
    <x v="3"/>
    <x v="1"/>
    <s v="This user story is one time update US where we need to compare datas using excel sheet. So, this cannot be automated"/>
    <x v="3"/>
    <m/>
    <m/>
    <m/>
    <m/>
    <m/>
    <m/>
    <m/>
    <m/>
    <m/>
    <x v="0"/>
    <x v="0"/>
    <s v="Completed"/>
    <s v="Completed"/>
    <n v="28"/>
    <n v="14"/>
    <n v="18"/>
    <n v="18"/>
    <n v="0.77"/>
    <n v="0.5"/>
    <s v="UAT In Test"/>
    <n v="18"/>
    <n v="0"/>
    <n v="0"/>
    <n v="0"/>
    <n v="18"/>
    <n v="1"/>
    <n v="1"/>
    <m/>
    <x v="11"/>
    <x v="4"/>
  </r>
  <r>
    <s v="DFD"/>
    <x v="39"/>
    <x v="40"/>
    <x v="4"/>
    <s v="As a DFD Requestor, I should get the updated routing logic for Captive DLs based on the campaign name in Technology SA request"/>
    <n v="4316367"/>
    <s v="Manjunath"/>
    <s v="Anusha"/>
    <m/>
    <x v="3"/>
    <x v="1"/>
    <s v="Email related"/>
    <x v="5"/>
    <m/>
    <m/>
    <m/>
    <m/>
    <m/>
    <m/>
    <m/>
    <m/>
    <m/>
    <x v="0"/>
    <x v="0"/>
    <s v="Completed"/>
    <s v="Completed"/>
    <n v="30"/>
    <n v="13"/>
    <n v="33"/>
    <n v="33"/>
    <n v="0.4"/>
    <n v="0.5"/>
    <s v="Test Complete"/>
    <n v="33"/>
    <n v="0"/>
    <n v="0"/>
    <n v="0"/>
    <n v="33"/>
    <n v="1"/>
    <n v="1"/>
    <m/>
    <x v="19"/>
    <x v="4"/>
  </r>
  <r>
    <s v="DFD"/>
    <x v="40"/>
    <x v="41"/>
    <x v="4"/>
    <s v="As a DFD user, I should get updated routing logic for SC.GlobalNetwork.Platform.SAP.SA DL"/>
    <n v="4328943"/>
    <s v="Manjunath"/>
    <s v="Anusha"/>
    <m/>
    <x v="3"/>
    <x v="1"/>
    <s v="Email related"/>
    <x v="5"/>
    <m/>
    <m/>
    <m/>
    <m/>
    <m/>
    <m/>
    <m/>
    <m/>
    <m/>
    <x v="0"/>
    <x v="0"/>
    <s v="Completed"/>
    <s v="Completed"/>
    <n v="25"/>
    <n v="5"/>
    <n v="10"/>
    <n v="10"/>
    <n v="0.5"/>
    <n v="0.45"/>
    <s v="Test Complete"/>
    <n v="10"/>
    <n v="0"/>
    <n v="0"/>
    <n v="0"/>
    <n v="10"/>
    <n v="1"/>
    <n v="1"/>
    <m/>
    <x v="19"/>
    <x v="4"/>
  </r>
  <r>
    <s v="DFD"/>
    <x v="40"/>
    <x v="41"/>
    <x v="4"/>
    <s v="As a DFD user, I should get, GenWiz_sa_assignment@accenture.com DL added in Automation and Gen AI SME routing logic"/>
    <n v="4342214"/>
    <s v="Anusha"/>
    <s v="Manjunath"/>
    <m/>
    <x v="3"/>
    <x v="1"/>
    <s v="Email related User stories"/>
    <x v="5"/>
    <m/>
    <m/>
    <m/>
    <m/>
    <m/>
    <m/>
    <m/>
    <m/>
    <m/>
    <x v="0"/>
    <x v="0"/>
    <s v="Completed"/>
    <s v="Completed"/>
    <n v="43"/>
    <n v="10"/>
    <n v="13"/>
    <n v="13"/>
    <n v="0.76919999999999999"/>
    <n v="0.65"/>
    <s v="Test Complete"/>
    <n v="13"/>
    <n v="0"/>
    <n v="0"/>
    <n v="0"/>
    <n v="13"/>
    <n v="1"/>
    <n v="1"/>
    <m/>
    <x v="19"/>
    <x v="4"/>
  </r>
  <r>
    <s v="DFD"/>
    <x v="40"/>
    <x v="41"/>
    <x v="4"/>
    <s v="As a DFD requestor, I should get the updated year as 2025-2026 in all DFD mails"/>
    <n v="4350042"/>
    <s v="Anusha"/>
    <s v="Manjunath"/>
    <m/>
    <x v="3"/>
    <x v="1"/>
    <s v="Email related User stories"/>
    <x v="5"/>
    <m/>
    <m/>
    <m/>
    <m/>
    <m/>
    <m/>
    <m/>
    <m/>
    <m/>
    <x v="0"/>
    <x v="0"/>
    <s v="Completed"/>
    <s v="Completed"/>
    <n v="47"/>
    <n v="11"/>
    <n v="12"/>
    <n v="12"/>
    <n v="0.91"/>
    <n v="0.7"/>
    <s v="Test Complete"/>
    <n v="12"/>
    <n v="0"/>
    <n v="0"/>
    <n v="0"/>
    <n v="12"/>
    <n v="1"/>
    <n v="1"/>
    <m/>
    <x v="19"/>
    <x v="4"/>
  </r>
  <r>
    <s v="DFD-myISP"/>
    <x v="18"/>
    <x v="19"/>
    <x v="4"/>
    <s v="Song Compliant Logic Update - As a Overall Song Delivery Approver , I want to access the Define Team tile in read-only mode and navigate using the fixed breadcrumb path so that I can maintain workflow continuity."/>
    <n v="4361793"/>
    <s v="Uma"/>
    <s v="Karpagrpiya"/>
    <m/>
    <x v="27"/>
    <x v="0"/>
    <m/>
    <x v="0"/>
    <s v="Medium"/>
    <n v="1"/>
    <n v="1"/>
    <n v="3"/>
    <n v="1"/>
    <n v="5"/>
    <n v="5"/>
    <n v="0.2"/>
    <n v="0.6"/>
    <x v="0"/>
    <x v="0"/>
    <s v="Completed"/>
    <s v="Completed"/>
    <n v="32"/>
    <n v="4"/>
    <n v="5"/>
    <n v="5"/>
    <n v="0.8"/>
    <n v="0.7"/>
    <s v="UAT In Test"/>
    <n v="5"/>
    <n v="0"/>
    <n v="0"/>
    <n v="0"/>
    <n v="5"/>
    <n v="1"/>
    <n v="1"/>
    <s v="Delivered To UAT"/>
    <x v="9"/>
    <x v="0"/>
  </r>
  <r>
    <s v="DFD-myISP"/>
    <x v="18"/>
    <x v="19"/>
    <x v="4"/>
    <s v="Song Compliant Logic Update - As a Overall Song Delivery Approver , I want to access the WRWS tile in read-only mode and navigate using the fixed breadcrumb path so that I can maintain workflow continuity."/>
    <n v="4361795"/>
    <s v="VishnuPriya"/>
    <s v="Sangeetha"/>
    <m/>
    <x v="28"/>
    <x v="0"/>
    <m/>
    <x v="0"/>
    <s v="Medium"/>
    <n v="6"/>
    <n v="1"/>
    <n v="8"/>
    <n v="6"/>
    <n v="8"/>
    <n v="8"/>
    <n v="0.75"/>
    <n v="0.9"/>
    <x v="0"/>
    <x v="0"/>
    <s v="Completed"/>
    <s v="Completed"/>
    <n v="22"/>
    <n v="6"/>
    <n v="8"/>
    <n v="8"/>
    <n v="0.75"/>
    <n v="0.8"/>
    <s v="UAT In Test"/>
    <n v="8"/>
    <n v="0"/>
    <n v="0"/>
    <n v="0"/>
    <n v="8"/>
    <n v="1"/>
    <n v="1"/>
    <m/>
    <x v="1"/>
    <x v="0"/>
  </r>
  <r>
    <s v="DFD-myISP"/>
    <x v="18"/>
    <x v="19"/>
    <x v="4"/>
    <s v="Song Compliant Logic Update - As a Overall Song Delivery Approver ,I want to access the Digital Documentation tile in read-only mode and navigate using the fixed breadcrumb path so that I can maintain workflow continuity."/>
    <n v="4361796"/>
    <s v="Manjunath"/>
    <s v="Anusha"/>
    <m/>
    <x v="29"/>
    <x v="0"/>
    <m/>
    <x v="0"/>
    <s v="Medium"/>
    <n v="1"/>
    <n v="1"/>
    <n v="6"/>
    <n v="5"/>
    <n v="0"/>
    <n v="1"/>
    <n v="0.9"/>
    <n v="0.8"/>
    <x v="0"/>
    <x v="0"/>
    <s v="Completed"/>
    <s v="Completed"/>
    <n v="48"/>
    <n v="10"/>
    <n v="16"/>
    <n v="16"/>
    <n v="0.45"/>
    <n v="0.55000000000000004"/>
    <s v="UAT In Test"/>
    <n v="16"/>
    <n v="0"/>
    <n v="0"/>
    <n v="0"/>
    <n v="16"/>
    <n v="1"/>
    <n v="1"/>
    <m/>
    <x v="20"/>
    <x v="5"/>
  </r>
  <r>
    <s v="DFD-myISP"/>
    <x v="18"/>
    <x v="19"/>
    <x v="4"/>
    <s v="Song Compliant Logic Update - As a Overall Song Delivery Approver I want to access the AMS Solution Components tile in read-only mode and navigate using the fixed breadcrumb path so that I can maintain workflow continuity."/>
    <n v="4361798"/>
    <s v="VishnuPriya"/>
    <s v="Sangeetha"/>
    <m/>
    <x v="3"/>
    <x v="1"/>
    <s v="As we have 15+ screens and n no. of sub tabs and lengthy to Automate so we are not taking this US for insprint and need to consider for Regression"/>
    <x v="1"/>
    <m/>
    <m/>
    <m/>
    <m/>
    <m/>
    <m/>
    <m/>
    <m/>
    <m/>
    <x v="0"/>
    <x v="0"/>
    <s v="Completed"/>
    <s v="Completed"/>
    <n v="52"/>
    <n v="6"/>
    <n v="7"/>
    <n v="7"/>
    <n v="0.85"/>
    <n v="0.6"/>
    <s v="UAT In Test"/>
    <n v="7"/>
    <n v="0"/>
    <n v="0"/>
    <n v="0"/>
    <n v="7"/>
    <n v="1"/>
    <n v="1"/>
    <m/>
    <x v="6"/>
    <x v="2"/>
  </r>
  <r>
    <s v="DFD-myISP"/>
    <x v="18"/>
    <x v="19"/>
    <x v="4"/>
    <s v="Song Compliant Logic Update - As a Overall Song Delivery Approver, I want to access the SI Solution Components tile in read-only mode and navigate using the fixed breadcrumb path so that I can maintain workflow continuity."/>
    <n v="4361800"/>
    <s v="Logapriya"/>
    <s v="Harish"/>
    <m/>
    <x v="3"/>
    <x v="1"/>
    <s v="As we have many screens and no. of sub tabs and lengthy to Automate so we are not taking this US for insprint and need to consider for Regression"/>
    <x v="1"/>
    <m/>
    <m/>
    <m/>
    <m/>
    <m/>
    <m/>
    <m/>
    <m/>
    <m/>
    <x v="0"/>
    <x v="0"/>
    <s v="Completed"/>
    <s v="Completed"/>
    <n v="51"/>
    <n v="13"/>
    <n v="15"/>
    <n v="15"/>
    <n v="0.87"/>
    <n v="0.85"/>
    <s v="UAT In Test"/>
    <n v="8"/>
    <n v="0"/>
    <n v="0"/>
    <n v="0"/>
    <n v="8"/>
    <n v="1"/>
    <n v="1"/>
    <m/>
    <x v="17"/>
    <x v="6"/>
  </r>
  <r>
    <s v="DFD-myISP"/>
    <x v="18"/>
    <x v="19"/>
    <x v="4"/>
    <s v="Song Compliant Logic Update - As a Overall Song Delivery Approver, I want to access the Value Shaping tile in read-only mode and navigate using the fixed breadcrumb path so that I can maintain workflow continuity."/>
    <n v="4361804"/>
    <s v="Harish"/>
    <s v="Logapriya"/>
    <m/>
    <x v="30"/>
    <x v="0"/>
    <m/>
    <x v="0"/>
    <s v="Medium"/>
    <m/>
    <n v="1"/>
    <n v="8"/>
    <n v="6"/>
    <n v="0"/>
    <n v="7"/>
    <n v="0.9"/>
    <n v="0.9"/>
    <x v="0"/>
    <x v="0"/>
    <s v="Completed"/>
    <s v="Completed"/>
    <n v="51"/>
    <n v="13"/>
    <n v="15"/>
    <n v="15"/>
    <n v="0.87"/>
    <n v="0.85"/>
    <s v="UAT In Test"/>
    <n v="15"/>
    <n v="0"/>
    <n v="0"/>
    <n v="0"/>
    <n v="15"/>
    <n v="1"/>
    <n v="1"/>
    <m/>
    <x v="4"/>
    <x v="1"/>
  </r>
  <r>
    <s v="DFD-myISP"/>
    <x v="18"/>
    <x v="19"/>
    <x v="4"/>
    <s v="Song Compliant Logic Update - As a Overall Song Delivery Approver I want to access the Transition To Delivery tile in read-only mode and navigate using the fixed breadcrumb path so that I can maintain workflow continuity."/>
    <n v="4361805"/>
    <s v="VishnuPriya"/>
    <s v="Sangeetha"/>
    <m/>
    <x v="31"/>
    <x v="0"/>
    <m/>
    <x v="0"/>
    <s v="Medium"/>
    <n v="6"/>
    <n v="1"/>
    <n v="7"/>
    <n v="6"/>
    <n v="7"/>
    <n v="7"/>
    <n v="0.85"/>
    <n v="0.9"/>
    <x v="0"/>
    <x v="0"/>
    <s v="Completed"/>
    <s v="Completed"/>
    <n v="50"/>
    <n v="7"/>
    <n v="7"/>
    <n v="7"/>
    <n v="1"/>
    <n v="0.85"/>
    <s v="UAT In Test"/>
    <n v="7"/>
    <n v="0"/>
    <n v="0"/>
    <n v="0"/>
    <n v="7"/>
    <n v="1"/>
    <n v="1"/>
    <m/>
    <x v="12"/>
    <x v="5"/>
  </r>
  <r>
    <s v="DFD-myISP"/>
    <x v="18"/>
    <x v="19"/>
    <x v="4"/>
    <s v="Song Compliant Logic Update - As a Overall Song Delivery Approver I want to access the Estimators/Calculators tile in read-only mode and navigate using the fixed breadcrumb path so that I can maintain workflow continuity."/>
    <n v="4361806"/>
    <s v="Anusha"/>
    <s v="Manjunath"/>
    <m/>
    <x v="32"/>
    <x v="0"/>
    <m/>
    <x v="0"/>
    <s v="Medium"/>
    <n v="8"/>
    <n v="1"/>
    <n v="8"/>
    <n v="8"/>
    <n v="0"/>
    <n v="8"/>
    <n v="1"/>
    <n v="0.7"/>
    <x v="0"/>
    <x v="0"/>
    <s v="Completed"/>
    <s v="Completed"/>
    <n v="70"/>
    <n v="11"/>
    <n v="12"/>
    <n v="13"/>
    <n v="0.91"/>
    <n v="0.65"/>
    <s v="UAT In Test"/>
    <n v="12"/>
    <n v="0"/>
    <n v="0"/>
    <n v="0"/>
    <n v="12"/>
    <n v="1"/>
    <n v="1"/>
    <m/>
    <x v="1"/>
    <x v="0"/>
  </r>
  <r>
    <s v="DFD-myISP"/>
    <x v="18"/>
    <x v="19"/>
    <x v="4"/>
    <s v="Song Compliant Logic Update - As a Overall Song Delivery Approver, I want to access the DSP tile in read-only mode and navigate using the fixed breadcrumb path so that I can maintain workflow continuity."/>
    <n v="4361807"/>
    <s v="Manjunath"/>
    <s v="Anusha"/>
    <m/>
    <x v="33"/>
    <x v="0"/>
    <m/>
    <x v="0"/>
    <s v="Medium"/>
    <n v="6"/>
    <n v="1"/>
    <n v="9"/>
    <n v="6"/>
    <n v="0"/>
    <n v="7"/>
    <n v="0.91"/>
    <n v="0.9"/>
    <x v="0"/>
    <x v="0"/>
    <s v="Completed"/>
    <s v="Completed"/>
    <n v="30"/>
    <n v="4"/>
    <n v="9"/>
    <n v="9"/>
    <n v="0.55000000000000004"/>
    <n v="0.6"/>
    <s v="UAT In Test"/>
    <n v="9"/>
    <n v="0"/>
    <n v="0"/>
    <n v="0"/>
    <n v="9"/>
    <n v="1"/>
    <n v="1"/>
    <m/>
    <x v="20"/>
    <x v="5"/>
  </r>
  <r>
    <s v="DFD-myISP"/>
    <x v="18"/>
    <x v="19"/>
    <x v="4"/>
    <s v="Song Compliant Logic Update - As a Overall Song Delivery Approver, I want to access the Opportunity workflow in read-only mode and navigate using the fixed breadcrumb path so that I can maintain workflow continuity."/>
    <n v="4361808"/>
    <s v="Uma"/>
    <s v="Karpagrpiya"/>
    <m/>
    <x v="34"/>
    <x v="0"/>
    <m/>
    <x v="0"/>
    <s v="Medium"/>
    <n v="6"/>
    <n v="1"/>
    <n v="14"/>
    <n v="4"/>
    <n v="6"/>
    <n v="6"/>
    <n v="0.6"/>
    <n v="0.9"/>
    <x v="0"/>
    <x v="0"/>
    <s v="Completed"/>
    <s v="Completed"/>
    <n v="57"/>
    <n v="25"/>
    <n v="5"/>
    <n v="5"/>
    <n v="0.9"/>
    <n v="0.85"/>
    <s v="UAT In Test"/>
    <n v="5"/>
    <n v="0"/>
    <n v="0"/>
    <n v="0"/>
    <n v="5"/>
    <n v="1"/>
    <n v="1"/>
    <s v="Delivered To UAT"/>
    <x v="1"/>
    <x v="0"/>
  </r>
  <r>
    <s v="Advisory SA - SONG"/>
    <x v="7"/>
    <x v="7"/>
    <x v="4"/>
    <s v="As a Song portfolio lead I want to have a New Role called “Advisory SA – SONG” so that I can assign stakeholders for this role for unassigned deals under my portfolio"/>
    <n v="4367505"/>
    <s v="VishnuPriya"/>
    <s v="Sangeetha"/>
    <m/>
    <x v="3"/>
    <x v="1"/>
    <s v="This user story is having sync, mail and count related validations. Hence , cannot be automated"/>
    <x v="5"/>
    <m/>
    <m/>
    <m/>
    <m/>
    <m/>
    <m/>
    <m/>
    <m/>
    <m/>
    <x v="0"/>
    <x v="0"/>
    <s v="Completed"/>
    <s v="Completed"/>
    <n v="50"/>
    <n v="10"/>
    <n v="11"/>
    <n v="11"/>
    <n v="0.9"/>
    <n v="0.9"/>
    <s v="UAT In Test"/>
    <n v="11"/>
    <n v="0"/>
    <n v="0"/>
    <n v="0"/>
    <n v="11"/>
    <n v="1"/>
    <n v="1"/>
    <m/>
    <x v="21"/>
    <x v="4"/>
  </r>
  <r>
    <s v="PLD - cancellation"/>
    <x v="41"/>
    <x v="42"/>
    <x v="4"/>
    <s v="[Advisory SA - Song] As a PLD Lead, I want to Implement Cancel assignments Functionality in Song and Cross service PLD dashboard for Advisory SA role"/>
    <n v="4371749"/>
    <s v="harish"/>
    <s v="Logapriya"/>
    <m/>
    <x v="3"/>
    <x v="1"/>
    <s v="Mail related User story, cannot be automated"/>
    <x v="5"/>
    <m/>
    <m/>
    <m/>
    <m/>
    <m/>
    <m/>
    <m/>
    <m/>
    <m/>
    <x v="0"/>
    <x v="0"/>
    <s v="Completed"/>
    <s v="Completed"/>
    <n v="51"/>
    <n v="11"/>
    <n v="14"/>
    <n v="13"/>
    <n v="0.85"/>
    <m/>
    <s v="UAT In Test"/>
    <n v="13"/>
    <n v="0"/>
    <n v="0"/>
    <n v="0"/>
    <n v="13"/>
    <n v="1"/>
    <n v="1"/>
    <m/>
    <x v="22"/>
    <x v="4"/>
  </r>
  <r>
    <s v="Advisory SA - SONG"/>
    <x v="7"/>
    <x v="7"/>
    <x v="4"/>
    <s v="As a Song portfolio lead I want to have a Role called “Advisory SA – SONG” so that I can assign stakeholders for this role for assigned deals under my portfolio"/>
    <n v="4372653"/>
    <s v="Karpagrpiya"/>
    <s v="Uma"/>
    <m/>
    <x v="3"/>
    <x v="1"/>
    <s v="This story includes sync,email and count , email functionality . Hence cannot be automated"/>
    <x v="5"/>
    <m/>
    <m/>
    <m/>
    <m/>
    <m/>
    <m/>
    <m/>
    <m/>
    <m/>
    <x v="0"/>
    <x v="0"/>
    <s v="Completed"/>
    <s v="Completed"/>
    <n v="22"/>
    <n v="5"/>
    <n v="5"/>
    <n v="5"/>
    <n v="0.7"/>
    <n v="0.7"/>
    <s v="UAT In Test"/>
    <n v="7"/>
    <n v="0"/>
    <n v="0"/>
    <n v="0"/>
    <n v="7"/>
    <n v="1"/>
    <n v="1"/>
    <s v="Delivered To UAT"/>
    <x v="21"/>
    <x v="4"/>
  </r>
  <r>
    <s v="Advisory SA - SONG"/>
    <x v="7"/>
    <x v="7"/>
    <x v="4"/>
    <s v="As a Cross service portfolio lead I want to have a Role called “Advisory SA – SONG” so that I can assign stakeholders for this role for assigned and unassigned deals under my portfolio"/>
    <n v="4372897"/>
    <s v="VishnuPriya"/>
    <s v="Sangeetha"/>
    <m/>
    <x v="3"/>
    <x v="1"/>
    <s v="This user story is having sync, mail and count related validations. Hence , cannot be automated"/>
    <x v="5"/>
    <m/>
    <m/>
    <m/>
    <m/>
    <m/>
    <m/>
    <m/>
    <m/>
    <m/>
    <x v="0"/>
    <x v="0"/>
    <s v="Completed"/>
    <s v="Completed"/>
    <n v="50"/>
    <n v="10"/>
    <n v="11"/>
    <n v="11"/>
    <n v="0.9"/>
    <n v="0.9"/>
    <s v="UAT In Test"/>
    <n v="11"/>
    <n v="0"/>
    <n v="0"/>
    <n v="0"/>
    <n v="11"/>
    <n v="1"/>
    <n v="1"/>
    <m/>
    <x v="21"/>
    <x v="4"/>
  </r>
  <r>
    <s v="Self Assign"/>
    <x v="6"/>
    <x v="6"/>
    <x v="4"/>
    <s v="As my solution planner Architect ,I want a request to automatically move to the �Assigned� for DFD Request opportunity type under PMO Dashboard when an assignment is completed through Self Assign, So that PMO can track and reflect the correct status"/>
    <n v="4373565"/>
    <s v="Manjunath"/>
    <s v="Anusha"/>
    <m/>
    <x v="3"/>
    <x v="1"/>
    <s v="Integration"/>
    <x v="8"/>
    <m/>
    <m/>
    <m/>
    <m/>
    <m/>
    <m/>
    <m/>
    <m/>
    <m/>
    <x v="0"/>
    <x v="0"/>
    <s v="Completed"/>
    <s v="Completed"/>
    <n v="20"/>
    <n v="4"/>
    <n v="7"/>
    <n v="7"/>
    <n v="0.6"/>
    <n v="0.6"/>
    <s v="UAT In Test"/>
    <n v="7"/>
    <n v="0"/>
    <n v="0"/>
    <n v="0"/>
    <n v="7"/>
    <n v="1"/>
    <n v="1"/>
    <m/>
    <x v="8"/>
    <x v="0"/>
  </r>
  <r>
    <s v="PLD"/>
    <x v="41"/>
    <x v="42"/>
    <x v="4"/>
    <s v="[Advisory SA - Song] As a PLD user, I want to implement E-Mail functionality for assignment cancellation, so the users are notified when an assignment is cancelled in PLD for Advisory SA role"/>
    <n v="4373585"/>
    <s v="Harish"/>
    <s v="Logapriya"/>
    <m/>
    <x v="3"/>
    <x v="1"/>
    <s v="Mail related User story, cannot be automated"/>
    <x v="5"/>
    <m/>
    <m/>
    <m/>
    <m/>
    <m/>
    <m/>
    <m/>
    <m/>
    <m/>
    <x v="0"/>
    <x v="0"/>
    <s v="Completed"/>
    <s v="Completed"/>
    <n v="51"/>
    <n v="10"/>
    <n v="12"/>
    <n v="12"/>
    <n v="0.83"/>
    <n v="0.8"/>
    <s v="UAT In Test"/>
    <n v="8"/>
    <n v="0"/>
    <n v="0"/>
    <n v="0"/>
    <n v="8"/>
    <n v="1"/>
    <n v="1"/>
    <m/>
    <x v="22"/>
    <x v="4"/>
  </r>
  <r>
    <s v="DFD"/>
    <x v="41"/>
    <x v="42"/>
    <x v="4"/>
    <s v="[Advisory SA - Song] As a DFD user, I should be able to receive the Advisory SA assignment/cancellation details from PLD, so the status should be in sync"/>
    <n v="4373596"/>
    <s v="Anusha"/>
    <s v="Manjunath"/>
    <m/>
    <x v="3"/>
    <x v="1"/>
    <s v="Synch related user story"/>
    <x v="8"/>
    <m/>
    <m/>
    <m/>
    <m/>
    <m/>
    <m/>
    <m/>
    <m/>
    <m/>
    <x v="0"/>
    <x v="0"/>
    <s v="Completed"/>
    <s v="Completed"/>
    <n v="71"/>
    <n v="26"/>
    <n v="26"/>
    <n v="26"/>
    <n v="1"/>
    <n v="0.85"/>
    <s v="UAT In Test"/>
    <n v="26"/>
    <n v="0"/>
    <n v="0"/>
    <n v="0"/>
    <n v="26"/>
    <n v="1"/>
    <n v="1"/>
    <m/>
    <x v="19"/>
    <x v="4"/>
  </r>
  <r>
    <s v="Cross Service PLD"/>
    <x v="42"/>
    <x v="43"/>
    <x v="4"/>
    <s v="As a Cross Services Portfolio Lead, I want to access the OCP and KDA variance screens in read-only mode and navigate using the fixed breadcrumb path so that I can maintain workflow continuity"/>
    <n v="4374045"/>
    <s v="Karpagrpiya"/>
    <s v="Uma"/>
    <m/>
    <x v="3"/>
    <x v="1"/>
    <s v="This story is bugs validation which includes many SG's, Hence need t be considered for regression."/>
    <x v="4"/>
    <m/>
    <m/>
    <m/>
    <m/>
    <m/>
    <m/>
    <m/>
    <m/>
    <m/>
    <x v="0"/>
    <x v="0"/>
    <s v="Completed"/>
    <s v="Completed"/>
    <n v="30"/>
    <n v="4"/>
    <n v="4"/>
    <n v="4"/>
    <n v="0.65"/>
    <n v="0.65"/>
    <s v="UAT In Test"/>
    <n v="4"/>
    <n v="0"/>
    <n v="0"/>
    <n v="0"/>
    <n v="4"/>
    <n v="1"/>
    <n v="1"/>
    <s v="Delivered To UAT"/>
    <x v="23"/>
    <x v="8"/>
  </r>
  <r>
    <s v="BPMS Onboarding"/>
    <x v="14"/>
    <x v="15"/>
    <x v="4"/>
    <s v="As a BPMS User, I should be able to auto‑trigger the Fast Track Solutioning (FTS) email from PLD Dashboard save based on opportunity criteria using rolled‑up BPMS revenue for FTS calculation"/>
    <n v="4378608"/>
    <s v="Sangeetha"/>
    <s v="VishnuPriya"/>
    <m/>
    <x v="3"/>
    <x v="1"/>
    <s v="Mail related User story, cannot be automated"/>
    <x v="5"/>
    <m/>
    <m/>
    <m/>
    <m/>
    <m/>
    <m/>
    <m/>
    <m/>
    <m/>
    <x v="0"/>
    <x v="0"/>
    <s v="Completed"/>
    <s v="Completed"/>
    <n v="40"/>
    <n v="2"/>
    <n v="4"/>
    <n v="4"/>
    <n v="0.5"/>
    <n v="0.3"/>
    <s v="Test Complete"/>
    <n v="4"/>
    <n v="0"/>
    <n v="0"/>
    <n v="0"/>
    <n v="4"/>
    <n v="1"/>
    <n v="1"/>
    <m/>
    <x v="21"/>
    <x v="4"/>
  </r>
  <r>
    <s v="PLD"/>
    <x v="43"/>
    <x v="44"/>
    <x v="4"/>
    <s v="As a PLD Lead, I should get the updated year as 2025-2026 in all cancellation mail trigger from PLD"/>
    <n v="4378933"/>
    <s v="Harish"/>
    <s v="Logapriya"/>
    <m/>
    <x v="3"/>
    <x v="1"/>
    <s v="Mail related User story, cannot be automated"/>
    <x v="5"/>
    <m/>
    <m/>
    <m/>
    <m/>
    <m/>
    <m/>
    <m/>
    <m/>
    <m/>
    <x v="0"/>
    <x v="0"/>
    <s v="Completed"/>
    <s v="Completed"/>
    <n v="31"/>
    <n v="4"/>
    <n v="4"/>
    <n v="4"/>
    <n v="1"/>
    <n v="0.85"/>
    <s v="Test Complete"/>
    <n v="4"/>
    <n v="0"/>
    <n v="0"/>
    <n v="0"/>
    <n v="4"/>
    <n v="1"/>
    <n v="1"/>
    <m/>
    <x v="22"/>
    <x v="4"/>
  </r>
  <r>
    <s v="DFD"/>
    <x v="40"/>
    <x v="41"/>
    <x v="4"/>
    <s v="As a DFD requestor, I should get GenAI specific mails when GenAI/LLM in Scope is selected as Yes in SA requests"/>
    <n v="4381777"/>
    <s v="Anusha"/>
    <s v="Manjunath"/>
    <m/>
    <x v="3"/>
    <x v="1"/>
    <s v="Email related User story, So, cannot be automated"/>
    <x v="5"/>
    <m/>
    <m/>
    <m/>
    <m/>
    <m/>
    <m/>
    <m/>
    <m/>
    <m/>
    <x v="0"/>
    <x v="0"/>
    <s v="Completed"/>
    <s v="Completed"/>
    <n v="63"/>
    <n v="16"/>
    <n v="18"/>
    <n v="18"/>
    <n v="0.88"/>
    <n v="0.8"/>
    <s v="Test Complete"/>
    <n v="18"/>
    <n v="0"/>
    <n v="0"/>
    <n v="0"/>
    <n v="18"/>
    <n v="1"/>
    <n v="1"/>
    <m/>
    <x v="19"/>
    <x v="4"/>
  </r>
  <r>
    <s v="Advisory SA - SONG"/>
    <x v="7"/>
    <x v="7"/>
    <x v="4"/>
    <s v="As a Cross service portfolio lead I want to have a Role called “Advisory SA – SONG” so that I can assign stakeholders for this role for assigned deals under my portfolio - Copy"/>
    <n v="4387497"/>
    <s v="Logapriya"/>
    <s v="Harish"/>
    <m/>
    <x v="3"/>
    <x v="1"/>
    <s v="Many combination needs to be covered for this Userstroy cannot be automated"/>
    <x v="4"/>
    <m/>
    <m/>
    <m/>
    <m/>
    <m/>
    <m/>
    <m/>
    <m/>
    <m/>
    <x v="0"/>
    <x v="0"/>
    <s v="Completed"/>
    <s v="Completed"/>
    <n v="51"/>
    <n v="10"/>
    <n v="12"/>
    <n v="11"/>
    <n v="0.91"/>
    <n v="0.8"/>
    <s v="UAT In Test"/>
    <n v="10"/>
    <n v="0"/>
    <n v="0"/>
    <n v="0"/>
    <n v="10"/>
    <n v="1"/>
    <n v="1"/>
    <m/>
    <x v="21"/>
    <x v="4"/>
  </r>
  <r>
    <s v="Advisory SA - SONG"/>
    <x v="7"/>
    <x v="7"/>
    <x v="4"/>
    <s v="As a Cross service portfolio lead I want to notify “Advisory SA – SONG” assignments so that I can assign stakeholders for this role and inform them via mail trigger for deals under my portfolio"/>
    <n v="4387505"/>
    <s v="Logapriya"/>
    <s v="Harish"/>
    <m/>
    <x v="3"/>
    <x v="1"/>
    <s v="Mail related User story, cannot be automated"/>
    <x v="5"/>
    <m/>
    <m/>
    <m/>
    <m/>
    <m/>
    <m/>
    <m/>
    <m/>
    <m/>
    <x v="0"/>
    <x v="0"/>
    <s v="Completed"/>
    <s v="Completed"/>
    <n v="51"/>
    <n v="12"/>
    <n v="12"/>
    <n v="12"/>
    <n v="1"/>
    <n v="0.8"/>
    <s v="UAT In Test"/>
    <n v="12"/>
    <n v="0"/>
    <n v="0"/>
    <n v="0"/>
    <n v="12"/>
    <n v="1"/>
    <n v="1"/>
    <m/>
    <x v="21"/>
    <x v="4"/>
  </r>
  <r>
    <s v="Advisory SA - SONG"/>
    <x v="7"/>
    <x v="7"/>
    <x v="4"/>
    <s v="As a SONG portfolio lead I want to notify “Advisory SA – SONG” assignments so that I can assign stakeholders for this role and inform them via mail trigger for deals under my portfolio - Copy"/>
    <n v="4387512"/>
    <s v="Uma"/>
    <s v="Karpagrpiya"/>
    <m/>
    <x v="3"/>
    <x v="1"/>
    <s v="This story involves email functionality"/>
    <x v="5"/>
    <m/>
    <m/>
    <m/>
    <m/>
    <m/>
    <m/>
    <m/>
    <m/>
    <m/>
    <x v="0"/>
    <x v="0"/>
    <s v="Completed"/>
    <s v="Completed"/>
    <n v="44"/>
    <n v="6"/>
    <n v="6"/>
    <n v="6"/>
    <n v="0.9"/>
    <n v="0.8"/>
    <s v="UAT In Test"/>
    <n v="6"/>
    <n v="0"/>
    <n v="0"/>
    <n v="0"/>
    <n v="6"/>
    <n v="1"/>
    <n v="1"/>
    <s v="Delivered To UAT"/>
    <x v="21"/>
    <x v="4"/>
  </r>
  <r>
    <s v="DFD"/>
    <x v="44"/>
    <x v="45"/>
    <x v="4"/>
    <s v="As a DFD requestor, instead of ESA, I should get Market Maker ESA role name in DFD once the assignment is done from wither PLD or Define team"/>
    <n v="4385147"/>
    <s v="Manjunath"/>
    <s v="Anusha"/>
    <m/>
    <x v="3"/>
    <x v="1"/>
    <s v="Integration"/>
    <x v="8"/>
    <m/>
    <m/>
    <m/>
    <m/>
    <m/>
    <m/>
    <m/>
    <m/>
    <m/>
    <x v="0"/>
    <x v="0"/>
    <s v="Completed"/>
    <s v="Completed"/>
    <n v="25"/>
    <n v="4"/>
    <n v="8"/>
    <n v="8"/>
    <n v="0.5"/>
    <n v="0.6"/>
    <s v="UAT In Test"/>
    <n v="8"/>
    <n v="0"/>
    <n v="0"/>
    <n v="0"/>
    <n v="8"/>
    <n v="1"/>
    <n v="1"/>
    <m/>
    <x v="19"/>
    <x v="4"/>
  </r>
  <r>
    <s v="PLD"/>
    <x v="44"/>
    <x v="45"/>
    <x v="4"/>
    <s v="As a PLD lead, I should get &quot;Market Maker ESA&quot; role instead of &quot;ESA&quot; in all the assignment cancellation popups and email template"/>
    <n v="4386791"/>
    <s v="Sangeetha"/>
    <s v="VishnuPriya"/>
    <m/>
    <x v="3"/>
    <x v="1"/>
    <s v="Email related User story, So, cannot be automated"/>
    <x v="5"/>
    <m/>
    <m/>
    <m/>
    <m/>
    <m/>
    <m/>
    <m/>
    <m/>
    <m/>
    <x v="0"/>
    <x v="0"/>
    <s v="Completed"/>
    <s v="Completed"/>
    <n v="30"/>
    <n v="9"/>
    <n v="13"/>
    <n v="13"/>
    <n v="0.69"/>
    <n v="0.7"/>
    <s v="UAT In Test"/>
    <n v="12"/>
    <n v="0"/>
    <n v="0"/>
    <n v="0"/>
    <n v="12"/>
    <n v="1"/>
    <n v="1"/>
    <m/>
    <x v="21"/>
    <x v="4"/>
  </r>
  <r>
    <s v="Market Maker ESA  - status sync"/>
    <x v="44"/>
    <x v="45"/>
    <x v="4"/>
    <s v="As a Define Team user, I should be able to send/receive Market Maker ESA role status to DFD,PLD to make the assignment status in sync across all the systems"/>
    <n v="4387669"/>
    <s v="Logapriya"/>
    <s v="Harish"/>
    <m/>
    <x v="3"/>
    <x v="1"/>
    <s v="This is sync Userstory across all dashboard cannot be automated"/>
    <x v="8"/>
    <m/>
    <m/>
    <m/>
    <m/>
    <m/>
    <m/>
    <m/>
    <m/>
    <m/>
    <x v="0"/>
    <x v="0"/>
    <s v="Completed"/>
    <s v="Completed"/>
    <n v="61"/>
    <n v="18"/>
    <n v="17"/>
    <n v="17"/>
    <n v="0.91"/>
    <n v="0.8"/>
    <s v="UAT In Test"/>
    <n v="17"/>
    <n v="0"/>
    <n v="0"/>
    <n v="0"/>
    <n v="17"/>
    <n v="1"/>
    <n v="1"/>
    <m/>
    <x v="9"/>
    <x v="0"/>
  </r>
  <r>
    <s v="GEN AI"/>
    <x v="45"/>
    <x v="46"/>
    <x v="5"/>
    <s v="[GEN AI - RFP Synthesis ] Response formatting for all Nudges in RFP Synthesis"/>
    <n v="4105358"/>
    <s v="Gayatri"/>
    <s v="Veena"/>
    <m/>
    <x v="35"/>
    <x v="1"/>
    <s v="Responses will be generated to LLM so cannot be automated"/>
    <x v="9"/>
    <s v="Medium"/>
    <m/>
    <m/>
    <m/>
    <m/>
    <m/>
    <m/>
    <m/>
    <m/>
    <x v="0"/>
    <x v="0"/>
    <s v="Completed"/>
    <s v="Completed"/>
    <n v="22"/>
    <n v="6"/>
    <n v="5"/>
    <n v="11"/>
    <n v="0.8"/>
    <n v="0.9"/>
    <s v="UAT In Test"/>
    <n v="4"/>
    <n v="0"/>
    <n v="0"/>
    <n v="0"/>
    <n v="4"/>
    <n v="1"/>
    <n v="1"/>
    <s v="Delivered To UAT"/>
    <x v="24"/>
    <x v="9"/>
  </r>
  <r>
    <s v="Gen AI"/>
    <x v="46"/>
    <x v="47"/>
    <x v="5"/>
    <s v="[GEN AI - DLC]As a myISP user, I should be able to develop and design new DLC screen to show all DLC sections in the left and right panel so that I can easily navigate between different parts of the deal information."/>
    <n v="4260379"/>
    <s v="Sushmeta"/>
    <s v="Prasanna"/>
    <m/>
    <x v="36"/>
    <x v="0"/>
    <m/>
    <x v="0"/>
    <s v="Medium"/>
    <m/>
    <n v="1"/>
    <n v="3"/>
    <n v="1"/>
    <n v="1"/>
    <n v="1"/>
    <n v="0.95"/>
    <n v="0.95"/>
    <x v="0"/>
    <x v="0"/>
    <s v="Completed"/>
    <s v="Completed"/>
    <n v="30"/>
    <n v="20"/>
    <n v="2"/>
    <n v="10"/>
    <n v="0.7"/>
    <n v="0.6"/>
    <s v="UAT In Test"/>
    <n v="10"/>
    <n v="0"/>
    <n v="0"/>
    <n v="0"/>
    <n v="10"/>
    <n v="1"/>
    <n v="1"/>
    <m/>
    <x v="24"/>
    <x v="9"/>
  </r>
  <r>
    <s v="Gen AI"/>
    <x v="46"/>
    <x v="47"/>
    <x v="5"/>
    <s v="[GEN AI - DLC] As a myISP user, I should be able to view the Deal Level Canvas with default columns in Agent Hub and tiles when no previous versions exist so that I can start creating a new canvas from the scratch.."/>
    <n v="4265988"/>
    <s v="Sushmeta"/>
    <s v="Prasanna"/>
    <m/>
    <x v="36"/>
    <x v="0"/>
    <m/>
    <x v="0"/>
    <s v="Medium"/>
    <m/>
    <n v="1"/>
    <n v="3"/>
    <n v="1"/>
    <n v="1"/>
    <n v="1"/>
    <n v="0.95"/>
    <n v="0.95"/>
    <x v="0"/>
    <x v="0"/>
    <s v="Completed"/>
    <s v="Completed"/>
    <n v="20"/>
    <n v="10"/>
    <n v="1"/>
    <n v="6"/>
    <n v="1"/>
    <n v="0.8"/>
    <s v="UAT In Test"/>
    <n v="9"/>
    <n v="0"/>
    <n v="0"/>
    <n v="0"/>
    <n v="9"/>
    <n v="1"/>
    <n v="1"/>
    <m/>
    <x v="24"/>
    <x v="9"/>
  </r>
  <r>
    <s v="Gen AI"/>
    <x v="46"/>
    <x v="47"/>
    <x v="5"/>
    <s v="[GEN AI - DLC] As a myISP user, I should be able to navigate from the Agent Hub (Deal Level Canvas) to the &quot;DLC Version List screen&quot; when no versions exist so that I can create a new Deal Level Canvas version."/>
    <n v="4265998"/>
    <s v="Sushmeta"/>
    <s v="Prasanna"/>
    <m/>
    <x v="36"/>
    <x v="0"/>
    <m/>
    <x v="0"/>
    <s v="Medium"/>
    <m/>
    <n v="1"/>
    <n v="4"/>
    <n v="3"/>
    <n v="1"/>
    <n v="1"/>
    <n v="0.7"/>
    <n v="0.6"/>
    <x v="0"/>
    <x v="0"/>
    <s v="Completed"/>
    <s v="Completed"/>
    <n v="40"/>
    <n v="20"/>
    <n v="2"/>
    <n v="8"/>
    <n v="1"/>
    <n v="0.8"/>
    <s v="UAT In Test"/>
    <n v="9"/>
    <n v="0"/>
    <n v="0"/>
    <n v="0"/>
    <n v="9"/>
    <n v="1"/>
    <n v="1"/>
    <m/>
    <x v="24"/>
    <x v="9"/>
  </r>
  <r>
    <s v="Gen AI"/>
    <x v="46"/>
    <x v="47"/>
    <x v="5"/>
    <s v="[GEN AI - DLC] As a myISP user, I should be able to view recommended responses for each nudges from MMS and generate more recommendations for a new DLC version so that I can create a comprehensive and tailored Deal Level Canvas."/>
    <n v="4266022"/>
    <s v="Sushmeta"/>
    <s v="Prasanna"/>
    <m/>
    <x v="36"/>
    <x v="1"/>
    <s v="It includes validating multiple MMS and SGC mapping"/>
    <x v="8"/>
    <m/>
    <m/>
    <m/>
    <m/>
    <m/>
    <m/>
    <m/>
    <m/>
    <m/>
    <x v="0"/>
    <x v="0"/>
    <s v="Completed"/>
    <s v="Completed"/>
    <n v="20"/>
    <n v="10"/>
    <n v="1"/>
    <n v="5"/>
    <n v="0.9"/>
    <n v="0.9"/>
    <s v="UAT In Test"/>
    <n v="19"/>
    <n v="2"/>
    <n v="0"/>
    <n v="0"/>
    <n v="21"/>
    <n v="1"/>
    <n v="0.90476190476190477"/>
    <s v="Bug-4431417,4434972,4434984,4434989"/>
    <x v="24"/>
    <x v="9"/>
  </r>
  <r>
    <s v="Gen AI"/>
    <x v="46"/>
    <x v="47"/>
    <x v="5"/>
    <s v="[GEN AI - DLC] As a myISP user, I should be able to view the Deal Level Canvas with default columns and tiles when &quot;DLC versions exist to choose from the list&quot; so that I can start creating a new canvas."/>
    <n v="4266024"/>
    <s v="Sushmeta"/>
    <s v="Prasanna"/>
    <m/>
    <x v="36"/>
    <x v="0"/>
    <m/>
    <x v="0"/>
    <s v="Medium"/>
    <m/>
    <n v="1"/>
    <n v="8"/>
    <n v="3"/>
    <n v="5"/>
    <n v="8"/>
    <n v="0.45"/>
    <n v="0.45"/>
    <x v="0"/>
    <x v="0"/>
    <s v="Completed"/>
    <s v="Completed"/>
    <n v="40"/>
    <n v="20"/>
    <n v="2"/>
    <n v="10"/>
    <n v="1"/>
    <n v="0.8"/>
    <s v="UAT In Test"/>
    <n v="11"/>
    <n v="0"/>
    <n v="0"/>
    <n v="0"/>
    <n v="11"/>
    <n v="1"/>
    <n v="1"/>
    <m/>
    <x v="24"/>
    <x v="9"/>
  </r>
  <r>
    <s v="Gen AI"/>
    <x v="46"/>
    <x v="47"/>
    <x v="5"/>
    <s v="[GEN AI - DLC] As a myISP user, I should be able to view the Response Summary in the &quot;Recommended from Opportunity Context &quot;section for selected available DLC versions so that I can quickly review AI-generated insights aligned to the opportunity context."/>
    <n v="4267005"/>
    <s v="Sushmeta"/>
    <s v="Prasanna"/>
    <m/>
    <x v="36"/>
    <x v="1"/>
    <s v="It includes validating multiple MMS and SGC mapping"/>
    <x v="8"/>
    <s v="Medium"/>
    <m/>
    <m/>
    <m/>
    <m/>
    <m/>
    <m/>
    <m/>
    <m/>
    <x v="0"/>
    <x v="0"/>
    <s v="Completed"/>
    <s v="Completed"/>
    <n v="20"/>
    <n v="10"/>
    <n v="1"/>
    <n v="5"/>
    <n v="0.9"/>
    <n v="0.9"/>
    <s v="UAT In Test"/>
    <n v="18"/>
    <n v="2"/>
    <n v="0"/>
    <n v="0"/>
    <n v="20"/>
    <n v="1"/>
    <n v="0.9"/>
    <s v="Bug-44314174434972,4434984,4434989"/>
    <x v="24"/>
    <x v="9"/>
  </r>
  <r>
    <s v="Gen AI"/>
    <x v="46"/>
    <x v="47"/>
    <x v="5"/>
    <s v="As a myISP user, I should be able to view the Response Summary in the Recommended from Opportunity Context section for a selected DLC version using another source selection so that I can compare and enrich the canvas with additional insights."/>
    <n v="4267410"/>
    <s v="Shanmukii"/>
    <s v="Narmatha"/>
    <m/>
    <x v="37"/>
    <x v="1"/>
    <s v="Complex US involves response generation and nudge data validation, Hence cant be automated"/>
    <x v="9"/>
    <m/>
    <m/>
    <m/>
    <m/>
    <m/>
    <m/>
    <m/>
    <m/>
    <m/>
    <x v="0"/>
    <x v="0"/>
    <s v="Completed"/>
    <s v="Completed"/>
    <n v="80"/>
    <n v="28"/>
    <n v="0"/>
    <n v="28"/>
    <n v="0.7"/>
    <n v="0.6"/>
    <s v="UAT In Test"/>
    <n v="28"/>
    <n v="0"/>
    <n v="0"/>
    <n v="0"/>
    <n v="28"/>
    <n v="1"/>
    <n v="1"/>
    <m/>
    <x v="24"/>
    <x v="9"/>
  </r>
  <r>
    <s v="Gen AI"/>
    <x v="46"/>
    <x v="47"/>
    <x v="5"/>
    <s v="As a myISP user, I should be able to select the Recommended from Past Solution tab for any DLC version and view top 5 opportunities filtered by given criteria so that SA can select one opportunity and generate a contextual response."/>
    <n v="4267715"/>
    <s v="Shanmukii"/>
    <s v="Narmatha"/>
    <m/>
    <x v="37"/>
    <x v="1"/>
    <s v="Complex US involves response generation and nudge data validation, Hence cant be automated"/>
    <x v="9"/>
    <m/>
    <m/>
    <m/>
    <m/>
    <m/>
    <m/>
    <m/>
    <m/>
    <m/>
    <x v="0"/>
    <x v="0"/>
    <s v="Completed"/>
    <s v="Completed"/>
    <n v="100"/>
    <n v="34"/>
    <n v="0"/>
    <n v="34"/>
    <n v="0.8"/>
    <n v="0.7"/>
    <s v="UAT In Test"/>
    <n v="34"/>
    <n v="0"/>
    <n v="0"/>
    <n v="0"/>
    <n v="34"/>
    <n v="1"/>
    <n v="1"/>
    <m/>
    <x v="24"/>
    <x v="9"/>
  </r>
  <r>
    <s v="GEN AI"/>
    <x v="47"/>
    <x v="48"/>
    <x v="5"/>
    <s v="[GEN AI - SGC] DSP Version to be included for IMS SGC Ingestion."/>
    <n v="4228339"/>
    <s v="Gayatri"/>
    <s v="Veena"/>
    <m/>
    <x v="35"/>
    <x v="0"/>
    <m/>
    <x v="0"/>
    <s v="Medium"/>
    <n v="4"/>
    <n v="1"/>
    <n v="5"/>
    <n v="1"/>
    <n v="0"/>
    <n v="1"/>
    <n v="0.5"/>
    <n v="0.5"/>
    <x v="0"/>
    <x v="0"/>
    <s v="Completed"/>
    <s v="Completed"/>
    <n v="24"/>
    <n v="7"/>
    <n v="2"/>
    <n v="9"/>
    <n v="0.8"/>
    <n v="0.9"/>
    <s v="UAT In Test"/>
    <n v="9"/>
    <n v="0"/>
    <n v="0"/>
    <n v="0"/>
    <n v="9"/>
    <n v="1"/>
    <n v="1"/>
    <s v="Delivered to UAT for parallel testing"/>
    <x v="24"/>
    <x v="9"/>
  </r>
  <r>
    <s v="GEN AI"/>
    <x v="48"/>
    <x v="49"/>
    <x v="5"/>
    <s v="[GEN AI - Opportunity Benchmark] Solution Super Agent Chat in Opportunity Benchmarks including similar deals flow using Span of search."/>
    <n v="4147643"/>
    <s v="Prasanna"/>
    <s v="Sushmeta"/>
    <m/>
    <x v="38"/>
    <x v="1"/>
    <s v="KDA Configurations Should be Compared to OBM which Cant be Automated"/>
    <x v="10"/>
    <s v="Complex"/>
    <m/>
    <m/>
    <m/>
    <m/>
    <m/>
    <m/>
    <m/>
    <m/>
    <x v="0"/>
    <x v="0"/>
    <s v="Completed"/>
    <s v="Completed"/>
    <s v="20"/>
    <s v="2"/>
    <s v="6"/>
    <s v="8"/>
    <n v="0.1"/>
    <s v="40%"/>
    <s v="UAT In Test"/>
    <n v="8"/>
    <n v="0"/>
    <n v="0"/>
    <n v="0"/>
    <n v="8"/>
    <n v="1"/>
    <n v="1"/>
    <s v="Delivered for Parallel Testing"/>
    <x v="25"/>
    <x v="5"/>
  </r>
  <r>
    <s v="GEN AI"/>
    <x v="48"/>
    <x v="49"/>
    <x v="5"/>
    <s v="[GEN AI - Opportunity Benchmark] Opportunities search based on Logged in opportunity deal characteristic details through SSA Chat excluding the Retrospective Learnings for generating Opportunity benchmarks."/>
    <n v="4240160"/>
    <s v="Prasanna"/>
    <s v="Sushmeta"/>
    <m/>
    <x v="38"/>
    <x v="1"/>
    <s v="KDA Configurations Should be Compared to OBM which Cant be Automated"/>
    <x v="10"/>
    <s v="Complex"/>
    <m/>
    <m/>
    <m/>
    <m/>
    <m/>
    <m/>
    <m/>
    <m/>
    <x v="0"/>
    <x v="0"/>
    <s v="Completed"/>
    <s v="Completed"/>
    <s v="30"/>
    <s v="5"/>
    <s v="18"/>
    <s v="12"/>
    <n v="0.1"/>
    <s v="40%"/>
    <s v="UAT In Test"/>
    <n v="12"/>
    <n v="0"/>
    <n v="0"/>
    <n v="0"/>
    <n v="12"/>
    <n v="1"/>
    <n v="1"/>
    <s v="Delivered for Parallel Testing"/>
    <x v="25"/>
    <x v="5"/>
  </r>
  <r>
    <s v="Gen AI "/>
    <x v="49"/>
    <x v="50"/>
    <x v="5"/>
    <s v="[Gen AI - SSA] - As a myISP user, I should be able to view dynamic process steps, capabilities, and data sources based on the module I select so that I can understand the relevant intelligence for that module"/>
    <n v="4271339"/>
    <s v="Santhwana"/>
    <s v="Nayak"/>
    <m/>
    <x v="39"/>
    <x v="1"/>
    <s v="This story is mainly UI and content validation with dynamic visual elements"/>
    <x v="7"/>
    <s v="Complex"/>
    <m/>
    <m/>
    <m/>
    <m/>
    <m/>
    <m/>
    <m/>
    <m/>
    <x v="0"/>
    <x v="0"/>
    <s v="Completed"/>
    <s v="Completed"/>
    <n v="40"/>
    <n v="18"/>
    <n v="0"/>
    <n v="36"/>
    <n v="0.9"/>
    <n v="0.9"/>
    <s v="UAT In Test"/>
    <n v="18"/>
    <n v="0"/>
    <n v="0"/>
    <n v="0"/>
    <n v="18"/>
    <n v="1"/>
    <n v="1"/>
    <m/>
    <x v="25"/>
    <x v="5"/>
  </r>
  <r>
    <s v="Solution Super Agent"/>
    <x v="50"/>
    <x v="51"/>
    <x v="5"/>
    <s v="[GenAI - SSA] - As a myISP User, I should be able to see the Local span of search fields default to �All� when no opportunity is selected for Learn from Past Solutions."/>
    <n v="4358867"/>
    <s v="Santhwana"/>
    <s v="Nayak"/>
    <m/>
    <x v="39"/>
    <x v="0"/>
    <m/>
    <x v="0"/>
    <s v="Medium"/>
    <n v="3"/>
    <n v="1"/>
    <n v="3"/>
    <n v="1"/>
    <n v="1"/>
    <n v="1"/>
    <n v="0.7"/>
    <n v="0.7"/>
    <x v="0"/>
    <x v="0"/>
    <s v="Completed"/>
    <s v="Completed"/>
    <n v="40"/>
    <n v="13"/>
    <n v="4"/>
    <n v="17"/>
    <n v="0.7"/>
    <n v="0.6"/>
    <s v="UAT In Test"/>
    <n v="17"/>
    <n v="0"/>
    <n v="0"/>
    <n v="0"/>
    <n v="17"/>
    <n v="1"/>
    <n v="1"/>
    <m/>
    <x v="25"/>
    <x v="5"/>
  </r>
  <r>
    <s v="Solution Super Agent"/>
    <x v="51"/>
    <x v="52"/>
    <x v="5"/>
    <s v="[GenAI - SSA] - As a MyISP user, I want to set the maximum character limit for all the user inputs fields to 6000 characters, in question and prompt addition pop-ups."/>
    <n v="4363949"/>
    <s v="Haritha"/>
    <s v="Nayak"/>
    <m/>
    <x v="40"/>
    <x v="1"/>
    <s v="Need Admin Access Cant automate"/>
    <x v="9"/>
    <m/>
    <m/>
    <m/>
    <m/>
    <m/>
    <m/>
    <m/>
    <n v="0.7"/>
    <n v="0.7"/>
    <x v="0"/>
    <x v="0"/>
    <s v="Completed"/>
    <s v="Completed"/>
    <n v="20"/>
    <n v="10"/>
    <n v="7"/>
    <n v="17"/>
    <n v="0.7"/>
    <n v="0.7"/>
    <s v="UAT In Test"/>
    <n v="18"/>
    <n v="0"/>
    <n v="0"/>
    <n v="0"/>
    <n v="18"/>
    <n v="1"/>
    <n v="1"/>
    <s v="Delivered To UAT"/>
    <x v="25"/>
    <x v="5"/>
  </r>
  <r>
    <s v="Solution Super Agent"/>
    <x v="52"/>
    <x v="53"/>
    <x v="5"/>
    <s v="[GenAI - SSA] - As a myISP User, I should be able to view follow?up nudges displayed horizontally in a single line above the SSA chat input box."/>
    <n v="4366164"/>
    <s v="Haritha"/>
    <s v="Nayak"/>
    <m/>
    <x v="40"/>
    <x v="1"/>
    <s v="UI validation US, so automation not feasible"/>
    <x v="7"/>
    <m/>
    <m/>
    <m/>
    <m/>
    <m/>
    <m/>
    <m/>
    <n v="0.65"/>
    <n v="0.65"/>
    <x v="0"/>
    <x v="0"/>
    <s v="Completed"/>
    <s v="Completed"/>
    <n v="20"/>
    <n v="5"/>
    <n v="15"/>
    <n v="20"/>
    <m/>
    <m/>
    <s v="UAT In Test"/>
    <n v="15"/>
    <n v="0"/>
    <n v="0"/>
    <n v="0"/>
    <n v="15"/>
    <n v="1"/>
    <n v="1"/>
    <s v="Delivered To UAT"/>
    <x v="25"/>
    <x v="5"/>
  </r>
  <r>
    <s v="GEN AI"/>
    <x v="53"/>
    <x v="54"/>
    <x v="5"/>
    <s v="[GEN AI - SVC] Solution Version Comparator navigation addition in SSA at Global View."/>
    <n v="4330981"/>
    <s v="Haritha"/>
    <s v="Nayak"/>
    <m/>
    <x v="40"/>
    <x v="0"/>
    <m/>
    <x v="0"/>
    <s v="Medium"/>
    <n v="2"/>
    <n v="1"/>
    <n v="13"/>
    <n v="5"/>
    <n v="1"/>
    <n v="1"/>
    <n v="0.5"/>
    <n v="0.5"/>
    <x v="0"/>
    <x v="0"/>
    <s v="Completed"/>
    <s v="Completed"/>
    <n v="20"/>
    <n v="4"/>
    <n v="14"/>
    <n v="18"/>
    <n v="0.5"/>
    <n v="0.5"/>
    <s v="UAT In Test"/>
    <n v="18"/>
    <n v="0"/>
    <n v="0"/>
    <n v="0"/>
    <n v="18"/>
    <n v="1"/>
    <n v="1"/>
    <s v="Delivered to UAT for parallel testing"/>
    <x v="25"/>
    <x v="5"/>
  </r>
  <r>
    <s v="Gen AI"/>
    <x v="48"/>
    <x v="49"/>
    <x v="5"/>
    <s v="[GEN AI - Opportunity Benchmark] - Redirect User to Retrospective Insights &amp; Learning When Opportunity Benchmark Query is Detected"/>
    <n v="4337147"/>
    <s v="Sai kumar"/>
    <s v="Haripriya"/>
    <m/>
    <x v="41"/>
    <x v="1"/>
    <s v="LLM Response based OBM story"/>
    <x v="9"/>
    <m/>
    <m/>
    <m/>
    <m/>
    <m/>
    <m/>
    <m/>
    <m/>
    <m/>
    <x v="0"/>
    <x v="0"/>
    <s v="Completed"/>
    <s v="Completed"/>
    <n v="24"/>
    <n v="10"/>
    <n v="2"/>
    <n v="12"/>
    <n v="0.83"/>
    <n v="0.9"/>
    <s v="UAT In Test"/>
    <n v="12"/>
    <n v="0"/>
    <n v="0"/>
    <n v="0"/>
    <n v="12"/>
    <n v="1"/>
    <n v="1"/>
    <s v="Delivered to UAT for parallel testing"/>
    <x v="25"/>
    <x v="5"/>
  </r>
  <r>
    <s v="Gen AI"/>
    <x v="54"/>
    <x v="55"/>
    <x v="5"/>
    <s v="[Gen AI - SSA] - Alternative Recommendations for Negative Data/PII Scenarios (Conversational SSA)"/>
    <n v="4341515"/>
    <s v="Haritha"/>
    <s v="Nayak"/>
    <m/>
    <x v="40"/>
    <x v="0"/>
    <m/>
    <x v="0"/>
    <s v="Medium"/>
    <n v="3"/>
    <n v="1"/>
    <n v="10"/>
    <n v="5"/>
    <n v="3"/>
    <n v="3"/>
    <n v="0.5"/>
    <n v="0.5"/>
    <x v="0"/>
    <x v="0"/>
    <s v="Completed"/>
    <s v="Completed"/>
    <n v="20"/>
    <n v="6"/>
    <n v="4"/>
    <n v="10"/>
    <n v="0.65"/>
    <n v="0.65"/>
    <s v="UAT In Test"/>
    <n v="10"/>
    <n v="0"/>
    <n v="0"/>
    <n v="0"/>
    <n v="10"/>
    <n v="1"/>
    <n v="1"/>
    <s v="Delivered to UAT for parallel testing"/>
    <x v="25"/>
    <x v="5"/>
  </r>
  <r>
    <s v="Gen AI"/>
    <x v="48"/>
    <x v="49"/>
    <x v="5"/>
    <s v="[GEN AI � Solution Version Comparator] Route User to Solution Version Comparator When Version Comparison Query Is Detected"/>
    <n v="4344830"/>
    <s v="Haritha"/>
    <s v="Nayak"/>
    <m/>
    <x v="40"/>
    <x v="0"/>
    <m/>
    <x v="0"/>
    <s v="Medium"/>
    <n v="2"/>
    <n v="1"/>
    <n v="8"/>
    <n v="4"/>
    <n v="2"/>
    <n v="2"/>
    <n v="0.5"/>
    <n v="0.5"/>
    <x v="0"/>
    <x v="0"/>
    <s v="Completed"/>
    <s v="Completed"/>
    <n v="20"/>
    <n v="4"/>
    <n v="4"/>
    <n v="8"/>
    <n v="0.5"/>
    <n v="0.5"/>
    <s v="UAT In Test"/>
    <n v="8"/>
    <n v="0"/>
    <n v="0"/>
    <n v="0"/>
    <n v="8"/>
    <n v="1"/>
    <n v="1"/>
    <s v="Delivered to UAT for parallel testing"/>
    <x v="25"/>
    <x v="5"/>
  </r>
  <r>
    <s v="GEN AI"/>
    <x v="48"/>
    <x v="49"/>
    <x v="5"/>
    <s v="[GEN AI - Opportunity Benchmark] Add/Editing of opportunities based on the deal characteristic filters in SSA Chat for Opportunity Benchmarks outside the Learning."/>
    <n v="4240154"/>
    <s v="Harshitha"/>
    <s v="Reshma"/>
    <m/>
    <x v="42"/>
    <x v="1"/>
    <s v="Prompt response validation can't be automated"/>
    <x v="9"/>
    <s v="Complex"/>
    <m/>
    <m/>
    <m/>
    <m/>
    <m/>
    <m/>
    <m/>
    <m/>
    <x v="0"/>
    <x v="0"/>
    <s v="Completed"/>
    <s v="Completed"/>
    <n v="15"/>
    <n v="6"/>
    <n v="6"/>
    <n v="12"/>
    <n v="0.4"/>
    <n v="0.8"/>
    <s v="UAT In Test"/>
    <n v="10"/>
    <n v="0"/>
    <n v="0"/>
    <n v="0"/>
    <n v="10"/>
    <n v="1"/>
    <n v="1"/>
    <s v="Delivered for Parallel UAT "/>
    <x v="25"/>
    <x v="5"/>
  </r>
  <r>
    <s v="GEN AI"/>
    <x v="48"/>
    <x v="49"/>
    <x v="5"/>
    <s v="[GEN AI - Opportunity Benchmark] Add/Editing of opportunities based on the selected filters/Benchmarks using span of search in SSA Chat for Retrospective learnings."/>
    <n v="4240155"/>
    <s v="Harshitha"/>
    <s v="Reshma"/>
    <m/>
    <x v="42"/>
    <x v="1"/>
    <s v="So complex user story as it contains more screen validation of Gen AI scenarios and more filters criterias with multiple deals"/>
    <x v="9"/>
    <s v="Complex"/>
    <m/>
    <m/>
    <m/>
    <m/>
    <m/>
    <m/>
    <m/>
    <m/>
    <x v="0"/>
    <x v="0"/>
    <s v="Completed"/>
    <s v="Completed"/>
    <n v="20"/>
    <n v="5"/>
    <n v="7"/>
    <n v="12"/>
    <n v="0.25"/>
    <n v="0.6"/>
    <s v="UAT In Test"/>
    <n v="11"/>
    <n v="0"/>
    <n v="0"/>
    <n v="0"/>
    <n v="11"/>
    <n v="1"/>
    <n v="1"/>
    <s v="Delivered for Parallel UAT "/>
    <x v="25"/>
    <x v="5"/>
  </r>
  <r>
    <s v="GEN AI"/>
    <x v="48"/>
    <x v="49"/>
    <x v="5"/>
    <s v="[GEN AI - Opportunity Benchmark] Prompt library enablement in Solution Super Agent chat for Opportunity Benchmarks tab."/>
    <n v="4240158"/>
    <s v="Sai kumar"/>
    <s v="Haripriya"/>
    <m/>
    <x v="41"/>
    <x v="1"/>
    <s v="LLM Response based OBM story"/>
    <x v="9"/>
    <m/>
    <m/>
    <m/>
    <m/>
    <m/>
    <m/>
    <m/>
    <m/>
    <m/>
    <x v="0"/>
    <x v="0"/>
    <s v="Completed"/>
    <s v="Completed"/>
    <n v="31"/>
    <n v="15"/>
    <n v="3"/>
    <n v="18"/>
    <n v="0.82"/>
    <n v="0.9"/>
    <s v="UAT In Test"/>
    <n v="17"/>
    <n v="0"/>
    <n v="0"/>
    <n v="0"/>
    <n v="17"/>
    <n v="1"/>
    <n v="1"/>
    <s v="Delivered to UAT for parallel testing"/>
    <x v="25"/>
    <x v="5"/>
  </r>
  <r>
    <s v="Gen AI"/>
    <x v="48"/>
    <x v="49"/>
    <x v="5"/>
    <s v="[GEN AI - Opportunity Benchmark] - Search for Benchmark Opportunities via SSA"/>
    <n v="4278524"/>
    <s v="Sai kumar"/>
    <s v="Haripriya"/>
    <m/>
    <x v="41"/>
    <x v="1"/>
    <s v="LLM Response based OBM story"/>
    <x v="9"/>
    <m/>
    <m/>
    <m/>
    <m/>
    <m/>
    <m/>
    <m/>
    <m/>
    <m/>
    <x v="0"/>
    <x v="0"/>
    <s v="Completed"/>
    <s v="Completed"/>
    <n v="22"/>
    <n v="13"/>
    <n v="2"/>
    <n v="15"/>
    <n v="0.85"/>
    <n v="0.9"/>
    <s v="UAT In Test"/>
    <n v="15"/>
    <n v="0"/>
    <n v="0"/>
    <n v="0"/>
    <n v="15"/>
    <n v="1"/>
    <n v="1"/>
    <s v="Delivered to UAT for parallel testing"/>
    <x v="25"/>
    <x v="5"/>
  </r>
  <r>
    <s v="Solution Super Agent"/>
    <x v="55"/>
    <x v="56"/>
    <x v="5"/>
    <s v="[Gen AI - SSA] - As a MyISP user, I want to add an information icon on the 'PII reporting' form to display the purpose of the form."/>
    <n v="4372293"/>
    <s v="Haripriya"/>
    <s v="Sai kumar"/>
    <m/>
    <x v="43"/>
    <x v="0"/>
    <m/>
    <x v="0"/>
    <s v="Medium"/>
    <n v="1"/>
    <n v="1"/>
    <n v="15"/>
    <n v="1"/>
    <n v="1"/>
    <n v="1"/>
    <n v="0.6"/>
    <n v="0.6"/>
    <x v="0"/>
    <x v="0"/>
    <s v="Completed"/>
    <s v="Completed"/>
    <n v="30"/>
    <n v="1"/>
    <n v="3"/>
    <n v="4"/>
    <n v="0.25"/>
    <n v="0.25"/>
    <s v="UAT In Test"/>
    <n v="4"/>
    <n v="0"/>
    <n v="0"/>
    <n v="0"/>
    <n v="4"/>
    <n v="1"/>
    <n v="1"/>
    <m/>
    <x v="25"/>
    <x v="5"/>
  </r>
  <r>
    <s v="Solution Super Agent"/>
    <x v="52"/>
    <x v="53"/>
    <x v="6"/>
    <s v="[Gen AI - SSA] - As a myISP User, I should be able to see the 'Format' icon only for valid, AI?generated content responses so that I am not allowed to modify the tone for system messages, error messages that are not intended to be rewritten."/>
    <n v="4373745"/>
    <s v="Haripriya"/>
    <s v="Sai kumar"/>
    <m/>
    <x v="43"/>
    <x v="1"/>
    <s v="Invalid responses and multiple responses needs to be validated"/>
    <x v="9"/>
    <m/>
    <m/>
    <m/>
    <m/>
    <m/>
    <m/>
    <m/>
    <m/>
    <m/>
    <x v="0"/>
    <x v="0"/>
    <s v="Completed"/>
    <s v="Completed"/>
    <n v="25"/>
    <m/>
    <n v="4"/>
    <n v="4"/>
    <n v="0.8"/>
    <n v="1"/>
    <s v="UAT In Test"/>
    <n v="4"/>
    <n v="0"/>
    <n v="0"/>
    <n v="0"/>
    <n v="4"/>
    <n v="1"/>
    <n v="1"/>
    <m/>
    <x v="25"/>
    <x v="5"/>
  </r>
  <r>
    <s v="Solution Super Agent"/>
    <x v="50"/>
    <x v="51"/>
    <x v="5"/>
    <s v="[GenAI - SSA] - As a myISP User, I should be able to view the Alliance/Technology field within the Common Section in the global span of search."/>
    <n v="4357665"/>
    <s v="Haripriya"/>
    <s v="Sai kumar"/>
    <m/>
    <x v="43"/>
    <x v="0"/>
    <m/>
    <x v="0"/>
    <s v="Medium"/>
    <n v="1"/>
    <n v="1"/>
    <n v="10"/>
    <n v="1"/>
    <n v="1"/>
    <n v="1"/>
    <n v="0.7"/>
    <n v="0.6"/>
    <x v="0"/>
    <x v="0"/>
    <s v="Completed"/>
    <s v="Completed"/>
    <n v="30"/>
    <n v="1"/>
    <n v="4"/>
    <n v="5"/>
    <n v="0.25"/>
    <n v="0.25"/>
    <s v="UAT In Test"/>
    <n v="5"/>
    <n v="0"/>
    <n v="0"/>
    <n v="0"/>
    <n v="5"/>
    <n v="1"/>
    <n v="1"/>
    <m/>
    <x v="25"/>
    <x v="5"/>
  </r>
  <r>
    <s v="Solution Super Agent"/>
    <x v="50"/>
    <x v="51"/>
    <x v="5"/>
    <s v="[Gen AI - SSA] - As a myISP User, I should be able to access the 'Refine Span of Search' option at the top of the response near the See Filters control."/>
    <n v="4372156"/>
    <s v="Haripriya"/>
    <s v="Sai kumar"/>
    <m/>
    <x v="43"/>
    <x v="0"/>
    <m/>
    <x v="0"/>
    <s v="Medium"/>
    <n v="1"/>
    <n v="1"/>
    <n v="8"/>
    <n v="1"/>
    <n v="1"/>
    <n v="1"/>
    <n v="0.6"/>
    <n v="0.6"/>
    <x v="0"/>
    <x v="0"/>
    <s v="Completed"/>
    <s v="Completed"/>
    <n v="30"/>
    <m/>
    <m/>
    <n v="3"/>
    <n v="0.9"/>
    <n v="0.9"/>
    <s v="UAT In Test"/>
    <n v="4"/>
    <n v="0"/>
    <n v="0"/>
    <n v="0"/>
    <n v="4"/>
    <n v="1"/>
    <n v="1"/>
    <m/>
    <x v="25"/>
    <x v="5"/>
  </r>
  <r>
    <s v="Solution Super Agent"/>
    <x v="52"/>
    <x v="53"/>
    <x v="5"/>
    <s v="[Gen AI - SSA] - As a myISP User, I should be able to view the Solution Super Agent chat in a compact layout with reduced vertical spacing between elements."/>
    <n v="4368371"/>
    <s v="Haripriya"/>
    <s v="Sai kumar"/>
    <m/>
    <x v="43"/>
    <x v="1"/>
    <s v="Spacing validation cannot be automated"/>
    <x v="7"/>
    <m/>
    <m/>
    <m/>
    <m/>
    <m/>
    <m/>
    <m/>
    <m/>
    <m/>
    <x v="0"/>
    <x v="0"/>
    <s v="Completed"/>
    <s v="Completed"/>
    <n v="25"/>
    <n v="1"/>
    <n v="3"/>
    <n v="4"/>
    <n v="0.1"/>
    <n v="0.9"/>
    <s v="UAT In Test"/>
    <n v="3"/>
    <n v="0"/>
    <n v="0"/>
    <n v="0"/>
    <n v="3"/>
    <n v="1"/>
    <n v="1"/>
    <n v="4423452"/>
    <x v="25"/>
    <x v="5"/>
  </r>
  <r>
    <s v="Solution Super Agent"/>
    <x v="55"/>
    <x v="56"/>
    <x v="5"/>
    <s v="[Gen AI - SSA] - As a myISP User, I should be able to quickly report PII from the SSA chat interface using a dedicated �Report PII� icon so that I can immediately report PII."/>
    <n v="4368401"/>
    <s v="Haripriya"/>
    <s v="Sai kumar"/>
    <m/>
    <x v="43"/>
    <x v="1"/>
    <s v="Complex US involves many complex scenariosand UI Validation, Hence cant be automated"/>
    <x v="7"/>
    <m/>
    <m/>
    <m/>
    <m/>
    <m/>
    <m/>
    <m/>
    <m/>
    <m/>
    <x v="0"/>
    <x v="0"/>
    <s v="Completed"/>
    <s v="Completed"/>
    <n v="30"/>
    <n v="5"/>
    <n v="10"/>
    <n v="15"/>
    <n v="0.3"/>
    <n v="0.3"/>
    <s v="UAT In Test"/>
    <n v="15"/>
    <n v="0"/>
    <n v="0"/>
    <n v="0"/>
    <n v="15"/>
    <n v="1"/>
    <n v="1"/>
    <m/>
    <x v="25"/>
    <x v="5"/>
  </r>
  <r>
    <s v="Solution Review Agent"/>
    <x v="56"/>
    <x v="57"/>
    <x v="5"/>
    <s v="[Gen AI - SRA] - I should be able to click on any L2 nudge and perform a review in the Review Agent."/>
    <n v="4368402"/>
    <s v="Komal"/>
    <s v="Kalpana"/>
    <m/>
    <x v="3"/>
    <x v="1"/>
    <s v="Complex US involves response generation and nudge data validation and UI validation Hence cant be automated"/>
    <x v="9"/>
    <m/>
    <m/>
    <m/>
    <m/>
    <m/>
    <m/>
    <m/>
    <m/>
    <m/>
    <x v="0"/>
    <x v="0"/>
    <s v="Completed"/>
    <s v="Completed"/>
    <n v="20"/>
    <n v="8"/>
    <n v="9"/>
    <n v="9"/>
    <n v="0.75"/>
    <n v="0.9"/>
    <s v="UAT In Test"/>
    <n v="9"/>
    <n v="0"/>
    <n v="0"/>
    <n v="0"/>
    <n v="9"/>
    <n v="1"/>
    <n v="1"/>
    <m/>
    <x v="26"/>
    <x v="9"/>
  </r>
  <r>
    <s v="Solution Super Agent"/>
    <x v="55"/>
    <x v="56"/>
    <x v="5"/>
    <s v="[Gen AI - SSA] - As a myISP User, I should be able to view and complete the PII Reporting form in a clear, two?column layout."/>
    <n v="4368403"/>
    <s v="Komal"/>
    <s v="Kalpana"/>
    <m/>
    <x v="3"/>
    <x v="1"/>
    <s v="UI validation US, so automation not feasible"/>
    <x v="7"/>
    <m/>
    <m/>
    <m/>
    <m/>
    <m/>
    <m/>
    <m/>
    <m/>
    <m/>
    <x v="0"/>
    <x v="0"/>
    <s v="Completed"/>
    <s v="Completed"/>
    <n v="20"/>
    <n v="8"/>
    <n v="5"/>
    <n v="9"/>
    <n v="0.75"/>
    <n v="0.9"/>
    <s v="UAT In Test"/>
    <n v="6"/>
    <n v="0"/>
    <n v="0"/>
    <n v="0"/>
    <n v="6"/>
    <n v="1"/>
    <n v="1"/>
    <m/>
    <x v="25"/>
    <x v="5"/>
  </r>
  <r>
    <s v="Solution Super Agent"/>
    <x v="49"/>
    <x v="50"/>
    <x v="6"/>
    <s v="[Gen AI - SSA] - As a myISP User, I should be able to see a �Total responses completed� metric in the SSA Accuracy / Agent Info pane for an agent so that I can quickly understand how many proper responses that agent has successfully generated."/>
    <n v="4373635"/>
    <s v="Komal"/>
    <s v="Kalpana"/>
    <m/>
    <x v="3"/>
    <x v="1"/>
    <s v="Complex US involves response generation and nudge data validation, Hence cant be automated"/>
    <x v="9"/>
    <m/>
    <m/>
    <m/>
    <m/>
    <m/>
    <m/>
    <m/>
    <m/>
    <m/>
    <x v="0"/>
    <x v="0"/>
    <s v="Completed"/>
    <s v="Completed"/>
    <n v="20"/>
    <n v="8"/>
    <n v="8"/>
    <n v="9"/>
    <n v="0.75"/>
    <n v="0.9"/>
    <s v="UAT In Test"/>
    <n v="9"/>
    <n v="0"/>
    <n v="0"/>
    <n v="0"/>
    <n v="9"/>
    <n v="1"/>
    <n v="1"/>
    <m/>
    <x v="25"/>
    <x v="5"/>
  </r>
  <r>
    <s v="GEN AI"/>
    <x v="57"/>
    <x v="58"/>
    <x v="6"/>
    <s v="[GEN AI – HSP] Image Processing"/>
    <n v="4392105"/>
    <s v="Sujana"/>
    <s v="Dinesh"/>
    <m/>
    <x v="3"/>
    <x v="1"/>
    <s v="Validation of LLM responses is not possible"/>
    <x v="9"/>
    <m/>
    <m/>
    <m/>
    <m/>
    <m/>
    <m/>
    <m/>
    <m/>
    <m/>
    <x v="0"/>
    <x v="0"/>
    <s v="Completed"/>
    <s v="Completed"/>
    <m/>
    <m/>
    <n v="1"/>
    <n v="1"/>
    <m/>
    <n v="1"/>
    <s v="UAT In Test"/>
    <n v="1"/>
    <n v="0"/>
    <n v="0"/>
    <n v="0"/>
    <n v="1"/>
    <n v="1"/>
    <n v="1"/>
    <m/>
    <x v="27"/>
    <x v="5"/>
  </r>
  <r>
    <s v="Gen AI"/>
    <x v="58"/>
    <x v="59"/>
    <x v="5"/>
    <s v="[Gen AI - SSA]- View Predefined Legal Responses Without Selecting MMS ID"/>
    <n v="4368021"/>
    <s v="Vignesh"/>
    <s v="Dinesh"/>
    <m/>
    <x v="3"/>
    <x v="1"/>
    <s v="Validation of LLM responses is not possible"/>
    <x v="9"/>
    <m/>
    <m/>
    <m/>
    <m/>
    <m/>
    <m/>
    <m/>
    <m/>
    <m/>
    <x v="0"/>
    <x v="0"/>
    <s v="Completed"/>
    <s v="Completed"/>
    <n v="20"/>
    <n v="2"/>
    <n v="7"/>
    <n v="7"/>
    <n v="0.25"/>
    <n v="0.25"/>
    <s v="UAT In Test"/>
    <n v="7"/>
    <n v="0"/>
    <n v="0"/>
    <n v="0"/>
    <n v="7"/>
    <n v="1"/>
    <n v="1"/>
    <m/>
    <x v="25"/>
    <x v="5"/>
  </r>
  <r>
    <s v="Gen AI"/>
    <x v="58"/>
    <x v="59"/>
    <x v="5"/>
    <s v="[Gen AI - SSA]-View Generated Contract Content for Selected Nudge Using DSP"/>
    <n v="4368032"/>
    <s v="Sujana"/>
    <s v="Dinesh"/>
    <m/>
    <x v="3"/>
    <x v="1"/>
    <s v="Validation of LLM responses is not possible"/>
    <x v="9"/>
    <m/>
    <m/>
    <m/>
    <m/>
    <m/>
    <m/>
    <m/>
    <m/>
    <m/>
    <x v="0"/>
    <x v="0"/>
    <s v="Completed"/>
    <s v="Completed"/>
    <n v="20"/>
    <n v="2"/>
    <n v="6"/>
    <n v="8"/>
    <n v="0.5"/>
    <n v="0.5"/>
    <s v="UAT In Test"/>
    <n v="7"/>
    <n v="1"/>
    <n v="0"/>
    <n v="0"/>
    <n v="8"/>
    <n v="1"/>
    <n v="0.875"/>
    <m/>
    <x v="25"/>
    <x v="5"/>
  </r>
  <r>
    <s v="Gen AI"/>
    <x v="58"/>
    <x v="59"/>
    <x v="5"/>
    <s v="[Gen AI - SSA]- Check SWD Status and Download Scope &amp; Watch List Document"/>
    <n v="4368033"/>
    <s v="Komal"/>
    <s v="Kalpana"/>
    <m/>
    <x v="3"/>
    <x v="1"/>
    <s v="Validation of LLM responses is not possible"/>
    <x v="9"/>
    <m/>
    <m/>
    <m/>
    <m/>
    <m/>
    <m/>
    <m/>
    <m/>
    <m/>
    <x v="0"/>
    <x v="0"/>
    <s v="Completed"/>
    <s v="Completed"/>
    <n v="20"/>
    <n v="8"/>
    <n v="7"/>
    <n v="9"/>
    <n v="0.75"/>
    <n v="0.9"/>
    <s v="UAT In Test"/>
    <n v="7"/>
    <n v="0"/>
    <n v="0"/>
    <n v="0"/>
    <n v="7"/>
    <n v="1"/>
    <n v="1"/>
    <m/>
    <x v="25"/>
    <x v="5"/>
  </r>
  <r>
    <s v="Gen AI"/>
    <x v="58"/>
    <x v="59"/>
    <x v="5"/>
    <s v="[Gen AI - SSA]- Check Email Status and Trigger Email to Business SME"/>
    <n v="4368053"/>
    <s v="Shanmukii"/>
    <s v="Narmatha"/>
    <m/>
    <x v="37"/>
    <x v="1"/>
    <s v="Email user story cannot be automated"/>
    <x v="5"/>
    <m/>
    <m/>
    <m/>
    <m/>
    <m/>
    <m/>
    <m/>
    <m/>
    <m/>
    <x v="0"/>
    <x v="0"/>
    <s v="Completed"/>
    <s v="Completed"/>
    <n v="80"/>
    <n v="6"/>
    <n v="0"/>
    <n v="6"/>
    <n v="0.7"/>
    <n v="0.6"/>
    <s v="UAT In Test"/>
    <n v="6"/>
    <n v="0"/>
    <n v="0"/>
    <n v="0"/>
    <n v="6"/>
    <n v="1"/>
    <n v="1"/>
    <m/>
    <x v="25"/>
    <x v="5"/>
  </r>
  <r>
    <s v="Solution Super Agent"/>
    <x v="58"/>
    <x v="59"/>
    <x v="5"/>
    <s v="[Gen AI - SSA]- Display Disclaimer for Predefined and Generated Legal Responses"/>
    <n v="4368070"/>
    <s v="Shanmukii"/>
    <s v="Narmatha"/>
    <m/>
    <x v="37"/>
    <x v="0"/>
    <m/>
    <x v="0"/>
    <s v="Medium"/>
    <n v="1"/>
    <n v="1"/>
    <n v="3"/>
    <n v="1"/>
    <n v="0"/>
    <n v="1"/>
    <n v="0.6"/>
    <n v="0.5"/>
    <x v="0"/>
    <x v="0"/>
    <s v="Completed"/>
    <s v="Completed"/>
    <n v="97"/>
    <n v="3"/>
    <n v="0"/>
    <n v="3"/>
    <n v="0.6"/>
    <n v="0.5"/>
    <s v="UAT In Test"/>
    <n v="3"/>
    <n v="0"/>
    <n v="0"/>
    <n v="0"/>
    <n v="3"/>
    <n v="1"/>
    <n v="1"/>
    <m/>
    <x v="25"/>
    <x v="5"/>
  </r>
  <r>
    <s v="CDAT"/>
    <x v="34"/>
    <x v="35"/>
    <x v="6"/>
    <s v="As a myISP user, I want the existing Output Document generation behavior to continue working for previously supported nudges and also apply to newly added nudges."/>
    <n v="4372288"/>
    <s v="Varshini"/>
    <s v="Varadha"/>
    <m/>
    <x v="3"/>
    <x v="1"/>
    <s v="As this US needs comparision between UI and word document"/>
    <x v="2"/>
    <m/>
    <m/>
    <m/>
    <m/>
    <m/>
    <m/>
    <m/>
    <m/>
    <m/>
    <x v="0"/>
    <x v="0"/>
    <s v="Completed"/>
    <s v="Completed"/>
    <n v="43"/>
    <n v="0"/>
    <n v="14"/>
    <n v="0"/>
    <n v="0"/>
    <n v="0"/>
    <s v="UAT In Test"/>
    <n v="14"/>
    <n v="0"/>
    <n v="0"/>
    <n v="0"/>
    <n v="14"/>
    <n v="1"/>
    <n v="1"/>
    <m/>
    <x v="28"/>
    <x v="9"/>
  </r>
  <r>
    <s v="CDAT"/>
    <x v="34"/>
    <x v="35"/>
    <x v="6"/>
    <s v="As a myISP user, I want to add a few more nudges under the System Integration SI SG, so that the newly added SI nudges follow the same structure, logic, and response behavior as the existing SI nudges."/>
    <n v="4367411"/>
    <s v="Sai kumar"/>
    <s v="Haripriya"/>
    <m/>
    <x v="41"/>
    <x v="1"/>
    <s v="CDAT Integration from GenAI to Online cannot be Automated"/>
    <x v="9"/>
    <m/>
    <m/>
    <m/>
    <m/>
    <m/>
    <m/>
    <m/>
    <m/>
    <m/>
    <x v="0"/>
    <x v="0"/>
    <s v="Completed"/>
    <s v="Completed"/>
    <n v="34"/>
    <n v="17"/>
    <n v="5"/>
    <n v="22"/>
    <n v="0.8"/>
    <n v="0.85"/>
    <s v="UAT In Test"/>
    <n v="22"/>
    <n v="0"/>
    <n v="0"/>
    <n v="0"/>
    <n v="22"/>
    <n v="1"/>
    <n v="1"/>
    <s v="Delivered to UAT for parallel testing"/>
    <x v="28"/>
    <x v="9"/>
  </r>
  <r>
    <s v="CDAT"/>
    <x v="34"/>
    <x v="35"/>
    <x v="6"/>
    <s v="As a myISP user, I want to add a few more nudges under the System Integration AMS SG, so that the newly added AMS nudges follow the same structure, logic, and response behavior as the existing AMS nudges."/>
    <n v="4367444"/>
    <s v="Sai kumar"/>
    <s v="Haripriya"/>
    <m/>
    <x v="41"/>
    <x v="1"/>
    <s v="CDAT Integration from GenAI to Online cannot be Automated"/>
    <x v="9"/>
    <m/>
    <m/>
    <m/>
    <m/>
    <m/>
    <m/>
    <m/>
    <m/>
    <m/>
    <x v="0"/>
    <x v="0"/>
    <s v="Completed"/>
    <s v="Completed"/>
    <n v="35"/>
    <n v="18"/>
    <n v="4"/>
    <n v="22"/>
    <n v="0.85"/>
    <n v="0.87"/>
    <s v="UAT In Test"/>
    <n v="22"/>
    <n v="0"/>
    <n v="0"/>
    <n v="0"/>
    <n v="22"/>
    <n v="1"/>
    <n v="1"/>
    <s v="Delivered to UAT for parallel testing"/>
    <x v="28"/>
    <x v="9"/>
  </r>
  <r>
    <s v="CDAT"/>
    <x v="34"/>
    <x v="35"/>
    <x v="6"/>
    <s v="As a myISP user, I want to add a few more nudges under the System Integration IMS SG, so that the newly added IMS nudges follow the same structure, logic, and response behavior as the existing IMS nudges."/>
    <n v="4367450"/>
    <s v="Sai kumar"/>
    <s v="Haripriya"/>
    <m/>
    <x v="41"/>
    <x v="1"/>
    <s v="CDAT Integration from GenAI to Online cannot be Automated"/>
    <x v="9"/>
    <m/>
    <m/>
    <m/>
    <m/>
    <m/>
    <m/>
    <m/>
    <m/>
    <m/>
    <x v="0"/>
    <x v="0"/>
    <s v="Completed"/>
    <s v="Completed"/>
    <n v="38"/>
    <n v="16"/>
    <n v="6"/>
    <n v="22"/>
    <n v="0.8"/>
    <n v="0.85"/>
    <s v="UAT In Test"/>
    <n v="22"/>
    <n v="0"/>
    <n v="0"/>
    <n v="0"/>
    <n v="22"/>
    <n v="1"/>
    <n v="1"/>
    <s v="Delivered to UAT for parallel testing"/>
    <x v="28"/>
    <x v="9"/>
  </r>
  <r>
    <s v="GEN AI"/>
    <x v="57"/>
    <x v="58"/>
    <x v="6"/>
    <s v="[GEN AI - HSP] Prompts update for 8 categories based on SG wise in HSP."/>
    <n v="4381593"/>
    <s v="Shyam"/>
    <s v="Naveen A"/>
    <m/>
    <x v="44"/>
    <x v="1"/>
    <s v="Prompt response validation can't be automated"/>
    <x v="9"/>
    <m/>
    <m/>
    <m/>
    <m/>
    <m/>
    <m/>
    <m/>
    <m/>
    <m/>
    <x v="0"/>
    <x v="0"/>
    <s v="Completed"/>
    <s v="Completed"/>
    <n v="3"/>
    <n v="2"/>
    <n v="6"/>
    <n v="6"/>
    <n v="1"/>
    <n v="0.75"/>
    <s v="UAT In Test"/>
    <n v="6"/>
    <n v="0"/>
    <n v="0"/>
    <n v="0"/>
    <n v="6"/>
    <n v="1"/>
    <n v="1"/>
    <s v="Delivered To UAT"/>
    <x v="27"/>
    <x v="5"/>
  </r>
  <r>
    <s v="GEN AI"/>
    <x v="57"/>
    <x v="58"/>
    <x v="6"/>
    <s v="[GEN AI � HSP] SP Ingestion GC 5.5 - Both New and existing files"/>
    <n v="4381594"/>
    <s v="Sujana"/>
    <s v="Venkat"/>
    <m/>
    <x v="3"/>
    <x v="1"/>
    <s v="Prompt response validation can't be automated"/>
    <x v="9"/>
    <m/>
    <m/>
    <m/>
    <m/>
    <m/>
    <m/>
    <m/>
    <m/>
    <m/>
    <x v="0"/>
    <x v="0"/>
    <s v="Completed"/>
    <s v="Completed"/>
    <n v="28"/>
    <n v="4"/>
    <n v="2"/>
    <n v="6"/>
    <n v="0.25"/>
    <n v="0.25"/>
    <s v="UAT In Test"/>
    <n v="6"/>
    <n v="0"/>
    <n v="0"/>
    <n v="0"/>
    <n v="6"/>
    <n v="1"/>
    <n v="1"/>
    <m/>
    <x v="27"/>
    <x v="5"/>
  </r>
  <r>
    <s v="DSP"/>
    <x v="59"/>
    <x v="60"/>
    <x v="5"/>
    <s v="[DSP Core Solution Plan] MMD to DSP Published version navigation."/>
    <n v="4339301"/>
    <s v="Gayatri"/>
    <s v="Veena"/>
    <m/>
    <x v="35"/>
    <x v="1"/>
    <s v="This US has MMD website dependency so cannot be automated"/>
    <x v="8"/>
    <s v="Medium"/>
    <m/>
    <m/>
    <m/>
    <m/>
    <m/>
    <m/>
    <m/>
    <m/>
    <x v="0"/>
    <x v="0"/>
    <s v="Completed"/>
    <s v="Completed"/>
    <n v="15"/>
    <n v="15"/>
    <n v="2"/>
    <n v="17"/>
    <n v="1"/>
    <n v="1"/>
    <s v="Test Complete"/>
    <n v="17"/>
    <n v="0"/>
    <n v="0"/>
    <n v="0"/>
    <n v="17"/>
    <n v="1"/>
    <n v="1"/>
    <s v="uat testing is not required"/>
    <x v="12"/>
    <x v="5"/>
  </r>
  <r>
    <s v="GEN AI"/>
    <x v="47"/>
    <x v="48"/>
    <x v="5"/>
    <s v="[GEN AI - SGC] Version logic update for GEN AI SGC version selection."/>
    <n v="4311478"/>
    <s v="Jabeen"/>
    <s v="Prasanna"/>
    <m/>
    <x v="45"/>
    <x v="0"/>
    <m/>
    <x v="0"/>
    <s v="Complex"/>
    <n v="1"/>
    <n v="1"/>
    <n v="45"/>
    <n v="5"/>
    <n v="1"/>
    <n v="1"/>
    <n v="0.95"/>
    <n v="0.95"/>
    <x v="0"/>
    <x v="0"/>
    <s v="Completed"/>
    <s v="Completed"/>
    <n v="45"/>
    <n v="12"/>
    <n v="0"/>
    <n v="12"/>
    <n v="0.97"/>
    <n v="0.97"/>
    <s v="UAT In Test"/>
    <n v="12"/>
    <n v="0"/>
    <n v="0"/>
    <n v="0"/>
    <n v="12"/>
    <n v="1"/>
    <n v="1"/>
    <m/>
    <x v="24"/>
    <x v="9"/>
  </r>
  <r>
    <s v="DSP"/>
    <x v="59"/>
    <x v="60"/>
    <x v="5"/>
    <s v="[MMD DSP] Role Access restriction from MMD to DSP."/>
    <n v="4311483"/>
    <s v="Jabeen"/>
    <s v="Prasanna"/>
    <m/>
    <x v="45"/>
    <x v="1"/>
    <s v="Role specific MMD related"/>
    <x v="8"/>
    <m/>
    <m/>
    <m/>
    <m/>
    <m/>
    <m/>
    <m/>
    <m/>
    <m/>
    <x v="0"/>
    <x v="0"/>
    <s v="Completed"/>
    <s v="Completed"/>
    <n v="45"/>
    <n v="3"/>
    <n v="2"/>
    <n v="2"/>
    <n v="0.95"/>
    <n v="0.95"/>
    <s v="Test Complete"/>
    <n v="2"/>
    <n v="0"/>
    <n v="0"/>
    <n v="0"/>
    <n v="2"/>
    <n v="1"/>
    <n v="1"/>
    <n v="4436894"/>
    <x v="12"/>
    <x v="5"/>
  </r>
  <r>
    <s v="GEN AI"/>
    <x v="47"/>
    <x v="48"/>
    <x v="5"/>
    <s v="[GEN AI - RFP Synthesis] Business Value section from Opportunity Context Refinement with updated prompts as same as Technology service for Security, S&amp;C, Ops and IX services."/>
    <n v="4311485"/>
    <s v="Jabeen"/>
    <s v="Prasanna"/>
    <m/>
    <x v="45"/>
    <x v="1"/>
    <s v="Prompts related dynamic response"/>
    <x v="9"/>
    <m/>
    <m/>
    <m/>
    <m/>
    <m/>
    <m/>
    <m/>
    <m/>
    <m/>
    <x v="0"/>
    <x v="0"/>
    <s v="Completed"/>
    <s v="Completed"/>
    <n v="50"/>
    <n v="17"/>
    <n v="0"/>
    <n v="17"/>
    <n v="0.98"/>
    <n v="0.98"/>
    <s v="UAT In Test"/>
    <n v="18"/>
    <n v="0"/>
    <n v="0"/>
    <n v="0"/>
    <n v="18"/>
    <n v="1"/>
    <n v="1"/>
    <m/>
    <x v="24"/>
    <x v="9"/>
  </r>
  <r>
    <s v="GEN AI"/>
    <x v="47"/>
    <x v="48"/>
    <x v="5"/>
    <s v="[GEN AI - RFP Synthesis] New nudges to be added in Scope section under RFP Synthesis for Security, IX, Ops and S&amp;C Services."/>
    <n v="4370867"/>
    <s v="Jabeen"/>
    <s v="Prasanna"/>
    <m/>
    <x v="45"/>
    <x v="1"/>
    <s v="Prompts related dynamic response"/>
    <x v="9"/>
    <m/>
    <m/>
    <m/>
    <m/>
    <m/>
    <m/>
    <m/>
    <m/>
    <m/>
    <x v="0"/>
    <x v="0"/>
    <s v="Completed"/>
    <s v="Completed"/>
    <n v="60"/>
    <n v="18"/>
    <n v="0"/>
    <n v="18"/>
    <n v="0.98"/>
    <n v="0.98"/>
    <s v="UAT In Test"/>
    <n v="18"/>
    <n v="0"/>
    <n v="0"/>
    <n v="0"/>
    <n v="18"/>
    <n v="1"/>
    <n v="1"/>
    <m/>
    <x v="24"/>
    <x v="9"/>
  </r>
  <r>
    <s v="DLC"/>
    <x v="60"/>
    <x v="61"/>
    <x v="5"/>
    <s v="[DSP - DLC] Enter Answer data From WRWS to be pulled into Deal Level Canvas when user created a new Deal Level Canvas version."/>
    <n v="4371050"/>
    <s v="Aruna"/>
    <s v="Veena"/>
    <m/>
    <x v="46"/>
    <x v="0"/>
    <m/>
    <x v="0"/>
    <s v="Medium"/>
    <n v="2"/>
    <n v="0.8"/>
    <n v="8"/>
    <n v="5"/>
    <n v="2"/>
    <n v="2"/>
    <n v="0.5"/>
    <n v="0.5"/>
    <x v="0"/>
    <x v="0"/>
    <s v="Completed"/>
    <s v="Completed"/>
    <n v="8"/>
    <n v="6"/>
    <n v="14"/>
    <n v="14"/>
    <n v="0.5"/>
    <n v="0.5"/>
    <s v="UAT In Test"/>
    <n v="14"/>
    <n v="0"/>
    <n v="0"/>
    <n v="0"/>
    <n v="14"/>
    <n v="1"/>
    <n v="1"/>
    <s v="Delivered for parallel UAT"/>
    <x v="29"/>
    <x v="5"/>
  </r>
  <r>
    <s v="DSP"/>
    <x v="60"/>
    <x v="61"/>
    <x v="5"/>
    <s v="[DSP - Core Solution Plan] Toggle selection to be visible in download popups for selecting Inscope and All Scope items for Detailed Scope section"/>
    <n v="4373686"/>
    <s v="Aruna"/>
    <s v="Veena"/>
    <m/>
    <x v="46"/>
    <x v="1"/>
    <s v="PDF/PPT cannot be validated"/>
    <x v="2"/>
    <m/>
    <m/>
    <m/>
    <m/>
    <m/>
    <m/>
    <m/>
    <m/>
    <m/>
    <x v="0"/>
    <x v="0"/>
    <s v="Completed"/>
    <s v="Completed"/>
    <n v="8"/>
    <n v="4"/>
    <n v="20"/>
    <n v="20"/>
    <n v="0.3"/>
    <n v="0.3"/>
    <s v="UAT In Test"/>
    <n v="20"/>
    <n v="0"/>
    <n v="0"/>
    <n v="0"/>
    <n v="20"/>
    <n v="1"/>
    <n v="1"/>
    <s v="Delivered for parallel UAT"/>
    <x v="29"/>
    <x v="5"/>
  </r>
  <r>
    <s v="DSP"/>
    <x v="61"/>
    <x v="62"/>
    <x v="5"/>
    <s v="[DSP - Core Solution Plan] Productivity Assessment - Assessment Outcome to be added in downloaded PPT/PDF"/>
    <n v="4373712"/>
    <s v="Aruna"/>
    <s v="Veena"/>
    <m/>
    <x v="46"/>
    <x v="1"/>
    <s v="PDF/PPT cannot be validated"/>
    <x v="2"/>
    <m/>
    <m/>
    <m/>
    <m/>
    <m/>
    <m/>
    <m/>
    <m/>
    <m/>
    <x v="0"/>
    <x v="0"/>
    <s v="Completed"/>
    <s v="Completed"/>
    <n v="8"/>
    <n v="5"/>
    <n v="27"/>
    <n v="27"/>
    <n v="0.3"/>
    <n v="0.3"/>
    <s v="UAT In Test"/>
    <n v="27"/>
    <n v="0"/>
    <n v="0"/>
    <n v="0"/>
    <n v="27"/>
    <n v="1"/>
    <n v="1"/>
    <s v="Delivered for parallel UAT"/>
    <x v="29"/>
    <x v="5"/>
  </r>
  <r>
    <s v="GEN AI"/>
    <x v="47"/>
    <x v="48"/>
    <x v="5"/>
    <s v="[GEN AI - RFP Synthesis] New nudges to be visible in the output documents for RFP Synthesis for Security , Ops, IX and S&amp;C services."/>
    <n v="4371414"/>
    <s v="Jabeen"/>
    <s v="Prasanna"/>
    <m/>
    <x v="45"/>
    <x v="1"/>
    <s v="PPT/PDF cannot be validated"/>
    <x v="2"/>
    <m/>
    <m/>
    <m/>
    <m/>
    <m/>
    <m/>
    <m/>
    <m/>
    <m/>
    <x v="0"/>
    <x v="0"/>
    <s v="Completed"/>
    <s v="Completed"/>
    <n v="40"/>
    <n v="18"/>
    <n v="0"/>
    <n v="18"/>
    <n v="0.98"/>
    <n v="1"/>
    <s v="UAT In Test"/>
    <n v="18"/>
    <n v="0"/>
    <n v="0"/>
    <n v="0"/>
    <n v="18"/>
    <n v="1"/>
    <n v="1"/>
    <m/>
    <x v="24"/>
    <x v="9"/>
  </r>
  <r>
    <s v="DSP"/>
    <x v="62"/>
    <x v="63"/>
    <x v="5"/>
    <s v="[DSP - Core Solution Plan] As a myISP user, I want to be able to view all updated changes within the MDA-related screens in the downloaded PPT/PDF files for SI SG."/>
    <n v="4373649"/>
    <s v="Sonia"/>
    <s v="Narmatha"/>
    <m/>
    <x v="3"/>
    <x v="1"/>
    <s v="PPT and PDF validation cannot be automated"/>
    <x v="2"/>
    <m/>
    <m/>
    <m/>
    <m/>
    <m/>
    <m/>
    <m/>
    <m/>
    <m/>
    <x v="0"/>
    <x v="0"/>
    <s v="Completed"/>
    <s v="Completed"/>
    <n v="25"/>
    <n v="10"/>
    <n v="5"/>
    <n v="5"/>
    <n v="0.3"/>
    <n v="0.5"/>
    <s v="UAT In Test"/>
    <n v="5"/>
    <n v="0"/>
    <n v="0"/>
    <n v="0"/>
    <n v="5"/>
    <n v="1"/>
    <n v="1"/>
    <m/>
    <x v="29"/>
    <x v="5"/>
  </r>
  <r>
    <s v="DSP"/>
    <x v="62"/>
    <x v="63"/>
    <x v="5"/>
    <s v="[DSP - Core Solution Plan] As a myISP user, I want to be able to view all updated changes within the MDA-related screens in the downloaded PPT/PDF files for AMS SG."/>
    <n v="4373650"/>
    <s v="Sonia"/>
    <s v="Narmatha"/>
    <m/>
    <x v="3"/>
    <x v="1"/>
    <s v="PPT and PDF validation cannot be automated"/>
    <x v="2"/>
    <m/>
    <m/>
    <m/>
    <m/>
    <m/>
    <m/>
    <m/>
    <m/>
    <m/>
    <x v="0"/>
    <x v="0"/>
    <s v="Completed"/>
    <s v="Completed"/>
    <n v="25"/>
    <n v="10"/>
    <n v="4"/>
    <n v="4"/>
    <n v="0.3"/>
    <n v="0.5"/>
    <s v="UAT In Test"/>
    <n v="4"/>
    <n v="0"/>
    <n v="0"/>
    <n v="0"/>
    <n v="4"/>
    <n v="1"/>
    <n v="1"/>
    <m/>
    <x v="29"/>
    <x v="5"/>
  </r>
  <r>
    <s v="DSP"/>
    <x v="60"/>
    <x v="61"/>
    <x v="5"/>
    <s v="[DSP - Core Solution Plan] IMS Deal Pivot views updates for UI Headcount/Pyramid/Financial/DNP reports."/>
    <n v="4373711"/>
    <s v="Sonia"/>
    <s v="Narmatha"/>
    <m/>
    <x v="3"/>
    <x v="1"/>
    <s v="PBI report validation cannot be automated"/>
    <x v="11"/>
    <m/>
    <m/>
    <m/>
    <m/>
    <m/>
    <m/>
    <m/>
    <m/>
    <m/>
    <x v="0"/>
    <x v="0"/>
    <s v="Completed"/>
    <s v="Completed"/>
    <n v="25"/>
    <n v="10"/>
    <n v="3"/>
    <n v="3"/>
    <n v="0.3"/>
    <n v="0.5"/>
    <s v="UAT In Test"/>
    <n v="3"/>
    <n v="0"/>
    <n v="0"/>
    <n v="0"/>
    <n v="3"/>
    <n v="1"/>
    <n v="1"/>
    <m/>
    <x v="29"/>
    <x v="5"/>
  </r>
  <r>
    <s v="DSP"/>
    <x v="60"/>
    <x v="61"/>
    <x v="5"/>
    <s v="[DSP - SGC] Enter Answer data to be pulled into Service Group Canvas when user created a new DSP version."/>
    <n v="4373661"/>
    <s v="Divya Belli"/>
    <s v="Sai kumar"/>
    <m/>
    <x v="47"/>
    <x v="0"/>
    <m/>
    <x v="0"/>
    <s v="Complex"/>
    <n v="1"/>
    <n v="1"/>
    <n v="2"/>
    <n v="2"/>
    <n v="0"/>
    <n v="1"/>
    <n v="0.8"/>
    <n v="0.8"/>
    <x v="0"/>
    <x v="1"/>
    <s v="Completed"/>
    <s v="Completed"/>
    <n v="39"/>
    <n v="22"/>
    <n v="1"/>
    <n v="23"/>
    <n v="0.75"/>
    <n v="0.75"/>
    <s v="UAT In Test"/>
    <n v="23"/>
    <n v="0"/>
    <n v="0"/>
    <n v="0"/>
    <n v="23"/>
    <n v="1"/>
    <n v="1"/>
    <s v="Delivered To Uat"/>
    <x v="12"/>
    <x v="5"/>
  </r>
  <r>
    <s v="DSP"/>
    <x v="60"/>
    <x v="61"/>
    <x v="5"/>
    <s v="[DSP - Core Solution Plan] Automation Calculator Changes to be updated in DSP Automation Calculator screens for both AMS/SI -UI."/>
    <n v="4373654"/>
    <s v="Sonia"/>
    <s v="Narmatha"/>
    <m/>
    <x v="3"/>
    <x v="1"/>
    <s v="MDA Related validation cannot be automated"/>
    <x v="8"/>
    <m/>
    <m/>
    <m/>
    <m/>
    <m/>
    <m/>
    <m/>
    <m/>
    <m/>
    <x v="0"/>
    <x v="0"/>
    <s v="Completed"/>
    <s v="Completed"/>
    <n v="25"/>
    <n v="10"/>
    <n v="3"/>
    <n v="3"/>
    <n v="0.3"/>
    <n v="0.5"/>
    <s v="UAT In Test"/>
    <n v="3"/>
    <n v="0"/>
    <n v="0"/>
    <n v="0"/>
    <n v="3"/>
    <n v="1"/>
    <n v="1"/>
    <m/>
    <x v="20"/>
    <x v="5"/>
  </r>
  <r>
    <s v="DSP"/>
    <x v="60"/>
    <x v="61"/>
    <x v="5"/>
    <s v="[DSP - Core Solution Plan] DSP Fileds to be pulled from CXTA Calculator to Transition Overview in BPMS."/>
    <n v="4373656"/>
    <s v="Divya Belli"/>
    <s v="Sai kumar"/>
    <m/>
    <x v="47"/>
    <x v="1"/>
    <s v="Configuration of the data from the source screen ,Need to validate data from the source screen cannot be automated"/>
    <x v="9"/>
    <s v="Complex"/>
    <m/>
    <m/>
    <m/>
    <m/>
    <m/>
    <m/>
    <m/>
    <m/>
    <x v="0"/>
    <x v="1"/>
    <s v="Completed"/>
    <s v="Completed"/>
    <n v="40"/>
    <n v="33"/>
    <n v="0"/>
    <n v="33"/>
    <n v="0.7"/>
    <n v="0.7"/>
    <s v="UAT In Test"/>
    <n v="33"/>
    <n v="0"/>
    <n v="0"/>
    <n v="0"/>
    <n v="33"/>
    <n v="1"/>
    <n v="1"/>
    <s v="Delivered to Uat for Parallel Testing (4424797(M))_x000a_"/>
    <x v="20"/>
    <x v="5"/>
  </r>
  <r>
    <s v="DSP"/>
    <x v="61"/>
    <x v="62"/>
    <x v="5"/>
    <s v="[DSP - Core Solution Plan] DSP Fileds to be pulled from CXTA Calculator to Transition Overview in BPMS PPT/PDF."/>
    <n v="4373657"/>
    <s v="Divya Belli"/>
    <s v="Sai kumar"/>
    <m/>
    <x v="47"/>
    <x v="1"/>
    <s v="PPT and PDF cannot be automated"/>
    <x v="2"/>
    <s v="Complex"/>
    <m/>
    <m/>
    <m/>
    <m/>
    <m/>
    <m/>
    <m/>
    <m/>
    <x v="0"/>
    <x v="1"/>
    <s v="Completed"/>
    <s v="Completed"/>
    <n v="41"/>
    <n v="22"/>
    <n v="0"/>
    <n v="22"/>
    <n v="0.75"/>
    <n v="0.75"/>
    <s v="UAT In Test"/>
    <n v="22"/>
    <n v="0"/>
    <n v="0"/>
    <n v="0"/>
    <n v="22"/>
    <n v="1"/>
    <n v="1"/>
    <s v="Delivered to Uat for Parallel Testing (4424797(M))_x000a_"/>
    <x v="20"/>
    <x v="5"/>
  </r>
  <r>
    <s v="GEN AI"/>
    <x v="48"/>
    <x v="49"/>
    <x v="6"/>
    <s v="[GEN AI - OBM] Masking of Opp ID , Opp Name and Client Name in both Opportunity Cost and Opportunity Metrics tabs."/>
    <n v="4436203"/>
    <s v="Reshma"/>
    <s v="Harshitha"/>
    <m/>
    <x v="48"/>
    <x v="1"/>
    <s v="Newly added only on 19th March"/>
    <x v="12"/>
    <m/>
    <m/>
    <m/>
    <m/>
    <m/>
    <m/>
    <m/>
    <m/>
    <m/>
    <x v="0"/>
    <x v="0"/>
    <s v="Completed"/>
    <s v="In Progress"/>
    <n v="40"/>
    <n v="20"/>
    <n v="70"/>
    <n v="10"/>
    <n v="0.2"/>
    <n v="0.6"/>
    <s v="UAT In Test"/>
    <n v="8"/>
    <n v="1"/>
    <n v="0"/>
    <n v="0"/>
    <n v="9"/>
    <n v="1"/>
    <n v="0.88888888888888884"/>
    <s v="Bug ID: 4439739(M) Delivered to Parallel UAT"/>
    <x v="30"/>
    <x v="9"/>
  </r>
  <r>
    <s v="GEN AI"/>
    <x v="48"/>
    <x v="49"/>
    <x v="6"/>
    <s v="[GEN AI – Opportunity Benchmark] SG Tab‑Wise Enhancement – Costing &amp; Metrics at a Glance"/>
    <n v="4381589"/>
    <s v="Reshma"/>
    <s v="Harshitha"/>
    <m/>
    <x v="48"/>
    <x v="1"/>
    <s v="As it involves the validation of generated learnings against the KDA, it is complex for automation"/>
    <x v="9"/>
    <m/>
    <m/>
    <m/>
    <m/>
    <m/>
    <m/>
    <m/>
    <m/>
    <m/>
    <x v="0"/>
    <x v="0"/>
    <s v="Completed"/>
    <s v="Completed"/>
    <n v="40"/>
    <n v="20"/>
    <n v="70"/>
    <n v="11"/>
    <n v="0.2"/>
    <n v="0.6"/>
    <s v="UAT In Test"/>
    <n v="11"/>
    <n v="0"/>
    <n v="0"/>
    <n v="0"/>
    <n v="11"/>
    <n v="1"/>
    <n v="1"/>
    <s v="Delivered to Parallel UAT"/>
    <x v="30"/>
    <x v="9"/>
  </r>
  <r>
    <s v="GEN AI"/>
    <x v="48"/>
    <x v="49"/>
    <x v="6"/>
    <s v="[GEN AI - Opportunity Benchmark] Masking of Opp ID, Opportunity Name and Client name and to be displayed with Industry Segment - Client Type in OBM."/>
    <n v="4381591"/>
    <s v="Reshma"/>
    <s v="Harshitha"/>
    <m/>
    <x v="48"/>
    <x v="1"/>
    <s v="As it involves the validation of generated learnings against the KDA, it is complex for automation"/>
    <x v="9"/>
    <m/>
    <m/>
    <m/>
    <m/>
    <m/>
    <m/>
    <m/>
    <m/>
    <m/>
    <x v="0"/>
    <x v="0"/>
    <s v="Completed"/>
    <s v="In Progress"/>
    <n v="40"/>
    <n v="20"/>
    <n v="70"/>
    <n v="9"/>
    <n v="0.2"/>
    <n v="0.6"/>
    <s v="UAT In Test"/>
    <n v="8"/>
    <n v="1"/>
    <n v="0"/>
    <n v="0"/>
    <n v="9"/>
    <n v="1"/>
    <n v="0.88888888888888884"/>
    <s v="Bug ID: 4436955(M) Delivered to Parallel UAT"/>
    <x v="30"/>
    <x v="9"/>
  </r>
  <r>
    <s v="GEN AI"/>
    <x v="48"/>
    <x v="49"/>
    <x v="6"/>
    <s v="[GEN AI - Opportunity Benchmark] Table columns to be highlighted for Both solution standards and Benchmark varinces in OBM."/>
    <n v="4381592"/>
    <s v="Reshma"/>
    <s v="Harshitha"/>
    <m/>
    <x v="48"/>
    <x v="1"/>
    <s v="As it involves the validation of generated learnings against the KDA, it is complex for automation"/>
    <x v="9"/>
    <m/>
    <m/>
    <m/>
    <m/>
    <m/>
    <m/>
    <m/>
    <m/>
    <m/>
    <x v="0"/>
    <x v="0"/>
    <s v="Completed"/>
    <s v="Completed"/>
    <n v="20"/>
    <n v="10"/>
    <n v="80"/>
    <n v="12"/>
    <n v="0.1"/>
    <n v="0.7"/>
    <s v="UAT In Test"/>
    <n v="12"/>
    <n v="0"/>
    <n v="0"/>
    <n v="0"/>
    <n v="12"/>
    <n v="1"/>
    <n v="1"/>
    <s v="Delivered to Parallel UAT"/>
    <x v="30"/>
    <x v="9"/>
  </r>
  <r>
    <s v="GEN AI"/>
    <x v="48"/>
    <x v="49"/>
    <x v="6"/>
    <s v="[GEN AI - Opportunity Benchmark] Opportunity Cost Sub Tab - Configuration and displaying the data in Graph view (Additional Graphs)"/>
    <n v="4373713"/>
    <s v="Reshma"/>
    <s v="Harshitha"/>
    <m/>
    <x v="48"/>
    <x v="1"/>
    <s v="As it involves the validation of generated learnings against the KDA, it is complex for automation"/>
    <x v="9"/>
    <m/>
    <m/>
    <m/>
    <m/>
    <m/>
    <m/>
    <m/>
    <m/>
    <m/>
    <x v="0"/>
    <x v="0"/>
    <s v="Completed"/>
    <s v="Completed"/>
    <n v="50"/>
    <n v="20"/>
    <n v="70"/>
    <n v="17"/>
    <n v="0.2"/>
    <n v="0.5"/>
    <s v="UAT In Test"/>
    <n v="17"/>
    <n v="0"/>
    <n v="0"/>
    <n v="0"/>
    <n v="17"/>
    <n v="1"/>
    <n v="1"/>
    <s v="Delivered to Parallel UAT"/>
    <x v="30"/>
    <x v="9"/>
  </r>
  <r>
    <s v="GEN AI"/>
    <x v="48"/>
    <x v="49"/>
    <x v="6"/>
    <s v="[GEN AI - Opportunity Benchmark] Opportunity Metrics Sub Tab - Configuration and displaying the data in Graph view(Additional Graphs)"/>
    <n v="4373716"/>
    <s v="Reshma"/>
    <s v="Harshitha"/>
    <m/>
    <x v="48"/>
    <x v="1"/>
    <s v="As it involves the validation of generated learnings against the KDA, it is complex for automation"/>
    <x v="9"/>
    <m/>
    <m/>
    <m/>
    <m/>
    <m/>
    <m/>
    <m/>
    <m/>
    <m/>
    <x v="0"/>
    <x v="0"/>
    <s v="Completed"/>
    <s v="Completed"/>
    <n v="50"/>
    <n v="25"/>
    <n v="60"/>
    <n v="21"/>
    <n v="0.25"/>
    <n v="0.25"/>
    <s v="UAT In Test"/>
    <n v="21"/>
    <n v="0"/>
    <n v="0"/>
    <n v="0"/>
    <n v="21"/>
    <n v="1"/>
    <n v="1"/>
    <s v="Delivered to Parallel UAT"/>
    <x v="30"/>
    <x v="9"/>
  </r>
  <r>
    <s v="GEN AI"/>
    <x v="53"/>
    <x v="54"/>
    <x v="6"/>
    <s v="[GEN AI - SVC] Cost Comparison Table flow in Solution Version Comparator."/>
    <n v="4345085"/>
    <s v="Swati"/>
    <s v="Varadha"/>
    <m/>
    <x v="49"/>
    <x v="1"/>
    <s v="As it involves the validation of generated learnings against the KDA, it is complex for automation"/>
    <x v="9"/>
    <s v="Complex"/>
    <m/>
    <m/>
    <m/>
    <m/>
    <m/>
    <m/>
    <m/>
    <m/>
    <x v="0"/>
    <x v="0"/>
    <s v="Completed"/>
    <s v="In Progress"/>
    <n v="51"/>
    <n v="32"/>
    <n v="0"/>
    <n v="32"/>
    <n v="0.64"/>
    <n v="0.64"/>
    <s v="UAT In Test"/>
    <n v="8"/>
    <n v="5"/>
    <n v="0"/>
    <n v="0"/>
    <n v="13"/>
    <n v="1"/>
    <n v="0.61538461538461542"/>
    <s v="2H, 1L, 5 M Bugs"/>
    <x v="30"/>
    <x v="9"/>
  </r>
  <r>
    <s v="GEN AI"/>
    <x v="53"/>
    <x v="54"/>
    <x v="6"/>
    <s v="[GEN AI - SVC] KDA Comparison Table flow in Solution Version Comparator."/>
    <n v="4345110"/>
    <s v="Swati"/>
    <s v="Varadha"/>
    <m/>
    <x v="49"/>
    <x v="1"/>
    <s v="As it involves the validation of generated learnings against the KDA, it is complex for automation"/>
    <x v="9"/>
    <s v="Complex"/>
    <m/>
    <m/>
    <m/>
    <m/>
    <m/>
    <m/>
    <m/>
    <m/>
    <x v="0"/>
    <x v="0"/>
    <s v="Completed"/>
    <s v="In Progress"/>
    <n v="50"/>
    <n v="31"/>
    <n v="0"/>
    <n v="31"/>
    <n v="0.62"/>
    <n v="0.62"/>
    <s v="UAT In Test"/>
    <n v="5"/>
    <n v="5"/>
    <n v="0"/>
    <n v="0"/>
    <n v="10"/>
    <n v="1"/>
    <n v="0.5"/>
    <s v="2H, 1L, 5 M Bugs"/>
    <x v="30"/>
    <x v="9"/>
  </r>
  <r>
    <s v="GEN AI"/>
    <x v="48"/>
    <x v="49"/>
    <x v="6"/>
    <s v="[GEN AI - Opportunity Benchmark] Edit span of search logic update for QDI / Opportunity Benchmarks"/>
    <n v="4240159"/>
    <s v="Harshitha"/>
    <s v="Reshma"/>
    <m/>
    <x v="42"/>
    <x v="1"/>
    <s v="Complex user story cannot automate as iwe need to generate multiple learnings and it contains multiple checks"/>
    <x v="9"/>
    <s v="Complex"/>
    <m/>
    <m/>
    <m/>
    <m/>
    <m/>
    <m/>
    <m/>
    <m/>
    <x v="0"/>
    <x v="0"/>
    <s v="Completed"/>
    <s v="Completed"/>
    <n v="20"/>
    <n v="10"/>
    <n v="5"/>
    <n v="15"/>
    <n v="0.5"/>
    <n v="0.75"/>
    <s v="UAT In Test"/>
    <n v="15"/>
    <n v="0"/>
    <n v="0"/>
    <n v="0"/>
    <n v="15"/>
    <n v="1"/>
    <n v="1"/>
    <s v="Delivered to UAT  "/>
    <x v="30"/>
    <x v="9"/>
  </r>
  <r>
    <s v="GEN AI"/>
    <x v="53"/>
    <x v="54"/>
    <x v="6"/>
    <s v="[GEN AI - SVC] Solution Version Comparator flow to be added in Opportunity Benchmarks tab for all SGs."/>
    <n v="4240156"/>
    <s v="Naveen Arunachalam"/>
    <s v="Shyam"/>
    <m/>
    <x v="50"/>
    <x v="1"/>
    <s v="OBM generate learning related stories so can't be automated"/>
    <x v="10"/>
    <m/>
    <m/>
    <m/>
    <m/>
    <m/>
    <m/>
    <m/>
    <m/>
    <m/>
    <x v="0"/>
    <x v="0"/>
    <s v="Completed"/>
    <s v="Completed"/>
    <n v="20"/>
    <n v="10"/>
    <n v="70"/>
    <n v="80"/>
    <n v="0.1"/>
    <n v="0.4"/>
    <s v="UAT In Test"/>
    <n v="6"/>
    <n v="0"/>
    <n v="0"/>
    <n v="0"/>
    <n v="6"/>
    <n v="1"/>
    <n v="1"/>
    <s v="Deliver to parallel UAT testing"/>
    <x v="30"/>
    <x v="9"/>
  </r>
  <r>
    <s v="GEN AI"/>
    <x v="48"/>
    <x v="49"/>
    <x v="6"/>
    <s v="[GEN AI - Opportunity Benchmark] Navigation to the Opportunity Benchmarks tab from Select Span of search popup."/>
    <n v="4105351"/>
    <s v="Kalpana"/>
    <s v="Navya"/>
    <m/>
    <x v="51"/>
    <x v="1"/>
    <s v="OBM generate learning related stories so can't be automated"/>
    <x v="10"/>
    <s v="Complex"/>
    <m/>
    <m/>
    <m/>
    <m/>
    <m/>
    <m/>
    <m/>
    <m/>
    <x v="0"/>
    <x v="0"/>
    <s v="Completed"/>
    <s v="Completed"/>
    <n v="24"/>
    <n v="15"/>
    <n v="7"/>
    <n v="18"/>
    <n v="0.8"/>
    <n v="0.8"/>
    <s v="UAT In Test"/>
    <n v="18"/>
    <n v="0"/>
    <n v="0"/>
    <n v="0"/>
    <n v="18"/>
    <n v="1"/>
    <n v="1"/>
    <s v="Delivered to Parallel UAT"/>
    <x v="30"/>
    <x v="9"/>
  </r>
  <r>
    <s v="GEN AI"/>
    <x v="48"/>
    <x v="49"/>
    <x v="6"/>
    <s v="[GEN AI - Opportunity Benchmark] Solution version selection not available for any one of the SG Flow."/>
    <n v="4105353"/>
    <s v="Kalpana"/>
    <s v="Navya"/>
    <m/>
    <x v="51"/>
    <x v="1"/>
    <s v="As it involves the validation of generated learnings against the KDA, it is complex for automation"/>
    <x v="9"/>
    <s v="Complex"/>
    <m/>
    <m/>
    <m/>
    <m/>
    <m/>
    <m/>
    <m/>
    <m/>
    <x v="0"/>
    <x v="0"/>
    <s v="Completed"/>
    <s v="Completed"/>
    <n v="20"/>
    <n v="17"/>
    <n v="10"/>
    <n v="20"/>
    <n v="0.9"/>
    <n v="0.8"/>
    <s v="UAT In Test"/>
    <n v="20"/>
    <n v="0"/>
    <n v="0"/>
    <n v="0"/>
    <n v="20"/>
    <n v="1"/>
    <n v="1"/>
    <s v="Delivered to Parallel UAT"/>
    <x v="30"/>
    <x v="9"/>
  </r>
  <r>
    <s v="GEN AI"/>
    <x v="48"/>
    <x v="49"/>
    <x v="6"/>
    <s v="[GEN AI - Opportunity Benchmark] Updated Span of search for QDI/Opportunity Benchmark."/>
    <n v="4330982"/>
    <s v="Kalpana"/>
    <s v="Navya"/>
    <m/>
    <x v="51"/>
    <x v="1"/>
    <s v="more filters criterias to be validated cannot automated"/>
    <x v="9"/>
    <s v="Complex"/>
    <m/>
    <m/>
    <m/>
    <m/>
    <m/>
    <m/>
    <m/>
    <m/>
    <x v="0"/>
    <x v="0"/>
    <s v="Completed"/>
    <s v="Completed"/>
    <n v="24"/>
    <n v="12"/>
    <n v="10"/>
    <n v="14"/>
    <n v="1"/>
    <n v="1"/>
    <s v="UAT In Test"/>
    <n v="14"/>
    <n v="0"/>
    <n v="0"/>
    <n v="0"/>
    <n v="14"/>
    <n v="1"/>
    <n v="1"/>
    <s v="Delivered For UAT"/>
    <x v="30"/>
    <x v="9"/>
  </r>
  <r>
    <s v="GEN AI"/>
    <x v="48"/>
    <x v="49"/>
    <x v="6"/>
    <s v="[GEN AI - Opportunity Benchmark ] Both Benchmarks and Solution Version Selection flow -- Opportunity Benchmarks Learning Type."/>
    <n v="4330983"/>
    <s v="Harshitha"/>
    <s v="Reshma"/>
    <m/>
    <x v="42"/>
    <x v="1"/>
    <s v="So complex user story as it contains more screen validation of Gen AI scenarios and more filters criterias"/>
    <x v="9"/>
    <s v="Complex"/>
    <m/>
    <m/>
    <m/>
    <m/>
    <m/>
    <m/>
    <m/>
    <m/>
    <x v="0"/>
    <x v="0"/>
    <s v="Completed"/>
    <s v="Completed"/>
    <n v="10"/>
    <n v="10"/>
    <n v="12"/>
    <n v="22"/>
    <n v="0.53"/>
    <n v="0.66"/>
    <s v="UAT In Test"/>
    <n v="22"/>
    <n v="0"/>
    <n v="0"/>
    <n v="0"/>
    <n v="22"/>
    <n v="1"/>
    <n v="1"/>
    <s v="Delivered to UAT"/>
    <x v="30"/>
    <x v="9"/>
  </r>
  <r>
    <s v="Gen AI"/>
    <x v="48"/>
    <x v="49"/>
    <x v="6"/>
    <s v="[GEN AI - Opportunity Benchmark] -Add or Edit Opportunities in Benchmark Analysis"/>
    <n v="4278575"/>
    <s v="Prasanna"/>
    <s v="Sushmeta"/>
    <m/>
    <x v="38"/>
    <x v="1"/>
    <s v="KDA Configurations Should be Compared to OBM which Cant be Automated"/>
    <x v="10"/>
    <s v="Complex"/>
    <m/>
    <m/>
    <m/>
    <m/>
    <m/>
    <m/>
    <m/>
    <m/>
    <x v="0"/>
    <x v="0"/>
    <s v="Completed"/>
    <s v="Completed"/>
    <s v="20"/>
    <s v="2"/>
    <s v="10"/>
    <s v="8"/>
    <n v="0.1"/>
    <s v="40%"/>
    <s v="UAT In Test"/>
    <n v="8"/>
    <n v="0"/>
    <n v="0"/>
    <n v="0"/>
    <n v="8"/>
    <n v="1"/>
    <n v="1"/>
    <s v="Delivered for Parallel Testing"/>
    <x v="25"/>
    <x v="5"/>
  </r>
  <r>
    <s v="GEN AI"/>
    <x v="48"/>
    <x v="49"/>
    <x v="6"/>
    <s v="[GEN AI - Opportunity Benchmark] Benchmark opportunity selection for refreshing the data for Cost and KDA Metrics table/graph details for all SGs."/>
    <n v="4287425"/>
    <s v="Swati"/>
    <s v="Varadha"/>
    <m/>
    <x v="49"/>
    <x v="1"/>
    <s v="OBM generate learning related stories so can't be automated"/>
    <x v="10"/>
    <s v="Complex"/>
    <m/>
    <m/>
    <m/>
    <m/>
    <m/>
    <m/>
    <m/>
    <m/>
    <x v="0"/>
    <x v="0"/>
    <s v="Completed"/>
    <s v="In Progress"/>
    <n v="50"/>
    <n v="32"/>
    <n v="0"/>
    <n v="32"/>
    <n v="0.64"/>
    <n v="0.64"/>
    <s v="UAT In Test"/>
    <n v="7"/>
    <n v="4"/>
    <n v="0"/>
    <n v="0"/>
    <n v="11"/>
    <n v="1"/>
    <n v="0.63636363636363635"/>
    <s v="3 M, 1 L Bugs"/>
    <x v="30"/>
    <x v="9"/>
  </r>
  <r>
    <s v="GEN AI"/>
    <x v="53"/>
    <x v="54"/>
    <x v="6"/>
    <s v="[GEN AI - SVC] Solution Version Comparator Inside agent flow from SSA."/>
    <n v="4240162"/>
    <s v="Narmatha"/>
    <s v="Shanmukii"/>
    <m/>
    <x v="52"/>
    <x v="1"/>
    <s v="As it involves the validation of generated learnings against the KDA, it is complex for automation"/>
    <x v="9"/>
    <s v="Complex"/>
    <m/>
    <m/>
    <m/>
    <m/>
    <m/>
    <m/>
    <m/>
    <m/>
    <x v="0"/>
    <x v="0"/>
    <s v="Completed"/>
    <s v="Completed"/>
    <n v="70"/>
    <n v="48"/>
    <n v="0"/>
    <n v="14"/>
    <n v="0.89"/>
    <n v="0.7"/>
    <s v="UAT In Test"/>
    <n v="14"/>
    <n v="0"/>
    <n v="0"/>
    <n v="0"/>
    <n v="14"/>
    <n v="1"/>
    <n v="1"/>
    <m/>
    <x v="30"/>
    <x v="9"/>
  </r>
  <r>
    <s v="GEN AI"/>
    <x v="48"/>
    <x v="49"/>
    <x v="6"/>
    <s v="[GEN AI - Opportunity Benchmark] Benchmarks flow -- Benchmarks Only selected flow for Opportunity Benchmarks Learning Type."/>
    <n v="4270616"/>
    <s v="Narmatha"/>
    <s v="Shanmukii"/>
    <m/>
    <x v="52"/>
    <x v="1"/>
    <s v="As it involves the validation of generated learnings against the KDA, it is complex for automation"/>
    <x v="9"/>
    <s v="Complex"/>
    <m/>
    <m/>
    <m/>
    <m/>
    <m/>
    <m/>
    <m/>
    <m/>
    <x v="0"/>
    <x v="0"/>
    <s v="Completed"/>
    <s v="Completed"/>
    <n v="45"/>
    <n v="38"/>
    <n v="2"/>
    <n v="27"/>
    <n v="0.85"/>
    <n v="0.65"/>
    <s v="UAT In Test"/>
    <n v="25"/>
    <n v="0"/>
    <n v="0"/>
    <n v="0"/>
    <n v="25"/>
    <n v="1"/>
    <n v="1"/>
    <m/>
    <x v="30"/>
    <x v="9"/>
  </r>
  <r>
    <s v="GEN AI"/>
    <x v="48"/>
    <x v="49"/>
    <x v="6"/>
    <s v="[GEN AI - Retrospective Learning] Learning Landing Page is updated with the new design."/>
    <n v="4270617"/>
    <s v="Swati"/>
    <s v="Varadha"/>
    <m/>
    <x v="49"/>
    <x v="1"/>
    <s v="OBM generate learning related stories so can't be automated"/>
    <x v="10"/>
    <s v="Complex"/>
    <m/>
    <m/>
    <m/>
    <m/>
    <m/>
    <m/>
    <m/>
    <m/>
    <x v="0"/>
    <x v="0"/>
    <s v="Completed"/>
    <s v="Completed"/>
    <n v="55"/>
    <n v="0"/>
    <n v="6"/>
    <n v="6"/>
    <n v="0"/>
    <n v="0"/>
    <s v="UAT In Test"/>
    <n v="6"/>
    <n v="0"/>
    <n v="0"/>
    <n v="0"/>
    <n v="6"/>
    <n v="1"/>
    <n v="1"/>
    <m/>
    <x v="30"/>
    <x v="9"/>
  </r>
  <r>
    <s v="GEN AI"/>
    <x v="48"/>
    <x v="49"/>
    <x v="6"/>
    <s v="[GEN AI - Opportunity Benchmark] Refresh button for refreshing the data for Cost and KDA Metrics details in the Solution Version for all SGs."/>
    <n v="4147645"/>
    <s v="Naveen Arunachalam"/>
    <s v="Shyam"/>
    <m/>
    <x v="50"/>
    <x v="1"/>
    <s v="OBM generate learning related stories so can't be automated"/>
    <x v="10"/>
    <m/>
    <m/>
    <m/>
    <m/>
    <m/>
    <m/>
    <m/>
    <m/>
    <m/>
    <x v="0"/>
    <x v="0"/>
    <s v="Completed"/>
    <s v="Completed"/>
    <n v="10"/>
    <n v="5"/>
    <n v="90"/>
    <n v="80"/>
    <n v="0.2"/>
    <n v="0.5"/>
    <s v="UAT In Test"/>
    <n v="3"/>
    <n v="0"/>
    <n v="0"/>
    <n v="0"/>
    <n v="3"/>
    <n v="1"/>
    <n v="1"/>
    <s v="Deliverd to UAT"/>
    <x v="30"/>
    <x v="9"/>
  </r>
  <r>
    <s v="GEN AI"/>
    <x v="48"/>
    <x v="49"/>
    <x v="6"/>
    <s v="[GEN AI - Opportunity Benchmark] Notes/Edit Span of search/Notification icon to be made as common and will be visible for Opportunity Benchmarks"/>
    <n v="4147648"/>
    <s v="Naveen Arunachalam"/>
    <s v="Shyam"/>
    <m/>
    <x v="50"/>
    <x v="1"/>
    <s v="OBM generate learning related stories so can't be automated"/>
    <x v="10"/>
    <m/>
    <m/>
    <m/>
    <m/>
    <m/>
    <m/>
    <m/>
    <m/>
    <m/>
    <x v="0"/>
    <x v="0"/>
    <s v="Completed"/>
    <s v="Completed"/>
    <n v="30"/>
    <n v="10"/>
    <n v="80"/>
    <n v="90"/>
    <n v="0.1"/>
    <n v="0.4"/>
    <s v="UAT In Test"/>
    <n v="13"/>
    <n v="0"/>
    <n v="0"/>
    <n v="0"/>
    <n v="13"/>
    <n v="1"/>
    <n v="1"/>
    <s v="Deliverd to UAT"/>
    <x v="30"/>
    <x v="9"/>
  </r>
  <r>
    <s v="GEN AI"/>
    <x v="48"/>
    <x v="49"/>
    <x v="6"/>
    <s v="[GEN AI - Opportunity Benchmark] Metrics at a glance flow with both Benchmarks/Solution Version Selection flow under Opportunity Metrics sub tab."/>
    <n v="4147649"/>
    <s v="Naveen Arunachalam"/>
    <s v="Shyam"/>
    <m/>
    <x v="50"/>
    <x v="1"/>
    <s v="OBM generate learning related stories so can't be automated"/>
    <x v="10"/>
    <m/>
    <m/>
    <m/>
    <m/>
    <m/>
    <m/>
    <m/>
    <m/>
    <m/>
    <x v="0"/>
    <x v="0"/>
    <s v="Completed"/>
    <s v="Completed"/>
    <n v="40"/>
    <n v="5"/>
    <n v="70"/>
    <n v="80"/>
    <n v="0.2"/>
    <n v="0.5"/>
    <s v="UAT In Test"/>
    <n v="5"/>
    <n v="0"/>
    <n v="0"/>
    <n v="0"/>
    <n v="5"/>
    <n v="1"/>
    <n v="1"/>
    <s v="Deliverd to UAT"/>
    <x v="30"/>
    <x v="9"/>
  </r>
  <r>
    <s v="GEN AI"/>
    <x v="48"/>
    <x v="49"/>
    <x v="6"/>
    <s v="[GEN AI - Opportunity Benchmark] After generating the Opportunity Benchmarks and Sub Tabs displaying of Opportunity Benchmarks."/>
    <n v="4177442"/>
    <s v="Kalpana"/>
    <s v="Navya"/>
    <m/>
    <x v="51"/>
    <x v="1"/>
    <s v="As it involves the validation of generated learnings against the KDA, it is complex for automation"/>
    <x v="9"/>
    <s v="Complex"/>
    <m/>
    <m/>
    <m/>
    <m/>
    <m/>
    <m/>
    <m/>
    <m/>
    <x v="0"/>
    <x v="0"/>
    <s v="Completed"/>
    <s v="Completed"/>
    <n v="10"/>
    <n v="6"/>
    <n v="5"/>
    <n v="6"/>
    <n v="0.9"/>
    <n v="0.9"/>
    <s v="UAT In Test"/>
    <n v="6"/>
    <n v="0"/>
    <n v="0"/>
    <n v="0"/>
    <n v="6"/>
    <n v="1"/>
    <n v="1"/>
    <s v="Delivered to Parallel UAT"/>
    <x v="30"/>
    <x v="9"/>
  </r>
  <r>
    <s v="GEN AI"/>
    <x v="48"/>
    <x v="49"/>
    <x v="6"/>
    <s v="[GEN AI - Opportunity Benchmark] Mail and learning name update for Retrospective learnings"/>
    <n v="4177443"/>
    <s v="Kalpana"/>
    <s v="Navya"/>
    <m/>
    <x v="51"/>
    <x v="1"/>
    <s v="Email Validation cannot be automated"/>
    <x v="5"/>
    <s v="Complex"/>
    <m/>
    <m/>
    <m/>
    <m/>
    <m/>
    <m/>
    <m/>
    <m/>
    <x v="0"/>
    <x v="0"/>
    <s v="Completed"/>
    <s v="Completed"/>
    <n v="9"/>
    <n v="5"/>
    <n v="5"/>
    <n v="5"/>
    <n v="0.8"/>
    <n v="0.8"/>
    <s v="UAT In Test"/>
    <n v="5"/>
    <n v="0"/>
    <n v="0"/>
    <n v="0"/>
    <n v="5"/>
    <n v="1"/>
    <n v="1"/>
    <s v="Delivered to Parallel UAT"/>
    <x v="30"/>
    <x v="9"/>
  </r>
  <r>
    <s v="GEN AI"/>
    <x v="48"/>
    <x v="49"/>
    <x v="6"/>
    <s v="[GEN AI - Opportunity Benchmark] Validations for Solution Comparator/Opportunity Benchmarks."/>
    <n v="4183206"/>
    <s v="Narmatha"/>
    <s v="Shanmukii"/>
    <m/>
    <x v="52"/>
    <x v="1"/>
    <s v="As it involves the validation of generated learnings against the KDA, it is complex for automation"/>
    <x v="9"/>
    <s v="Complex"/>
    <m/>
    <m/>
    <m/>
    <m/>
    <m/>
    <m/>
    <m/>
    <m/>
    <x v="0"/>
    <x v="0"/>
    <s v="Completed"/>
    <s v="Completed"/>
    <n v="40"/>
    <n v="35"/>
    <n v="2"/>
    <n v="21"/>
    <n v="0.75"/>
    <n v="0.7"/>
    <s v="UAT In Test"/>
    <n v="21"/>
    <n v="0"/>
    <n v="0"/>
    <n v="0"/>
    <n v="21"/>
    <n v="1"/>
    <n v="1"/>
    <m/>
    <x v="30"/>
    <x v="9"/>
  </r>
  <r>
    <s v="GEN AI"/>
    <x v="48"/>
    <x v="49"/>
    <x v="6"/>
    <s v="[GEN AI - Opportunity Benchmark] Opportunity Benchmark/Solution Comparator - Was this all content useful ? feedback option to be added in each subtab."/>
    <n v="4183207"/>
    <s v="Swati"/>
    <s v="Varadha"/>
    <m/>
    <x v="49"/>
    <x v="1"/>
    <s v="OBM generate learning related stories so can't be automated"/>
    <x v="10"/>
    <s v="Complex"/>
    <m/>
    <m/>
    <m/>
    <m/>
    <m/>
    <m/>
    <m/>
    <m/>
    <x v="0"/>
    <x v="0"/>
    <s v="Completed"/>
    <s v="Completed"/>
    <n v="34"/>
    <n v="14"/>
    <n v="0"/>
    <n v="14"/>
    <n v="0.42"/>
    <n v="0.42"/>
    <s v="UAT In Test"/>
    <n v="2"/>
    <n v="0"/>
    <n v="0"/>
    <n v="0"/>
    <n v="2"/>
    <n v="1"/>
    <n v="1"/>
    <m/>
    <x v="30"/>
    <x v="9"/>
  </r>
  <r>
    <s v="GEN AI"/>
    <x v="48"/>
    <x v="49"/>
    <x v="6"/>
    <s v="[GEN AI - Opportunity Benchmark] QDI/Opportunity Benchmarks/Solution Version Comparator Notification Messages."/>
    <n v="4223630"/>
    <s v="Narmatha"/>
    <s v="Shanmukii"/>
    <m/>
    <x v="52"/>
    <x v="1"/>
    <s v="As it involves the validation of generated learnings against the KDA, it is complex for automation"/>
    <x v="9"/>
    <s v="Complex"/>
    <m/>
    <m/>
    <m/>
    <m/>
    <m/>
    <m/>
    <m/>
    <m/>
    <x v="0"/>
    <x v="0"/>
    <s v="Completed"/>
    <s v="Completed"/>
    <n v="40"/>
    <n v="32"/>
    <n v="2"/>
    <n v="18"/>
    <n v="0.8"/>
    <n v="0.7"/>
    <s v="UAT In Test"/>
    <n v="18"/>
    <n v="0"/>
    <n v="0"/>
    <n v="0"/>
    <n v="18"/>
    <n v="1"/>
    <n v="1"/>
    <m/>
    <x v="30"/>
    <x v="9"/>
  </r>
  <r>
    <s v="GEN AI "/>
    <x v="48"/>
    <x v="49"/>
    <x v="6"/>
    <s v="[GEN AI - Opportunity Benchmark ] Solution Version Selection flow -- Solution Version Only selected flow for Opportunity Benchmarks Learning Type."/>
    <n v="4240152"/>
    <s v="Narmatha"/>
    <s v="Shanmukii"/>
    <m/>
    <x v="52"/>
    <x v="1"/>
    <s v="As it involves the validation of generated learnings against the KDA, it is complex for automation"/>
    <x v="9"/>
    <s v="Complex"/>
    <m/>
    <m/>
    <m/>
    <m/>
    <m/>
    <m/>
    <m/>
    <m/>
    <x v="0"/>
    <x v="0"/>
    <s v="Completed"/>
    <s v="Completed"/>
    <n v="35"/>
    <n v="27"/>
    <n v="3"/>
    <n v="15"/>
    <n v="0.7"/>
    <n v="0.64"/>
    <s v="UAT In Test"/>
    <n v="15"/>
    <n v="0"/>
    <n v="0"/>
    <n v="0"/>
    <n v="15"/>
    <n v="1"/>
    <n v="1"/>
    <m/>
    <x v="30"/>
    <x v="9"/>
  </r>
  <r>
    <s v="GEN AI"/>
    <x v="48"/>
    <x v="49"/>
    <x v="6"/>
    <s v="[GEN AI - Retrospective Learnings] Result set should be on Top level and under each result QDI, Opportunity Benchmarks tabs will be present."/>
    <n v="4240153"/>
    <s v="Swati"/>
    <s v="Varadha"/>
    <m/>
    <x v="49"/>
    <x v="1"/>
    <s v="OBM generate learning related stories so can't be automated"/>
    <x v="10"/>
    <s v="Complex"/>
    <m/>
    <m/>
    <m/>
    <m/>
    <m/>
    <m/>
    <m/>
    <m/>
    <x v="0"/>
    <x v="0"/>
    <s v="Completed"/>
    <s v="Completed"/>
    <n v="50"/>
    <n v="0"/>
    <n v="7"/>
    <n v="7"/>
    <n v="0"/>
    <n v="0"/>
    <s v="UAT In Test"/>
    <n v="17"/>
    <n v="0"/>
    <n v="0"/>
    <n v="0"/>
    <n v="17"/>
    <n v="1"/>
    <n v="1"/>
    <m/>
    <x v="30"/>
    <x v="9"/>
  </r>
  <r>
    <s v="GEN AI"/>
    <x v="48"/>
    <x v="49"/>
    <x v="6"/>
    <s v="[GEN AI - Opportunity Benchmark] Navigating to Opportunity Cost Sub tab under Opportunity Benchmarks."/>
    <n v="4136042"/>
    <s v="Kalpana"/>
    <s v="Navya"/>
    <m/>
    <x v="51"/>
    <x v="1"/>
    <s v="As it involves the validation of generated learnings against the KDA, it is complex for automation"/>
    <x v="9"/>
    <s v="Complex"/>
    <m/>
    <m/>
    <m/>
    <m/>
    <m/>
    <m/>
    <m/>
    <m/>
    <x v="0"/>
    <x v="0"/>
    <s v="Completed"/>
    <s v="Completed"/>
    <n v="15"/>
    <n v="8"/>
    <n v="6"/>
    <n v="6"/>
    <n v="0.7"/>
    <n v="0.7"/>
    <s v="UAT In Test"/>
    <n v="6"/>
    <n v="0"/>
    <n v="0"/>
    <n v="0"/>
    <n v="6"/>
    <n v="1"/>
    <n v="1"/>
    <s v="Delivered For UAT"/>
    <x v="30"/>
    <x v="9"/>
  </r>
  <r>
    <s v="GEN AI"/>
    <x v="48"/>
    <x v="49"/>
    <x v="6"/>
    <s v="[GEN AI - Opportunity Benchmark] Costing at a glance flow with Only Benchmarks flow under Opportunity Cost sub tab."/>
    <n v="4136044"/>
    <s v="Naveen Arunachalam"/>
    <s v="Shyam"/>
    <m/>
    <x v="50"/>
    <x v="1"/>
    <s v="OBM generate learning related stories so can't be automated"/>
    <x v="10"/>
    <m/>
    <m/>
    <m/>
    <m/>
    <m/>
    <m/>
    <m/>
    <m/>
    <m/>
    <x v="0"/>
    <x v="0"/>
    <s v="Completed"/>
    <s v="Completed"/>
    <n v="20"/>
    <n v="10"/>
    <n v="80"/>
    <n v="80"/>
    <n v="0.1"/>
    <n v="0.4"/>
    <s v="UAT In Test"/>
    <n v="13"/>
    <n v="0"/>
    <n v="0"/>
    <n v="0"/>
    <n v="13"/>
    <n v="1"/>
    <n v="1"/>
    <s v="Deliverd to UAT"/>
    <x v="30"/>
    <x v="9"/>
  </r>
  <r>
    <s v="GEN AI"/>
    <x v="48"/>
    <x v="49"/>
    <x v="6"/>
    <s v="[GEN AI - Opportunity Benchmark] Opportunity Cost Sub Tab - Configuration and displaying the data in Graph view"/>
    <n v="4136068"/>
    <s v="Vignesh"/>
    <s v="Pratik"/>
    <m/>
    <x v="53"/>
    <x v="1"/>
    <s v="OBM related US also involves graph validation , automation not feasible"/>
    <x v="10"/>
    <m/>
    <m/>
    <m/>
    <m/>
    <m/>
    <m/>
    <m/>
    <m/>
    <m/>
    <x v="0"/>
    <x v="0"/>
    <s v="Completed"/>
    <s v="Completed"/>
    <n v="45"/>
    <n v="20"/>
    <n v="8"/>
    <n v="8"/>
    <n v="0.9"/>
    <n v="0.8"/>
    <s v="UAT In Test"/>
    <n v="9"/>
    <n v="0"/>
    <n v="0"/>
    <n v="0"/>
    <n v="9"/>
    <n v="1"/>
    <n v="1"/>
    <m/>
    <x v="30"/>
    <x v="9"/>
  </r>
  <r>
    <s v="GEN AI"/>
    <x v="48"/>
    <x v="49"/>
    <x v="6"/>
    <s v="[GEN AI - Opportunity Benchmark] Navigating to Opportunity Metrics Sub tab under Opportunity Benchmarks."/>
    <n v="4136084"/>
    <s v="Reshma"/>
    <s v="Harshitha"/>
    <m/>
    <x v="48"/>
    <x v="1"/>
    <s v="As it involves the validation of generated learnings against the KDA, it is complex for automation"/>
    <x v="9"/>
    <m/>
    <m/>
    <m/>
    <m/>
    <m/>
    <m/>
    <m/>
    <m/>
    <m/>
    <x v="0"/>
    <x v="0"/>
    <s v="Completed"/>
    <s v="Completed"/>
    <n v="50"/>
    <n v="30"/>
    <n v="30"/>
    <n v="8"/>
    <n v="0.3"/>
    <n v="0.6"/>
    <s v="UAT In Test"/>
    <n v="8"/>
    <n v="0"/>
    <n v="0"/>
    <n v="0"/>
    <n v="8"/>
    <n v="1"/>
    <n v="1"/>
    <s v="Delivered to Parallel UAT"/>
    <x v="30"/>
    <x v="9"/>
  </r>
  <r>
    <s v="GEN AI"/>
    <x v="48"/>
    <x v="49"/>
    <x v="6"/>
    <s v="[GEN AI - Opportunity Benchmark] Metrics at a glance flow with Only Benchmarks flow under Opportunity Metrics sub tab."/>
    <n v="4136086"/>
    <s v="Naveen Arunachalam"/>
    <s v="Shyam"/>
    <m/>
    <x v="50"/>
    <x v="1"/>
    <s v="OBM generate learning related stories so can't be automated"/>
    <x v="10"/>
    <s v="Complex"/>
    <m/>
    <m/>
    <m/>
    <m/>
    <m/>
    <m/>
    <m/>
    <m/>
    <x v="0"/>
    <x v="0"/>
    <s v="Completed"/>
    <s v="Completed"/>
    <n v="10"/>
    <n v="5"/>
    <n v="90"/>
    <n v="80"/>
    <n v="0.2"/>
    <n v="0.5"/>
    <s v="UAT In Test"/>
    <n v="18"/>
    <n v="0"/>
    <n v="0"/>
    <n v="0"/>
    <n v="18"/>
    <n v="1"/>
    <n v="1"/>
    <s v="Deliverd to UAT"/>
    <x v="30"/>
    <x v="9"/>
  </r>
  <r>
    <s v="GEN AI"/>
    <x v="48"/>
    <x v="49"/>
    <x v="6"/>
    <s v="[GEN AI - Opportunity Benchmark] Opportunity Metrics Sub Tab - Configuration and displaying the data in Table view"/>
    <n v="4136089"/>
    <s v="Prasanna"/>
    <s v="Sushmeta"/>
    <m/>
    <x v="38"/>
    <x v="1"/>
    <s v="KDA Configurations Should be Compared to OBM which Cant be Automated"/>
    <x v="10"/>
    <s v="Complex"/>
    <m/>
    <m/>
    <m/>
    <m/>
    <m/>
    <m/>
    <m/>
    <m/>
    <x v="0"/>
    <x v="0"/>
    <s v="Completed"/>
    <s v="Completed"/>
    <s v="38"/>
    <s v="10"/>
    <s v="12"/>
    <s v="18"/>
    <s v="50%"/>
    <s v="50%"/>
    <s v="UAT In Test"/>
    <n v="17"/>
    <n v="1"/>
    <n v="0"/>
    <n v="0"/>
    <n v="18"/>
    <n v="1"/>
    <n v="0.94444444444444442"/>
    <s v="Delivered for Parallel Testing 4428627(H)"/>
    <x v="30"/>
    <x v="9"/>
  </r>
  <r>
    <s v="GEN AI"/>
    <x v="48"/>
    <x v="49"/>
    <x v="6"/>
    <s v="[GEN AI - Opportunity Benchmark] Opportunity Metrics Sub Tab - Configuration and displaying the data in Graph view"/>
    <n v="4136094"/>
    <s v="Prasanna"/>
    <s v="Sushmeta"/>
    <m/>
    <x v="38"/>
    <x v="1"/>
    <s v="KDA Configurations Should be Compared to OBM which Cant be Automated"/>
    <x v="10"/>
    <s v="Complex"/>
    <m/>
    <m/>
    <m/>
    <m/>
    <m/>
    <m/>
    <m/>
    <m/>
    <x v="0"/>
    <x v="0"/>
    <s v="Completed"/>
    <s v="Completed"/>
    <s v="38"/>
    <s v="10"/>
    <s v="12"/>
    <s v="18"/>
    <s v="50%"/>
    <s v="50%"/>
    <s v="UAT In Test"/>
    <n v="17"/>
    <n v="1"/>
    <n v="0"/>
    <n v="0"/>
    <n v="18"/>
    <n v="1"/>
    <n v="0.94444444444444442"/>
    <s v="Delivered for Parallel Testing 4428627(H)"/>
    <x v="30"/>
    <x v="9"/>
  </r>
  <r>
    <s v="GEN AI"/>
    <x v="48"/>
    <x v="49"/>
    <x v="6"/>
    <s v="[GEN AI - Opportunity Benchmark] Costing at a glance flow with both Benchmarks/Solution Version Selection flow under Opportunity Cost sub tab."/>
    <n v="4136098"/>
    <s v="Prasanna"/>
    <s v="Sushmeta"/>
    <m/>
    <x v="38"/>
    <x v="1"/>
    <s v="KDA Configurations Should be Compared to OBM which Cant be Automated"/>
    <x v="10"/>
    <s v="Complex"/>
    <m/>
    <m/>
    <m/>
    <m/>
    <m/>
    <m/>
    <m/>
    <m/>
    <x v="0"/>
    <x v="0"/>
    <s v="Completed"/>
    <s v="Completed"/>
    <s v="38"/>
    <s v="10"/>
    <s v="12"/>
    <s v="18"/>
    <s v="50%"/>
    <s v="50%"/>
    <s v="UAT In Test"/>
    <n v="18"/>
    <n v="0"/>
    <n v="0"/>
    <n v="0"/>
    <n v="18"/>
    <n v="1"/>
    <n v="1"/>
    <s v="Delivered for Parallel Testing"/>
    <x v="30"/>
    <x v="9"/>
  </r>
  <r>
    <s v="GEN AI"/>
    <x v="48"/>
    <x v="49"/>
    <x v="6"/>
    <s v="[GEN AI - Opportunity Benchmark] Opportunity Cost Sub Tab - Configuration and displaying the data in Table view"/>
    <n v="4147642"/>
    <s v="Narmatha"/>
    <s v="Shanmukii"/>
    <m/>
    <x v="52"/>
    <x v="1"/>
    <s v="As it involves the validation of generated learnings against the KDA, it is complex for automation"/>
    <x v="9"/>
    <s v="Complex"/>
    <m/>
    <m/>
    <m/>
    <m/>
    <m/>
    <m/>
    <m/>
    <m/>
    <x v="0"/>
    <x v="0"/>
    <s v="Completed"/>
    <s v="Completed"/>
    <n v="60"/>
    <n v="38"/>
    <n v="2"/>
    <n v="11"/>
    <n v="0.78"/>
    <n v="0.7"/>
    <s v="UAT In Test"/>
    <n v="11"/>
    <n v="0"/>
    <n v="0"/>
    <n v="0"/>
    <n v="11"/>
    <n v="1"/>
    <n v="1"/>
    <m/>
    <x v="30"/>
    <x v="9"/>
  </r>
  <r>
    <s v="Gen AI"/>
    <x v="63"/>
    <x v="64"/>
    <x v="6"/>
    <s v="As a SA working with multi-technology S2C deals I want &quot;Use As-Is from Solution Plan&quot; to be enabled only for the DSP-sourced technology So that I maintain content integrity by ensuring access to original DSP content"/>
    <n v="4371529"/>
    <s v="Varadha"/>
    <s v="Swati"/>
    <m/>
    <x v="3"/>
    <x v="1"/>
    <s v="As this US contains more screen validation of Gen AI scenarios"/>
    <x v="9"/>
    <s v="Complex"/>
    <m/>
    <m/>
    <m/>
    <m/>
    <m/>
    <m/>
    <m/>
    <m/>
    <x v="0"/>
    <x v="0"/>
    <s v="Completed"/>
    <s v="Completed"/>
    <n v="60"/>
    <n v="20"/>
    <n v="0"/>
    <n v="20"/>
    <n v="0.8"/>
    <n v="0.9"/>
    <s v="UAT In Test"/>
    <n v="20"/>
    <n v="0"/>
    <n v="0"/>
    <n v="0"/>
    <n v="20"/>
    <n v="1"/>
    <n v="1"/>
    <s v="Delivered to UAT"/>
    <x v="31"/>
    <x v="9"/>
  </r>
  <r>
    <s v="Gen AI"/>
    <x v="63"/>
    <x v="64"/>
    <x v="6"/>
    <s v="As a S2C Reviewer I want single section review capabilities with technology-specific independence so that I can efficiently review, validate, and provide feedback on nudge content across multiple technologies with appropriate role-based access"/>
    <n v="4371574"/>
    <s v="Varadha"/>
    <s v="Swati"/>
    <m/>
    <x v="3"/>
    <x v="1"/>
    <s v="As this US contains more screen validation of Gen AI scenarios"/>
    <x v="9"/>
    <s v="Complex"/>
    <m/>
    <m/>
    <m/>
    <m/>
    <m/>
    <m/>
    <m/>
    <m/>
    <x v="0"/>
    <x v="0"/>
    <s v="Completed"/>
    <s v="Completed"/>
    <n v="66"/>
    <n v="18"/>
    <n v="0"/>
    <n v="18"/>
    <n v="1"/>
    <n v="0.9"/>
    <s v="UAT In Test"/>
    <n v="18"/>
    <n v="0"/>
    <n v="0"/>
    <n v="0"/>
    <n v="18"/>
    <n v="1"/>
    <n v="1"/>
    <s v="Delivered to UAT"/>
    <x v="31"/>
    <x v="9"/>
  </r>
  <r>
    <s v="Gen AI"/>
    <x v="63"/>
    <x v="64"/>
    <x v="6"/>
    <s v="As a myISP user, I want to update the Review Status in the Scope and Watchlist Summary tab so that acceptance criteria is achieved."/>
    <n v="4371614"/>
    <s v="Nayak"/>
    <s v="Santhwana"/>
    <m/>
    <x v="54"/>
    <x v="1"/>
    <s v="email trigger validation is not possible"/>
    <x v="5"/>
    <m/>
    <m/>
    <m/>
    <m/>
    <m/>
    <m/>
    <m/>
    <m/>
    <m/>
    <x v="0"/>
    <x v="0"/>
    <s v="Completed"/>
    <s v="Completed"/>
    <n v="25"/>
    <n v="25"/>
    <n v="0"/>
    <n v="25"/>
    <n v="1"/>
    <n v="1"/>
    <s v="UAT In Test"/>
    <n v="25"/>
    <n v="0"/>
    <n v="0"/>
    <n v="0"/>
    <n v="25"/>
    <n v="1"/>
    <n v="1"/>
    <s v="Delivered to UAT"/>
    <x v="31"/>
    <x v="9"/>
  </r>
  <r>
    <s v="Gen AI"/>
    <x v="63"/>
    <x v="64"/>
    <x v="6"/>
    <s v="As a myISP user, I want to access the Alerts and Reviewer Comments tab under Output Documents so that SA can address all notified responses for each nudge efficiently in one go"/>
    <n v="4371751"/>
    <s v="Varadha"/>
    <s v="Swati"/>
    <m/>
    <x v="3"/>
    <x v="1"/>
    <s v="As this US contains more screen validation of Gen AI scenarios"/>
    <x v="9"/>
    <s v="Complex"/>
    <m/>
    <m/>
    <m/>
    <m/>
    <m/>
    <m/>
    <m/>
    <m/>
    <x v="0"/>
    <x v="0"/>
    <s v="Completed"/>
    <s v="Completed"/>
    <n v="80"/>
    <n v="19"/>
    <n v="2"/>
    <n v="21"/>
    <n v="0.8"/>
    <n v="0.7"/>
    <s v="UAT In Test"/>
    <n v="21"/>
    <n v="0"/>
    <n v="0"/>
    <n v="0"/>
    <n v="21"/>
    <n v="1"/>
    <n v="1"/>
    <s v="Delivered to UAT"/>
    <x v="31"/>
    <x v="9"/>
  </r>
  <r>
    <s v="Gen AI"/>
    <x v="63"/>
    <x v="64"/>
    <x v="6"/>
    <s v="As a Solution Architect working with multi-technology S2C deals I want generated documents to clearly show nudge names with technology suffixes and appropriate content tagging So that I can easily identify which technology each nudge applies."/>
    <n v="4371760"/>
    <s v="Varadha"/>
    <s v="Swati"/>
    <m/>
    <x v="3"/>
    <x v="1"/>
    <s v="As this US contains more screen validation of Gen AI scenarios"/>
    <x v="9"/>
    <s v="Complex"/>
    <m/>
    <m/>
    <m/>
    <m/>
    <m/>
    <m/>
    <m/>
    <m/>
    <x v="0"/>
    <x v="0"/>
    <s v="Completed"/>
    <s v="Completed"/>
    <n v="60"/>
    <n v="21"/>
    <n v="0"/>
    <n v="21"/>
    <n v="1"/>
    <n v="0.9"/>
    <s v="UAT In Test"/>
    <n v="21"/>
    <n v="0"/>
    <n v="0"/>
    <n v="0"/>
    <n v="21"/>
    <n v="1"/>
    <n v="1"/>
    <s v="Delivered to UAT"/>
    <x v="31"/>
    <x v="9"/>
  </r>
  <r>
    <s v="Gen AI"/>
    <x v="63"/>
    <x v="64"/>
    <x v="6"/>
    <s v="As a Solution Architect, I want Salesforce to be selectable and configurable for SI deals (DSP?driven) with multi?technology add/remove behavior so that SI enablement and S2C workflow parity are maintained"/>
    <n v="4368209"/>
    <s v="Varadha"/>
    <s v="Swati"/>
    <m/>
    <x v="3"/>
    <x v="1"/>
    <s v="As this US contains 5 Technology configuration in WRS For S2C Ingestion"/>
    <x v="9"/>
    <s v="Complex"/>
    <m/>
    <m/>
    <m/>
    <m/>
    <m/>
    <m/>
    <m/>
    <m/>
    <x v="0"/>
    <x v="0"/>
    <s v="Completed"/>
    <s v="Completed"/>
    <n v="60"/>
    <n v="23"/>
    <n v="0"/>
    <n v="23"/>
    <n v="0.8"/>
    <n v="0.8"/>
    <s v="UAT In Test"/>
    <n v="23"/>
    <n v="0"/>
    <n v="0"/>
    <n v="0"/>
    <n v="23"/>
    <n v="1"/>
    <n v="1"/>
    <s v="Delivered to UAT"/>
    <x v="31"/>
    <x v="9"/>
  </r>
  <r>
    <s v="Gen AI"/>
    <x v="63"/>
    <x v="64"/>
    <x v="6"/>
    <s v="As a SA, when I select &quot;Predefined Legal Suggestions,&quot; I want the system to generate responses for all sections in one go so that I can view all generated responses for the selected Technologies Independently"/>
    <n v="4368225"/>
    <s v="Nayak"/>
    <s v="Santhwana"/>
    <m/>
    <x v="54"/>
    <x v="1"/>
    <s v="this story contains LLM response validation"/>
    <x v="9"/>
    <m/>
    <m/>
    <m/>
    <m/>
    <m/>
    <m/>
    <m/>
    <m/>
    <m/>
    <x v="0"/>
    <x v="0"/>
    <s v="Completed"/>
    <s v="Completed"/>
    <n v="60"/>
    <n v="22"/>
    <n v="3"/>
    <n v="22"/>
    <n v="0.7"/>
    <n v="1"/>
    <s v="UAT In Test"/>
    <n v="22"/>
    <n v="0"/>
    <n v="0"/>
    <n v="0"/>
    <n v="22"/>
    <n v="1"/>
    <n v="1"/>
    <s v="Delivered to UAT for Parallel Testing"/>
    <x v="31"/>
    <x v="9"/>
  </r>
  <r>
    <s v="Gen AI"/>
    <x v="63"/>
    <x v="64"/>
    <x v="6"/>
    <s v="As a Solution Architect, I want to see Salesforce technology prominently displayed at the top of the Content to Contract section, so that I maintain clear context of my technology selections and can proceed with targeted contract generation"/>
    <n v="4368226"/>
    <s v="Nayak"/>
    <s v="Santhwana"/>
    <m/>
    <x v="54"/>
    <x v="1"/>
    <s v="this story contains LLM response validation"/>
    <x v="9"/>
    <m/>
    <m/>
    <m/>
    <m/>
    <m/>
    <m/>
    <m/>
    <m/>
    <m/>
    <x v="0"/>
    <x v="0"/>
    <s v="Completed"/>
    <s v="Completed"/>
    <n v="50"/>
    <n v="28"/>
    <n v="3"/>
    <n v="28"/>
    <n v="0.8"/>
    <n v="1"/>
    <s v="UAT In Test"/>
    <n v="28"/>
    <n v="0"/>
    <n v="0"/>
    <n v="0"/>
    <n v="28"/>
    <n v="1"/>
    <n v="1"/>
    <s v="Delivered to UAT for Parallel Testing"/>
    <x v="31"/>
    <x v="9"/>
  </r>
  <r>
    <s v="Gen AI"/>
    <x v="64"/>
    <x v="65"/>
    <x v="6"/>
    <s v="As a reviewer, I want to download an Excel file with all Nudges that have content by clicking the One-Click Review File button, So that I can easily review all filled Nudges in one place and access any associated files quickly."/>
    <n v="4319555"/>
    <s v="Veena"/>
    <s v="Gayatri"/>
    <m/>
    <x v="55"/>
    <x v="1"/>
    <s v="Excel file validation not possible"/>
    <x v="3"/>
    <m/>
    <m/>
    <m/>
    <m/>
    <m/>
    <m/>
    <m/>
    <m/>
    <m/>
    <x v="0"/>
    <x v="0"/>
    <s v="Completed"/>
    <s v="Completed"/>
    <n v="24"/>
    <n v="8"/>
    <n v="3"/>
    <n v="11"/>
    <n v="0.8"/>
    <n v="0.8"/>
    <s v="UAT In Test"/>
    <n v="11"/>
    <n v="0"/>
    <n v="0"/>
    <n v="0"/>
    <n v="11"/>
    <n v="1"/>
    <n v="1"/>
    <s v="Delivered to uat"/>
    <x v="31"/>
    <x v="9"/>
  </r>
  <r>
    <s v="Gen AI"/>
    <x v="65"/>
    <x v="66"/>
    <x v="6"/>
    <s v="As a Solution Architect I want to select a predefined definition that includes an image So that the selected definition and image are copied into the contract content"/>
    <n v="4314722"/>
    <s v="Veena"/>
    <s v="Gayatri"/>
    <m/>
    <x v="55"/>
    <x v="1"/>
    <s v="Word document validation and image validation is not feasible"/>
    <x v="2"/>
    <m/>
    <m/>
    <m/>
    <m/>
    <m/>
    <m/>
    <m/>
    <m/>
    <m/>
    <x v="0"/>
    <x v="0"/>
    <s v="Completed"/>
    <s v="Completed"/>
    <n v="27"/>
    <n v="15"/>
    <n v="0"/>
    <n v="12"/>
    <n v="0.9"/>
    <n v="0.9"/>
    <s v="UAT In Test"/>
    <n v="12"/>
    <n v="0"/>
    <n v="0"/>
    <n v="0"/>
    <n v="12"/>
    <n v="1"/>
    <n v="1"/>
    <s v="Delivered for parallel UAT"/>
    <x v="31"/>
    <x v="9"/>
  </r>
  <r>
    <s v="Gen AI"/>
    <x v="65"/>
    <x v="66"/>
    <x v="6"/>
    <s v="As a SA generating responses using One-Click functionality, I want the system to display a success toaster message immediately after each Level 3 nudge is generated, So that I have clear, real-time confirmation of successful generation for each nudge."/>
    <n v="4269661"/>
    <s v="Veena"/>
    <s v="Gayatri"/>
    <m/>
    <x v="55"/>
    <x v="1"/>
    <s v="S2C contains 100+ nudges so validating all is not feasible"/>
    <x v="9"/>
    <m/>
    <m/>
    <m/>
    <m/>
    <m/>
    <m/>
    <m/>
    <m/>
    <m/>
    <x v="0"/>
    <x v="0"/>
    <s v="Completed"/>
    <s v="Completed"/>
    <n v="24"/>
    <n v="4"/>
    <n v="2"/>
    <n v="6"/>
    <n v="0.5"/>
    <n v="0.5"/>
    <s v="UAT In Test"/>
    <n v="6"/>
    <n v="0"/>
    <n v="0"/>
    <n v="0"/>
    <n v="6"/>
    <n v="1"/>
    <n v="1"/>
    <s v="Delivered to uat"/>
    <x v="31"/>
    <x v="9"/>
  </r>
  <r>
    <s v="GEN AI"/>
    <x v="46"/>
    <x v="47"/>
    <x v="6"/>
    <s v="[GEN AI - DLC] - Ingestion of DLC Documents for Deal Level Canvas"/>
    <n v="4387310"/>
    <s v="Sujana"/>
    <s v="Venkat"/>
    <m/>
    <x v="3"/>
    <x v="1"/>
    <s v="Document Upload Story"/>
    <x v="2"/>
    <s v="Complex"/>
    <m/>
    <m/>
    <m/>
    <m/>
    <m/>
    <m/>
    <m/>
    <m/>
    <x v="0"/>
    <x v="0"/>
    <s v="Completed"/>
    <s v="Completed"/>
    <n v="40"/>
    <n v="1"/>
    <n v="14"/>
    <n v="15"/>
    <n v="0.37"/>
    <n v="0.3"/>
    <s v="UAT In Test"/>
    <n v="15"/>
    <n v="0"/>
    <n v="0"/>
    <n v="0"/>
    <n v="15"/>
    <n v="1"/>
    <n v="1"/>
    <m/>
    <x v="24"/>
    <x v="9"/>
  </r>
  <r>
    <s v="GEN AI"/>
    <x v="46"/>
    <x v="47"/>
    <x v="6"/>
    <s v="[GEN AI - DLC] - File Type Flagging to Control DLC and HSP Processing"/>
    <n v="4387348"/>
    <s v="Sujana"/>
    <s v="Dinesh"/>
    <m/>
    <x v="3"/>
    <x v="1"/>
    <s v="File upload label validation, automation not feasible"/>
    <x v="3"/>
    <m/>
    <m/>
    <m/>
    <m/>
    <m/>
    <m/>
    <m/>
    <m/>
    <m/>
    <x v="0"/>
    <x v="0"/>
    <s v="Completed"/>
    <s v="Completed"/>
    <n v="50"/>
    <n v="10"/>
    <n v="0"/>
    <n v="10"/>
    <n v="0.5"/>
    <n v="0.5"/>
    <s v="UAT In Test"/>
    <n v="10"/>
    <n v="0"/>
    <n v="0"/>
    <n v="0"/>
    <n v="10"/>
    <n v="1"/>
    <n v="1"/>
    <m/>
    <x v="24"/>
    <x v="9"/>
  </r>
  <r>
    <s v="GEN AI"/>
    <x v="46"/>
    <x v="47"/>
    <x v="6"/>
    <s v="[GEN AI - DLC] - Generate Recommendations from Similar Past Opportunities"/>
    <n v="4387360"/>
    <s v="Sujana"/>
    <s v="Venkat"/>
    <m/>
    <x v="3"/>
    <x v="1"/>
    <s v="Validation of LLM responses is not possible"/>
    <x v="9"/>
    <m/>
    <m/>
    <m/>
    <m/>
    <m/>
    <m/>
    <m/>
    <m/>
    <m/>
    <x v="0"/>
    <x v="0"/>
    <s v="Completed"/>
    <s v="Completed"/>
    <n v="28"/>
    <n v="7"/>
    <n v="1"/>
    <n v="8"/>
    <n v="0.3"/>
    <n v="0.4"/>
    <s v="UAT In Test"/>
    <n v="8"/>
    <n v="0"/>
    <n v="0"/>
    <n v="0"/>
    <n v="8"/>
    <n v="1"/>
    <n v="1"/>
    <m/>
    <x v="24"/>
    <x v="9"/>
  </r>
  <r>
    <s v="GEN AI"/>
    <x v="46"/>
    <x v="47"/>
    <x v="6"/>
    <s v="[GEN AI - DLC] - Pre‑Processing of DLC Documents for Nudge‑Based Recommendations"/>
    <n v="4387679"/>
    <s v="Sujana"/>
    <s v="Venkat/Dinesh"/>
    <m/>
    <x v="3"/>
    <x v="1"/>
    <s v="Complex US involves response generation and nudge data validation, Hence cant be automated"/>
    <x v="9"/>
    <m/>
    <m/>
    <m/>
    <m/>
    <m/>
    <m/>
    <m/>
    <m/>
    <m/>
    <x v="0"/>
    <x v="0"/>
    <s v="Completed"/>
    <s v="Completed"/>
    <n v="20"/>
    <n v="2"/>
    <n v="6"/>
    <n v="8"/>
    <n v="0.5"/>
    <n v="0.5"/>
    <s v="UAT In Test"/>
    <n v="8"/>
    <n v="0"/>
    <n v="0"/>
    <n v="0"/>
    <n v="8"/>
    <n v="1"/>
    <n v="1"/>
    <m/>
    <x v="24"/>
    <x v="9"/>
  </r>
  <r>
    <s v="Solution Review Agent"/>
    <x v="56"/>
    <x v="57"/>
    <x v="5"/>
    <s v="Technical: [Gen AI - SRA] - I should be able to generate review response for the L2 attributes using 'Initiate Review' and 'One Click Comprehensive Review'."/>
    <n v="4389820"/>
    <s v="Pratik"/>
    <s v="Vignesh"/>
    <m/>
    <x v="3"/>
    <x v="1"/>
    <s v="Prompt response validation can't be automated"/>
    <x v="9"/>
    <m/>
    <m/>
    <m/>
    <m/>
    <m/>
    <m/>
    <m/>
    <m/>
    <m/>
    <x v="0"/>
    <x v="0"/>
    <s v="Completed"/>
    <s v="Completed"/>
    <n v="30"/>
    <n v="15"/>
    <n v="6"/>
    <n v="6"/>
    <n v="0.5"/>
    <n v="0.5"/>
    <s v="UAT In Test"/>
    <n v="7"/>
    <n v="0"/>
    <n v="0"/>
    <n v="0"/>
    <n v="7"/>
    <n v="1"/>
    <n v="1"/>
    <m/>
    <x v="26"/>
    <x v="9"/>
  </r>
  <r>
    <s v="Solution Review Agent"/>
    <x v="56"/>
    <x v="57"/>
    <x v="5"/>
    <s v="[Gen AI - SRA] - I should be able to click on any L2 attribute and perform review in the Review Agent."/>
    <n v="4389859"/>
    <s v="Pratik"/>
    <s v="Vignesh"/>
    <m/>
    <x v="3"/>
    <x v="1"/>
    <s v="Prompt response validation can't be automated"/>
    <x v="9"/>
    <m/>
    <m/>
    <m/>
    <m/>
    <m/>
    <m/>
    <m/>
    <m/>
    <m/>
    <x v="0"/>
    <x v="0"/>
    <s v="Completed"/>
    <s v="Completed"/>
    <n v="28"/>
    <n v="5"/>
    <n v="7"/>
    <n v="7"/>
    <n v="0.4"/>
    <n v="0.4"/>
    <s v="UAT In Test"/>
    <n v="6"/>
    <n v="0"/>
    <n v="0"/>
    <n v="0"/>
    <n v="6"/>
    <n v="1"/>
    <n v="1"/>
    <m/>
    <x v="26"/>
    <x v="9"/>
  </r>
  <r>
    <s v="Gen AI"/>
    <x v="54"/>
    <x v="55"/>
    <x v="6"/>
    <s v="[Gen AI - SSA] - Single Agent Query Inside Module Without @ Selection (For all the Modules)"/>
    <n v="4387511"/>
    <s v="Sujana"/>
    <s v="Venkat"/>
    <m/>
    <x v="3"/>
    <x v="1"/>
    <s v="Validation of LLM responses is not possible"/>
    <x v="9"/>
    <m/>
    <m/>
    <m/>
    <m/>
    <m/>
    <m/>
    <m/>
    <m/>
    <m/>
    <x v="0"/>
    <x v="0"/>
    <s v="Completed"/>
    <s v="Completed"/>
    <n v="25"/>
    <n v="11"/>
    <n v="47"/>
    <n v="58"/>
    <n v="0.35"/>
    <n v="0.5"/>
    <s v="UAT In Test"/>
    <n v="58"/>
    <n v="0"/>
    <n v="0"/>
    <n v="0"/>
    <n v="58"/>
    <n v="1"/>
    <n v="1"/>
    <m/>
    <x v="25"/>
    <x v="5"/>
  </r>
  <r>
    <s v="Gen AI"/>
    <x v="54"/>
    <x v="55"/>
    <x v="6"/>
    <s v="[Gen AI - SSA] - Single Agent Query Inside Module With @ Selection (for all the modules)"/>
    <n v="4387513"/>
    <s v="Sujana"/>
    <s v="Venkat/Dinesh"/>
    <m/>
    <x v="3"/>
    <x v="1"/>
    <s v="Validation of LLM responses is not possible"/>
    <x v="9"/>
    <m/>
    <m/>
    <m/>
    <m/>
    <m/>
    <m/>
    <m/>
    <m/>
    <m/>
    <x v="0"/>
    <x v="0"/>
    <s v="Completed"/>
    <s v="Completed"/>
    <n v="28"/>
    <n v="12"/>
    <n v="56"/>
    <n v="68"/>
    <n v="0.4"/>
    <n v="1"/>
    <s v="UAT In Test"/>
    <n v="68"/>
    <n v="0"/>
    <n v="0"/>
    <n v="0"/>
    <n v="68"/>
    <n v="1"/>
    <n v="1"/>
    <m/>
    <x v="25"/>
    <x v="5"/>
  </r>
  <r>
    <s v="Gen AI"/>
    <x v="48"/>
    <x v="49"/>
    <x v="6"/>
    <s v="[GEN AI - Opportunity Benchmark] - Display Industry Segment and Client Type Instead of Opportunity ID and Name"/>
    <n v="4388392"/>
    <s v="Pratik"/>
    <s v="Vignesh"/>
    <m/>
    <x v="3"/>
    <x v="1"/>
    <s v="Validation of LLM responses is not possible"/>
    <x v="9"/>
    <m/>
    <m/>
    <m/>
    <m/>
    <m/>
    <m/>
    <m/>
    <m/>
    <m/>
    <x v="0"/>
    <x v="0"/>
    <s v="Completed"/>
    <s v="Completed"/>
    <n v="35"/>
    <n v="23"/>
    <n v="6"/>
    <n v="20"/>
    <n v="0.3"/>
    <n v="0.5"/>
    <s v="UAT In Test"/>
    <n v="4"/>
    <n v="0"/>
    <n v="0"/>
    <n v="0"/>
    <n v="4"/>
    <n v="1"/>
    <n v="1"/>
    <s v="Delivered for Parallel Testing"/>
    <x v="25"/>
    <x v="5"/>
  </r>
  <r>
    <s v="x`"/>
    <x v="18"/>
    <x v="19"/>
    <x v="5"/>
    <s v="Song Compliant Logic Update [Digital Documentation]-As a myISP User, I want to provide onetime update for existing deals ,update the RAG , Score as per updated Song Compliance Logic so that all historical and active deals reflect accurate compliance status"/>
    <n v="4319914"/>
    <s v="Aruna"/>
    <s v="Veena"/>
    <m/>
    <x v="3"/>
    <x v="1"/>
    <s v="One time Update related US"/>
    <x v="6"/>
    <m/>
    <m/>
    <m/>
    <m/>
    <m/>
    <m/>
    <m/>
    <m/>
    <m/>
    <x v="0"/>
    <x v="0"/>
    <s v="Completed"/>
    <s v="Completed"/>
    <n v="8"/>
    <n v="4"/>
    <n v="13"/>
    <n v="13"/>
    <n v="0.2"/>
    <n v="0.2"/>
    <s v="UAT In Test"/>
    <n v="13"/>
    <n v="0"/>
    <n v="0"/>
    <n v="0"/>
    <n v="13"/>
    <n v="1"/>
    <n v="1"/>
    <m/>
    <x v="29"/>
    <x v="5"/>
  </r>
  <r>
    <s v="DFD-myISP"/>
    <x v="18"/>
    <x v="19"/>
    <x v="5"/>
    <s v="Song Compliant Logic Update[Digital Documentation] - As a myISP user, I want to update the ?Song Compliance Logic? in the Digital Documentation screen so that the solution plan document upload is considered for making deals Song-compliant."/>
    <n v="4319915"/>
    <s v="Aruna"/>
    <s v="Veena"/>
    <m/>
    <x v="3"/>
    <x v="1"/>
    <s v="One time Update related US"/>
    <x v="6"/>
    <m/>
    <m/>
    <m/>
    <m/>
    <m/>
    <m/>
    <m/>
    <m/>
    <m/>
    <x v="0"/>
    <x v="0"/>
    <s v="Completed"/>
    <s v="Completed"/>
    <n v="8"/>
    <n v="4"/>
    <n v="13"/>
    <n v="13"/>
    <n v="0.2"/>
    <n v="0.2"/>
    <s v="UAT In Test"/>
    <n v="13"/>
    <n v="0"/>
    <n v="0"/>
    <n v="0"/>
    <n v="13"/>
    <n v="1"/>
    <n v="1"/>
    <m/>
    <x v="20"/>
    <x v="5"/>
  </r>
  <r>
    <s v="Value Shaping"/>
    <x v="0"/>
    <x v="0"/>
    <x v="5"/>
    <s v="Value Shaping - As a myISP User - V2V Configurator - I want to access the Digital Documentation tile in read-only mode and navigate using the fixed breadcrumb path so that I can maintain workflow continuity."/>
    <n v="4364540"/>
    <s v="Vinesha"/>
    <s v="Varadha"/>
    <m/>
    <x v="56"/>
    <x v="1"/>
    <s v="Multiple checkpoints and complexity is high"/>
    <x v="1"/>
    <s v="Complex"/>
    <m/>
    <m/>
    <m/>
    <m/>
    <m/>
    <m/>
    <m/>
    <m/>
    <x v="0"/>
    <x v="0"/>
    <s v="Not Started"/>
    <s v="Completed"/>
    <n v="50"/>
    <n v="25"/>
    <n v="0"/>
    <n v="25"/>
    <n v="1"/>
    <n v="0.9"/>
    <s v="Test Complete"/>
    <n v="25"/>
    <n v="0"/>
    <n v="0"/>
    <n v="0"/>
    <n v="25"/>
    <n v="1"/>
    <n v="1"/>
    <s v="Delivered to UAT for parallel testing"/>
    <x v="20"/>
    <x v="5"/>
  </r>
  <r>
    <s v="Value Shaping"/>
    <x v="0"/>
    <x v="0"/>
    <x v="5"/>
    <s v="Value Shaping - As a myISP User - V2V Configurator - I want to access the DSP in read-only mode and navigate using the fixed breadcrumb path so that I can maintain workflow continuity."/>
    <n v="4364565"/>
    <s v="Vinesha"/>
    <s v="Varadha"/>
    <m/>
    <x v="56"/>
    <x v="1"/>
    <s v="Multiple checkpoints and complexity is high"/>
    <x v="1"/>
    <s v="Complex"/>
    <m/>
    <m/>
    <m/>
    <m/>
    <m/>
    <m/>
    <m/>
    <m/>
    <x v="0"/>
    <x v="0"/>
    <s v="Not Started"/>
    <s v="Completed"/>
    <n v="50"/>
    <n v="25"/>
    <n v="0"/>
    <n v="25"/>
    <n v="1"/>
    <n v="0.9"/>
    <s v="UAT In Test"/>
    <n v="25"/>
    <n v="0"/>
    <n v="0"/>
    <n v="0"/>
    <n v="25"/>
    <n v="1"/>
    <n v="1"/>
    <s v="Delivered to UAT for parallel testing"/>
    <x v="20"/>
    <x v="5"/>
  </r>
  <r>
    <s v="Gen AI"/>
    <x v="63"/>
    <x v="64"/>
    <x v="6"/>
    <s v="As a myISP user, I want the option to generate Primary response by clicking on Predefined Legal suggestions in &quot;Generate content for single section&quot; so that the acceptance criteria is achieved"/>
    <n v="4371466"/>
    <s v="Vinesha"/>
    <s v="Varadha"/>
    <m/>
    <x v="56"/>
    <x v="1"/>
    <s v="Prompt generation"/>
    <x v="9"/>
    <s v="Complex"/>
    <m/>
    <m/>
    <m/>
    <m/>
    <m/>
    <m/>
    <m/>
    <m/>
    <x v="0"/>
    <x v="0"/>
    <s v="Completed"/>
    <s v="In Progress"/>
    <n v="50"/>
    <n v="25"/>
    <n v="0"/>
    <n v="25"/>
    <n v="1"/>
    <n v="0.9"/>
    <s v="UAT In Test"/>
    <n v="24"/>
    <n v="1"/>
    <n v="0"/>
    <n v="0"/>
    <n v="25"/>
    <n v="1"/>
    <n v="0.96"/>
    <s v="Delivered to UAT for parallel testing"/>
    <x v="31"/>
    <x v="9"/>
  </r>
  <r>
    <s v="Solution Review Agent"/>
    <x v="66"/>
    <x v="67"/>
    <x v="6"/>
    <s v="[Gen AI - SRA] - As a myISP User, I should be able to expand or collapse L2 nudges using arrow icons and navigate across L2 and L3 nudges using directional arrows."/>
    <n v="4392669"/>
    <s v="Navya"/>
    <s v="Kalpana"/>
    <m/>
    <x v="57"/>
    <x v="0"/>
    <m/>
    <x v="0"/>
    <s v="Medium"/>
    <n v="1"/>
    <n v="1"/>
    <n v="12"/>
    <n v="3"/>
    <n v="1"/>
    <n v="1"/>
    <n v="0.35"/>
    <n v="0.35"/>
    <x v="0"/>
    <x v="0"/>
    <s v="Completed"/>
    <s v="Completed"/>
    <n v="24"/>
    <n v="24"/>
    <n v="0"/>
    <n v="24"/>
    <n v="1"/>
    <n v="1"/>
    <s v="UAT In Test"/>
    <n v="24"/>
    <n v="0"/>
    <n v="0"/>
    <n v="0"/>
    <n v="24"/>
    <n v="1"/>
    <n v="1"/>
    <s v="Delivered to UAT"/>
    <x v="26"/>
    <x v="9"/>
  </r>
  <r>
    <s v="Solution Review Agent"/>
    <x v="67"/>
    <x v="68"/>
    <x v="6"/>
    <s v="[Gen AI - SRA] - As a myISP user, I want to click the Review Agent tile to open the Solution Review page, where I can view review preparation details on the left and input selection options on the right."/>
    <n v="4392736"/>
    <s v="Navya"/>
    <s v="Kalpana"/>
    <m/>
    <x v="57"/>
    <x v="0"/>
    <m/>
    <x v="0"/>
    <s v="Medium"/>
    <n v="1"/>
    <n v="1"/>
    <n v="10"/>
    <n v="2"/>
    <n v="1"/>
    <n v="1"/>
    <n v="0.4"/>
    <n v="0.4"/>
    <x v="0"/>
    <x v="0"/>
    <s v="Completed"/>
    <s v="Completed"/>
    <n v="20"/>
    <n v="20"/>
    <n v="0"/>
    <n v="20"/>
    <n v="1"/>
    <n v="1"/>
    <s v="UAT In Test"/>
    <n v="24"/>
    <n v="0"/>
    <n v="0"/>
    <n v="0"/>
    <n v="24"/>
    <n v="1"/>
    <n v="1"/>
    <s v="Delivered to UAT"/>
    <x v="26"/>
    <x v="9"/>
  </r>
  <r>
    <s v="Solution Review Agent"/>
    <x v="67"/>
    <x v="68"/>
    <x v="6"/>
    <s v="[Gen AI - SRA] - As a myISP user, I want to click the Review Agent tile to open the Solution Review page, where I can select required inputs on the right for the Solution Review."/>
    <n v="4392742"/>
    <s v="Navya"/>
    <s v="Kalpana"/>
    <m/>
    <x v="57"/>
    <x v="1"/>
    <s v="Complex US involves many complex scenariosand UI Validation, Hence cant be automated"/>
    <x v="9"/>
    <s v="Complex"/>
    <m/>
    <m/>
    <m/>
    <m/>
    <m/>
    <m/>
    <m/>
    <m/>
    <x v="0"/>
    <x v="0"/>
    <s v="Completed"/>
    <s v="Completed"/>
    <n v="29"/>
    <n v="29"/>
    <n v="0"/>
    <n v="29"/>
    <n v="1"/>
    <n v="1"/>
    <s v="UAT In Test"/>
    <n v="29"/>
    <n v="0"/>
    <n v="0"/>
    <n v="0"/>
    <n v="29"/>
    <n v="1"/>
    <n v="1"/>
    <s v="Delivered to UAT"/>
    <x v="26"/>
    <x v="9"/>
  </r>
  <r>
    <s v="Gen AI"/>
    <x v="54"/>
    <x v="55"/>
    <x v="6"/>
    <s v="[Gen AI - SSA] - Agent Discovery and Guidance via User Queries"/>
    <n v="4356747"/>
    <s v="Sujana"/>
    <s v="Dinesh"/>
    <m/>
    <x v="3"/>
    <x v="1"/>
    <s v="LLM related response validation cannot be automated"/>
    <x v="9"/>
    <m/>
    <m/>
    <m/>
    <m/>
    <m/>
    <m/>
    <m/>
    <m/>
    <m/>
    <x v="0"/>
    <x v="0"/>
    <s v="Completed"/>
    <s v="Completed"/>
    <n v="23"/>
    <n v="7"/>
    <n v="0"/>
    <n v="7"/>
    <n v="0.3"/>
    <n v="0.3"/>
    <s v="UAT In Test"/>
    <n v="7"/>
    <n v="0"/>
    <n v="0"/>
    <n v="0"/>
    <n v="7"/>
    <n v="1"/>
    <n v="1"/>
    <m/>
    <x v="25"/>
    <x v="5"/>
  </r>
  <r>
    <s v="GEN AI"/>
    <x v="68"/>
    <x v="69"/>
    <x v="6"/>
    <s v="[GEN AI - Retrospective Learning] Add QDI related metrics data"/>
    <n v="4358656"/>
    <s v="Harshitha"/>
    <s v="Reshma"/>
    <m/>
    <x v="42"/>
    <x v="1"/>
    <s v="Prompt response validation can't be automated"/>
    <x v="9"/>
    <s v="Complex"/>
    <m/>
    <m/>
    <m/>
    <m/>
    <m/>
    <m/>
    <m/>
    <m/>
    <x v="0"/>
    <x v="0"/>
    <s v="Completed"/>
    <s v="Completed"/>
    <n v="16"/>
    <n v="8"/>
    <n v="2"/>
    <n v="10"/>
    <n v="0.5"/>
    <n v="0.62"/>
    <s v="UAT In Test"/>
    <n v="5"/>
    <n v="0"/>
    <n v="0"/>
    <n v="0"/>
    <n v="5"/>
    <n v="1"/>
    <n v="1"/>
    <s v="Delivered for Parallel UAT"/>
    <x v="25"/>
    <x v="5"/>
  </r>
  <r>
    <s v="Role Rename"/>
    <x v="6"/>
    <x v="6"/>
    <x v="5"/>
    <s v="Impact Check: As a Myisp user, I want the role &quot;Enterprise SA&quot; to be renamed to &quot;Market Maker ESA&quot; in myISP So that the role name clearly reflects the Market Make ESA in Digital Documentation module"/>
    <n v="4391349"/>
    <s v="Vignesh"/>
    <s v="Pratik"/>
    <m/>
    <x v="53"/>
    <x v="1"/>
    <s v="Renaming validation to be done across all impacted screens in myISP including mail, so automation not feasible"/>
    <x v="5"/>
    <m/>
    <m/>
    <m/>
    <m/>
    <m/>
    <m/>
    <m/>
    <m/>
    <m/>
    <x v="0"/>
    <x v="0"/>
    <s v="Completed"/>
    <s v="Completed"/>
    <n v="50"/>
    <n v="25"/>
    <n v="10"/>
    <n v="6"/>
    <n v="0.9"/>
    <n v="0.8"/>
    <s v="UAT In Test"/>
    <n v="6"/>
    <n v="0"/>
    <n v="0"/>
    <n v="0"/>
    <n v="6"/>
    <n v="1"/>
    <n v="1"/>
    <m/>
    <x v="12"/>
    <x v="5"/>
  </r>
  <r>
    <s v="Advisory SA - Song "/>
    <x v="7"/>
    <x v="7"/>
    <x v="5"/>
    <s v="As an Advisory song SA, I want to access the Digital Documentation tile in read-only mode so that I can maintain and view workflow continuity."/>
    <n v="4373026"/>
    <s v="Varshini"/>
    <s v="Varadha"/>
    <m/>
    <x v="3"/>
    <x v="1"/>
    <s v="As this user story has more than 50+screens and complex as well to automate"/>
    <x v="1"/>
    <m/>
    <m/>
    <m/>
    <m/>
    <m/>
    <m/>
    <m/>
    <m/>
    <m/>
    <x v="0"/>
    <x v="0"/>
    <s v="Completed"/>
    <s v="Completed"/>
    <n v="52"/>
    <n v="6"/>
    <n v="36"/>
    <n v="42"/>
    <n v="0.1"/>
    <n v="0.3"/>
    <s v="UAT In Test"/>
    <n v="42"/>
    <n v="0"/>
    <n v="0"/>
    <n v="0"/>
    <n v="42"/>
    <n v="1"/>
    <n v="1"/>
    <m/>
    <x v="20"/>
    <x v="5"/>
  </r>
  <r>
    <s v="Gen AI"/>
    <x v="65"/>
    <x v="66"/>
    <x v="6"/>
    <s v="As a S2C Reviewer, I want only the assigned reviewer to be able to update reviewer comments and review status for a line item, so that data integrity is maintained."/>
    <n v="4389974"/>
    <s v="Veena"/>
    <s v="Gayatri"/>
    <m/>
    <x v="55"/>
    <x v="0"/>
    <m/>
    <x v="0"/>
    <s v="Medium"/>
    <n v="6"/>
    <n v="1"/>
    <n v="7"/>
    <n v="3"/>
    <n v="4"/>
    <n v="6"/>
    <n v="0.5"/>
    <n v="0.6"/>
    <x v="0"/>
    <x v="0"/>
    <s v="Completed"/>
    <s v="Completed"/>
    <n v="24"/>
    <n v="7"/>
    <n v="0"/>
    <n v="7"/>
    <n v="1"/>
    <n v="1"/>
    <s v="UAT In Test"/>
    <n v="7"/>
    <n v="0"/>
    <n v="0"/>
    <n v="0"/>
    <n v="7"/>
    <n v="1"/>
    <n v="1"/>
    <s v="Delivered to uat"/>
    <x v="31"/>
    <x v="9"/>
  </r>
  <r>
    <s v="Gen AI"/>
    <x v="65"/>
    <x v="66"/>
    <x v="6"/>
    <s v="As a S2C user, I want an email to be sent to the specific assigned reviewer when the status is changed to Ready to Review So that the correct reviewer is notified promptly while keeping other reviewers informed via CC."/>
    <n v="4389979"/>
    <s v="Varshini"/>
    <s v="Varadha"/>
    <m/>
    <x v="3"/>
    <x v="1"/>
    <s v="Email user story cannot be automated"/>
    <x v="5"/>
    <m/>
    <m/>
    <m/>
    <m/>
    <m/>
    <m/>
    <m/>
    <m/>
    <m/>
    <x v="0"/>
    <x v="0"/>
    <s v="Completed"/>
    <s v="Completed"/>
    <n v="35"/>
    <n v="15"/>
    <n v="0"/>
    <n v="15"/>
    <n v="0.8"/>
    <n v="0.8"/>
    <s v="UAT In Test"/>
    <n v="15"/>
    <n v="0"/>
    <n v="0"/>
    <n v="0"/>
    <n v="15"/>
    <n v="1"/>
    <n v="1"/>
    <m/>
    <x v="31"/>
    <x v="9"/>
  </r>
  <r>
    <s v="Solution Super Agent"/>
    <x v="66"/>
    <x v="67"/>
    <x v="6"/>
    <s v="[Gen AI - SRA] - As a myISP User, I should be able to view the Opportunity Details (MMS ID, Opportunity Name, Client, Stage, RDE) in a single?line header on the right side of the screen"/>
    <n v="4391661"/>
    <s v="Pratik"/>
    <m/>
    <m/>
    <x v="58"/>
    <x v="0"/>
    <m/>
    <x v="0"/>
    <s v="Medium"/>
    <n v="2"/>
    <n v="1"/>
    <n v="4"/>
    <n v="2"/>
    <n v="1"/>
    <n v="1"/>
    <n v="0.5"/>
    <n v="0.5"/>
    <x v="0"/>
    <x v="0"/>
    <s v="Completed"/>
    <s v="Completed"/>
    <n v="35"/>
    <n v="4"/>
    <n v="3"/>
    <n v="10"/>
    <n v="0.2"/>
    <n v="0.4"/>
    <s v="UAT In Test"/>
    <n v="6"/>
    <n v="0"/>
    <n v="0"/>
    <n v="0"/>
    <n v="6"/>
    <n v="1"/>
    <n v="1"/>
    <s v="Bug:4430241(M)-F-Closed"/>
    <x v="26"/>
    <x v="9"/>
  </r>
  <r>
    <s v="Solution Review Agent"/>
    <x v="69"/>
    <x v="70"/>
    <x v="6"/>
    <s v="[Gen AI - SRA] As a myISP user, I should be able to view the Opportunity Summary and key opportunity details on the Opportunity Context screen so that I can quickly understand the background and critical parameters before starting the review."/>
    <n v="4393713"/>
    <s v="Pratik"/>
    <m/>
    <m/>
    <x v="58"/>
    <x v="1"/>
    <s v="Multiple checkpoints with screens to automate"/>
    <x v="1"/>
    <s v="Complex"/>
    <m/>
    <m/>
    <m/>
    <m/>
    <m/>
    <m/>
    <m/>
    <m/>
    <x v="0"/>
    <x v="0"/>
    <s v="Completed"/>
    <s v="Completed"/>
    <n v="50"/>
    <n v="8"/>
    <n v="6"/>
    <n v="15"/>
    <n v="0.3"/>
    <n v="0.4"/>
    <s v="UAT In Test"/>
    <n v="10"/>
    <n v="0"/>
    <n v="0"/>
    <n v="0"/>
    <n v="10"/>
    <n v="1"/>
    <n v="1"/>
    <s v="Bug:4441809(M)-F-cLOSED"/>
    <x v="26"/>
    <x v="9"/>
  </r>
  <r>
    <s v="Solution Review Agent"/>
    <x v="67"/>
    <x v="68"/>
    <x v="6"/>
    <s v="[Gen AI - SRA] - As a myISP user, I should be able to access a �Review Outcomes� page from the Solution Review page so that I can view or edit any existing review versions."/>
    <n v="4393837"/>
    <s v="Pratik"/>
    <m/>
    <m/>
    <x v="58"/>
    <x v="1"/>
    <s v="Multiple checkpoints with screens to automate."/>
    <x v="1"/>
    <s v="Complex"/>
    <m/>
    <m/>
    <m/>
    <m/>
    <m/>
    <m/>
    <m/>
    <m/>
    <x v="0"/>
    <x v="0"/>
    <s v="Completed"/>
    <s v="Completed"/>
    <n v="25"/>
    <n v="10"/>
    <n v="4"/>
    <n v="17"/>
    <n v="0.25"/>
    <n v="0.5"/>
    <s v="UAT In Test"/>
    <n v="8"/>
    <n v="0"/>
    <n v="0"/>
    <n v="0"/>
    <n v="8"/>
    <n v="1"/>
    <n v="1"/>
    <s v="Bug-4423700(F)-M-Closed"/>
    <x v="26"/>
    <x v="9"/>
  </r>
  <r>
    <s v="Solution Review Agent"/>
    <x v="69"/>
    <x v="70"/>
    <x v="6"/>
    <s v="[Gen AI - SRA] As a myISP user, I should be able to access the RFP Synthesis and Deal Level Canvas documents from the Opportunity Context screen so that I can review reference materials before beginning the comprehensive review."/>
    <n v="4393840"/>
    <s v="Gayatri"/>
    <m/>
    <m/>
    <x v="35"/>
    <x v="0"/>
    <m/>
    <x v="0"/>
    <s v="Complex"/>
    <n v="4"/>
    <n v="1"/>
    <n v="5"/>
    <n v="1"/>
    <n v="0"/>
    <n v="1"/>
    <n v="0.5"/>
    <n v="0.5"/>
    <x v="0"/>
    <x v="0"/>
    <s v="Completed"/>
    <s v="Completed"/>
    <n v="23"/>
    <n v="20"/>
    <n v="4"/>
    <n v="24"/>
    <n v="0.9"/>
    <n v="0.9"/>
    <s v="UAT In Test"/>
    <n v="24"/>
    <n v="0"/>
    <n v="0"/>
    <n v="0"/>
    <n v="24"/>
    <n v="1"/>
    <n v="1"/>
    <s v="Delivered to UAT for parallel testing"/>
    <x v="26"/>
    <x v="9"/>
  </r>
  <r>
    <s v="Solution Review Agent"/>
    <x v="66"/>
    <x v="67"/>
    <x v="6"/>
    <s v="[Gen AI - SRA] - As a myISP User, I should be able to view contextual guidance, intuitive navigation controls, and be redirected smartly based on existing documents avoiding unnecessary clicks."/>
    <n v="4393847"/>
    <s v="Gayatri"/>
    <m/>
    <m/>
    <x v="35"/>
    <x v="0"/>
    <m/>
    <x v="0"/>
    <s v="Complex"/>
    <n v="4"/>
    <n v="1"/>
    <n v="7"/>
    <n v="1"/>
    <n v="0"/>
    <n v="1"/>
    <n v="0.5"/>
    <n v="0.5"/>
    <x v="0"/>
    <x v="0"/>
    <s v="Completed"/>
    <s v="Completed"/>
    <n v="22"/>
    <n v="8"/>
    <n v="4"/>
    <n v="12"/>
    <n v="0.8"/>
    <n v="0.9"/>
    <s v="UAT In Test"/>
    <n v="12"/>
    <n v="0"/>
    <n v="0"/>
    <n v="0"/>
    <n v="12"/>
    <n v="1"/>
    <n v="1"/>
    <s v="Delivered to UAT"/>
    <x v="26"/>
    <x v="9"/>
  </r>
  <r>
    <s v="DSP"/>
    <x v="60"/>
    <x v="61"/>
    <x v="5"/>
    <s v="[DSP - Review/Approval] Comments column to be added in Review/Approver screen under DSP Summary so that SAs can view the feedback/comments given for each record in DSP."/>
    <n v="4395043"/>
    <s v="Navya"/>
    <m/>
    <m/>
    <x v="57"/>
    <x v="0"/>
    <m/>
    <x v="0"/>
    <s v="Medium"/>
    <n v="4"/>
    <n v="1"/>
    <n v="8"/>
    <n v="2"/>
    <n v="4"/>
    <n v="4"/>
    <n v="0.45"/>
    <n v="0.45"/>
    <x v="0"/>
    <x v="0"/>
    <s v="Completed"/>
    <s v="Completed"/>
    <n v="20"/>
    <n v="20"/>
    <n v="0"/>
    <n v="20"/>
    <n v="1"/>
    <n v="1"/>
    <s v="UAT In Test"/>
    <n v="20"/>
    <n v="0"/>
    <n v="0"/>
    <n v="0"/>
    <n v="20"/>
    <n v="1"/>
    <n v="1"/>
    <s v="Delivered to UAT"/>
    <x v="12"/>
    <x v="5"/>
  </r>
  <r>
    <s v="DSP"/>
    <x v="61"/>
    <x v="62"/>
    <x v="5"/>
    <s v="[DSP - PPT/PDF] Comments/Feedback to be displayed in downloaded PPT/PDF for Review/Approval Slides after Signoff Status."/>
    <n v="4395049"/>
    <s v="Vinesha"/>
    <m/>
    <m/>
    <x v="56"/>
    <x v="1"/>
    <s v="PPT download functionality"/>
    <x v="2"/>
    <s v="Complex"/>
    <m/>
    <m/>
    <m/>
    <m/>
    <m/>
    <m/>
    <m/>
    <m/>
    <x v="0"/>
    <x v="0"/>
    <s v="Not Started"/>
    <s v="Completed"/>
    <n v="50"/>
    <n v="15"/>
    <n v="0"/>
    <n v="15"/>
    <n v="1"/>
    <n v="0.9"/>
    <s v="UAT In Test"/>
    <n v="15"/>
    <n v="0"/>
    <n v="0"/>
    <n v="0"/>
    <n v="15"/>
    <n v="1"/>
    <n v="1"/>
    <s v="Delivered to UAT for parallel testing"/>
    <x v="12"/>
    <x v="5"/>
  </r>
  <r>
    <s v="DSP"/>
    <x v="60"/>
    <x v="61"/>
    <x v="5"/>
    <s v="[DSP - MDA] Abort button to be added for cancelling the generation of MSDA version from Digital Solution Version."/>
    <n v="4395050"/>
    <s v="Vinesha"/>
    <m/>
    <m/>
    <x v="56"/>
    <x v="1"/>
    <s v="MSDA generation"/>
    <x v="8"/>
    <s v="Complex"/>
    <m/>
    <m/>
    <m/>
    <m/>
    <m/>
    <m/>
    <m/>
    <m/>
    <x v="0"/>
    <x v="0"/>
    <s v="Not Started"/>
    <s v="Completed"/>
    <n v="50"/>
    <n v="25"/>
    <n v="0"/>
    <n v="25"/>
    <n v="1"/>
    <n v="0.9"/>
    <s v="UAT In Test"/>
    <n v="25"/>
    <n v="0"/>
    <n v="0"/>
    <n v="0"/>
    <n v="25"/>
    <n v="1"/>
    <n v="1"/>
    <s v="Delivered to UAT for parallel testing"/>
    <x v="12"/>
    <x v="5"/>
  </r>
  <r>
    <s v="DSP"/>
    <x v="60"/>
    <x v="61"/>
    <x v="5"/>
    <s v="[DSP - Core Solution Plan] Delete should be removed for Accenture Shift/On call rows in Shift/On call Coverage screen."/>
    <n v="4395036"/>
    <s v="Divya Belli"/>
    <m/>
    <m/>
    <x v="47"/>
    <x v="0"/>
    <m/>
    <x v="0"/>
    <s v="Complex"/>
    <n v="1"/>
    <n v="1"/>
    <n v="1"/>
    <n v="1"/>
    <n v="0"/>
    <n v="1"/>
    <n v="0.8"/>
    <n v="0.8"/>
    <x v="0"/>
    <x v="1"/>
    <s v="Completed"/>
    <s v="Completed"/>
    <n v="33"/>
    <n v="15"/>
    <n v="2"/>
    <n v="17"/>
    <n v="0.7"/>
    <n v="0.7"/>
    <s v="UAT In Test"/>
    <n v="17"/>
    <n v="0"/>
    <n v="0"/>
    <n v="0"/>
    <n v="17"/>
    <n v="1"/>
    <n v="1"/>
    <s v="Delivered To Uat"/>
    <x v="20"/>
    <x v="5"/>
  </r>
  <r>
    <s v="DSP"/>
    <x v="60"/>
    <x v="61"/>
    <x v="5"/>
    <s v="[DSP - Risks] Risk template validations to be added while uploading to the system for all SGs"/>
    <n v="4395037"/>
    <s v="Divya Belli"/>
    <m/>
    <m/>
    <x v="3"/>
    <x v="1"/>
    <s v="Downloaded template cannot be automated"/>
    <x v="2"/>
    <s v="Complex"/>
    <m/>
    <m/>
    <m/>
    <m/>
    <m/>
    <m/>
    <m/>
    <m/>
    <x v="0"/>
    <x v="1"/>
    <s v="Completed"/>
    <s v="Completed"/>
    <n v="35"/>
    <n v="14"/>
    <n v="2"/>
    <n v="14"/>
    <n v="0.6"/>
    <n v="0.7"/>
    <s v="UAT In Test"/>
    <n v="14"/>
    <n v="0"/>
    <n v="0"/>
    <n v="0"/>
    <n v="14"/>
    <n v="1"/>
    <n v="1"/>
    <s v="Delivered To Uat for parallel Testing"/>
    <x v="12"/>
    <x v="5"/>
  </r>
  <r>
    <s v="DSP"/>
    <x v="60"/>
    <x v="61"/>
    <x v="5"/>
    <s v="[DSP - Assumptions] Assumptions template validations to be added while uploading to the system for all SGs"/>
    <n v="4395038"/>
    <s v="Divya Belli"/>
    <m/>
    <m/>
    <x v="3"/>
    <x v="1"/>
    <s v="Downloaded template cannot be automated"/>
    <x v="2"/>
    <s v="Complex"/>
    <m/>
    <m/>
    <m/>
    <m/>
    <m/>
    <m/>
    <m/>
    <m/>
    <x v="0"/>
    <x v="1"/>
    <s v="Completed"/>
    <s v="Completed"/>
    <n v="37"/>
    <n v="13"/>
    <n v="2"/>
    <n v="15"/>
    <n v="0.75"/>
    <n v="0.75"/>
    <s v="UAT In Test"/>
    <n v="15"/>
    <n v="0"/>
    <n v="0"/>
    <n v="0"/>
    <n v="15"/>
    <n v="1"/>
    <n v="1"/>
    <s v="Delivered To Uat for parallel Testing"/>
    <x v="12"/>
    <x v="5"/>
  </r>
  <r>
    <s v="DSP"/>
    <x v="60"/>
    <x v="61"/>
    <x v="5"/>
    <s v="[DSP - Dependency] Dependency template validations to be added while uploading to the system for all SGs"/>
    <n v="4395039"/>
    <s v="Varshini"/>
    <m/>
    <m/>
    <x v="3"/>
    <x v="1"/>
    <s v="Download scenarios validation is there so can't be automated"/>
    <x v="2"/>
    <m/>
    <m/>
    <m/>
    <m/>
    <m/>
    <m/>
    <m/>
    <m/>
    <m/>
    <x v="0"/>
    <x v="0"/>
    <s v="Completed"/>
    <s v="Completed"/>
    <n v="36"/>
    <n v="23"/>
    <n v="0"/>
    <n v="23"/>
    <n v="0.8"/>
    <n v="0.9"/>
    <s v="UAT In Test"/>
    <n v="23"/>
    <n v="0"/>
    <n v="0"/>
    <n v="0"/>
    <n v="23"/>
    <n v="1"/>
    <n v="1"/>
    <m/>
    <x v="12"/>
    <x v="5"/>
  </r>
  <r>
    <s v="Document Type Rename"/>
    <x v="6"/>
    <x v="6"/>
    <x v="5"/>
    <s v="As a myISP user , i want to change the document type name from &quot;Solution to win Approach&quot; to &quot;Solution to win scorecard&quot; in upload document section."/>
    <n v="4391360"/>
    <s v="Varshini"/>
    <m/>
    <m/>
    <x v="54"/>
    <x v="0"/>
    <m/>
    <x v="0"/>
    <s v="Simple"/>
    <n v="1"/>
    <n v="1"/>
    <n v="12"/>
    <n v="7"/>
    <n v="3"/>
    <n v="10"/>
    <n v="0.4"/>
    <n v="0.3"/>
    <x v="0"/>
    <x v="0"/>
    <s v="Completed"/>
    <s v="Completed"/>
    <n v="40"/>
    <n v="8"/>
    <n v="1"/>
    <n v="9"/>
    <n v="0.75"/>
    <n v="0.9"/>
    <s v="UAT In Test"/>
    <n v="9"/>
    <n v="0"/>
    <n v="0"/>
    <n v="0"/>
    <n v="9"/>
    <n v="1"/>
    <n v="1"/>
    <m/>
    <x v="29"/>
    <x v="5"/>
  </r>
  <r>
    <s v="DSP"/>
    <x v="60"/>
    <x v="61"/>
    <x v="5"/>
    <s v="[DSP - Assessment Outcome] Renaming Assessment Outcome to Productivity % in AMS/IMS/BPMS SGs."/>
    <n v="4395035"/>
    <s v="Varshini"/>
    <m/>
    <m/>
    <x v="3"/>
    <x v="1"/>
    <s v="Download scenarios validation is there so can't be automated"/>
    <x v="2"/>
    <m/>
    <m/>
    <m/>
    <m/>
    <m/>
    <m/>
    <m/>
    <m/>
    <m/>
    <x v="0"/>
    <x v="0"/>
    <s v="Completed"/>
    <s v="Completed"/>
    <n v="40"/>
    <n v="16"/>
    <n v="0"/>
    <n v="16"/>
    <n v="0.8"/>
    <n v="0.9"/>
    <s v="UAT In Test"/>
    <n v="16"/>
    <n v="0"/>
    <n v="0"/>
    <n v="0"/>
    <n v="16"/>
    <n v="1"/>
    <n v="1"/>
    <m/>
    <x v="29"/>
    <x v="5"/>
  </r>
  <r>
    <s v="DSP"/>
    <x v="60"/>
    <x v="61"/>
    <x v="5"/>
    <s v="[DSP - Scope] Test field to be highlighted in DSP Detailed Scope if the sub sections are selected in WRWS Scope Services/Offerings for SI."/>
    <n v="4395041"/>
    <s v="Shanmukii"/>
    <m/>
    <m/>
    <x v="37"/>
    <x v="1"/>
    <s v="Validation should be done in the Downloded PPT&amp;PDF file"/>
    <x v="2"/>
    <m/>
    <m/>
    <m/>
    <m/>
    <m/>
    <m/>
    <m/>
    <m/>
    <m/>
    <x v="0"/>
    <x v="0"/>
    <s v="Completed"/>
    <s v="Completed"/>
    <n v="40"/>
    <n v="5"/>
    <n v="0"/>
    <n v="5"/>
    <n v="0.7"/>
    <n v="0.6"/>
    <s v="UAT In Test"/>
    <n v="5"/>
    <n v="0"/>
    <n v="0"/>
    <n v="0"/>
    <n v="5"/>
    <n v="1"/>
    <n v="1"/>
    <m/>
    <x v="29"/>
    <x v="5"/>
  </r>
  <r>
    <s v="DSP"/>
    <x v="61"/>
    <x v="62"/>
    <x v="5"/>
    <s v="[DSP - DNP/Expenses] In all download popups for DNP/Expenses toggle selection should be available for SAs to select Other Cost Custom DNP s - Details/Summary."/>
    <n v="4395033"/>
    <s v="Santhwana"/>
    <m/>
    <m/>
    <x v="39"/>
    <x v="0"/>
    <m/>
    <x v="0"/>
    <s v="Medium"/>
    <n v="3"/>
    <n v="1"/>
    <n v="3"/>
    <n v="1"/>
    <n v="1"/>
    <n v="1"/>
    <n v="0.7"/>
    <n v="0.7"/>
    <x v="0"/>
    <x v="0"/>
    <s v="Completed"/>
    <s v="Completed"/>
    <n v="40"/>
    <n v="14"/>
    <n v="0"/>
    <n v="14"/>
    <n v="0.9"/>
    <n v="0.9"/>
    <s v="UAT In Test"/>
    <n v="14"/>
    <n v="0"/>
    <n v="0"/>
    <n v="0"/>
    <n v="14"/>
    <n v="1"/>
    <n v="1"/>
    <m/>
    <x v="29"/>
    <x v="5"/>
  </r>
  <r>
    <s v="DSP"/>
    <x v="60"/>
    <x v="61"/>
    <x v="5"/>
    <s v="[DSP - Appendix] List of Applications row to be added as default row in Appendix for all SGs."/>
    <n v="4395034"/>
    <s v="Shyam"/>
    <s v="Naveen A"/>
    <m/>
    <x v="44"/>
    <x v="1"/>
    <s v="Document file validation not possible"/>
    <x v="2"/>
    <m/>
    <m/>
    <m/>
    <m/>
    <m/>
    <m/>
    <m/>
    <m/>
    <m/>
    <x v="0"/>
    <x v="0"/>
    <s v="Completed"/>
    <s v="Completed"/>
    <n v="28"/>
    <n v="16"/>
    <n v="13"/>
    <n v="13"/>
    <n v="1"/>
    <n v="0.7"/>
    <s v="UAT In Test"/>
    <n v="13"/>
    <n v="0"/>
    <n v="0"/>
    <n v="0"/>
    <n v="13"/>
    <n v="1"/>
    <n v="1"/>
    <s v="Delivered to UAT "/>
    <x v="12"/>
    <x v="5"/>
  </r>
  <r>
    <s v="DSP"/>
    <x v="60"/>
    <x v="61"/>
    <x v="5"/>
    <s v="[Digital Documentaion] Ordering to be exchanged for Digital Solution Plan and Multi Service Deal Analytics positions in all places."/>
    <n v="4395040"/>
    <s v="Komal"/>
    <m/>
    <m/>
    <x v="59"/>
    <x v="0"/>
    <m/>
    <x v="0"/>
    <s v="Medium"/>
    <n v="1"/>
    <n v="1"/>
    <n v="20"/>
    <n v="1"/>
    <n v="5"/>
    <n v="1"/>
    <n v="0.7"/>
    <n v="0.7"/>
    <x v="0"/>
    <x v="0"/>
    <s v="Completed"/>
    <s v="Completed"/>
    <n v="20"/>
    <n v="8"/>
    <n v="5"/>
    <n v="9"/>
    <n v="0.75"/>
    <n v="0.9"/>
    <s v="UAT In Test"/>
    <n v="5"/>
    <n v="0"/>
    <n v="0"/>
    <n v="0"/>
    <n v="5"/>
    <n v="1"/>
    <n v="1"/>
    <m/>
    <x v="20"/>
    <x v="5"/>
  </r>
  <r>
    <s v="Solution Review Agent"/>
    <x v="66"/>
    <x v="67"/>
    <x v="6"/>
    <s v="[Gen AI - SRA] - As a myISP user, I want to rename the existing indication messages to clearly understand the review options and also add a confirmation pop‑up before starting a Full Review."/>
    <n v="4407571"/>
    <s v="Navya"/>
    <m/>
    <m/>
    <x v="57"/>
    <x v="0"/>
    <m/>
    <x v="0"/>
    <s v="Medium"/>
    <n v="1"/>
    <n v="1"/>
    <n v="14"/>
    <n v="3"/>
    <n v="1"/>
    <n v="1"/>
    <n v="0.3"/>
    <n v="0.3"/>
    <x v="0"/>
    <x v="0"/>
    <s v="Completed"/>
    <s v="Completed"/>
    <n v="20"/>
    <n v="20"/>
    <n v="0"/>
    <n v="20"/>
    <n v="1"/>
    <n v="1"/>
    <s v="UAT In Test"/>
    <n v="20"/>
    <n v="0"/>
    <n v="0"/>
    <n v="0"/>
    <n v="20"/>
    <n v="1"/>
    <n v="1"/>
    <s v="Delivered to UAT"/>
    <x v="26"/>
    <x v="9"/>
  </r>
  <r>
    <s v="Solution Super Agent"/>
    <x v="52"/>
    <x v="53"/>
    <x v="6"/>
    <s v="[Gen AI - SSA] - As a myISP User, I should be able to see a confirmation pop-up when I select or remove the “Solution Configuration Agent” in the SSA chat."/>
    <n v="4409429"/>
    <s v="Santhwana"/>
    <m/>
    <m/>
    <x v="39"/>
    <x v="0"/>
    <m/>
    <x v="0"/>
    <s v="Medium"/>
    <n v="4"/>
    <n v="1"/>
    <n v="4"/>
    <n v="1"/>
    <n v="1"/>
    <n v="1"/>
    <n v="0.7"/>
    <n v="0.7"/>
    <x v="0"/>
    <x v="0"/>
    <s v="Completed"/>
    <s v="Completed"/>
    <n v="40"/>
    <n v="15"/>
    <n v="0"/>
    <n v="15"/>
    <n v="0.9"/>
    <n v="0.9"/>
    <s v="UAT In Test"/>
    <n v="15"/>
    <n v="0"/>
    <n v="0"/>
    <n v="0"/>
    <n v="15"/>
    <n v="1"/>
    <n v="1"/>
    <m/>
    <x v="25"/>
    <x v="5"/>
  </r>
  <r>
    <s v="GEN AI"/>
    <x v="57"/>
    <x v="58"/>
    <x v="6"/>
    <s v="[GEN AI – HSP] Agentic API changes"/>
    <n v="4391961"/>
    <s v="Sujana"/>
    <s v="Venkat/Dinesh"/>
    <m/>
    <x v="3"/>
    <x v="1"/>
    <s v="API Changes"/>
    <x v="4"/>
    <m/>
    <m/>
    <m/>
    <m/>
    <m/>
    <n v="1"/>
    <m/>
    <m/>
    <m/>
    <x v="0"/>
    <x v="0"/>
    <s v="Completed"/>
    <s v="Completed"/>
    <n v="20"/>
    <n v="0"/>
    <n v="7"/>
    <n v="7"/>
    <n v="0.3"/>
    <n v="0.3"/>
    <s v="UAT In Test"/>
    <n v="7"/>
    <n v="0"/>
    <n v="0"/>
    <n v="0"/>
    <n v="7"/>
    <n v="1"/>
    <n v="1"/>
    <m/>
    <x v="27"/>
    <x v="5"/>
  </r>
  <r>
    <s v="Gen AI"/>
    <x v="54"/>
    <x v="55"/>
    <x v="6"/>
    <s v="[Gen AI - SSA] -Provide Contextual Follow-Ups Based on Business Area, Not Agent (Conversational SSA)"/>
    <n v="4341541"/>
    <s v="Shyam"/>
    <s v="Naveen A"/>
    <m/>
    <x v="44"/>
    <x v="1"/>
    <s v="Prompt response validation can't be automated"/>
    <x v="9"/>
    <m/>
    <m/>
    <m/>
    <m/>
    <m/>
    <m/>
    <m/>
    <m/>
    <m/>
    <x v="0"/>
    <x v="0"/>
    <s v="Completed"/>
    <s v="Completed"/>
    <n v="28"/>
    <n v="15"/>
    <n v="3"/>
    <n v="4"/>
    <n v="1"/>
    <n v="0.8"/>
    <s v="UAT In Test"/>
    <n v="4"/>
    <n v="0"/>
    <n v="0"/>
    <n v="0"/>
    <n v="4"/>
    <n v="1"/>
    <n v="1"/>
    <s v="Delivered to UAT"/>
    <x v="25"/>
    <x v="5"/>
  </r>
  <r>
    <s v="DSP"/>
    <x v="60"/>
    <x v="61"/>
    <x v="5"/>
    <s v="[DSP – Core Solution Plan] Enhancement to remove the shift/on-call coverage checkbox under Costing/Pricing section from all download pop-ups for AMS/SI SG."/>
    <n v="4421995"/>
    <s v="Shyam"/>
    <s v="Naveen A"/>
    <m/>
    <x v="44"/>
    <x v="1"/>
    <s v="Downloaded template cannot be automated"/>
    <x v="2"/>
    <m/>
    <m/>
    <m/>
    <m/>
    <m/>
    <m/>
    <m/>
    <m/>
    <m/>
    <x v="0"/>
    <x v="0"/>
    <s v="Completed"/>
    <s v="Completed"/>
    <n v="28"/>
    <n v="23"/>
    <n v="15"/>
    <n v="15"/>
    <n v="1"/>
    <n v="0.8"/>
    <s v="UAT In Test"/>
    <n v="15"/>
    <n v="0"/>
    <n v="0"/>
    <n v="0"/>
    <n v="15"/>
    <n v="1"/>
    <n v="1"/>
    <s v="Delivered to UAT"/>
    <x v="20"/>
    <x v="5"/>
  </r>
  <r>
    <s v="DSP"/>
    <x v="70"/>
    <x v="71"/>
    <x v="6"/>
    <s v="[CR - DSP] Sub Sevice Slides update for IMS Productivity in downloaded PPT/PDF"/>
    <n v="4393585"/>
    <s v="Santhwana"/>
    <m/>
    <m/>
    <x v="3"/>
    <x v="1"/>
    <s v="CR Created for Download Document"/>
    <x v="2"/>
    <s v="Medium"/>
    <m/>
    <m/>
    <m/>
    <m/>
    <m/>
    <m/>
    <m/>
    <m/>
    <x v="0"/>
    <x v="0"/>
    <s v="Completed"/>
    <s v="Completed"/>
    <n v="12"/>
    <n v="12"/>
    <n v="0"/>
    <n v="12"/>
    <n v="0.9"/>
    <n v="0.9"/>
    <s v="UAT In Test"/>
    <n v="12"/>
    <n v="0"/>
    <n v="0"/>
    <n v="0"/>
    <n v="12"/>
    <n v="1"/>
    <n v="1"/>
    <m/>
    <x v="29"/>
    <x v="5"/>
  </r>
  <r>
    <e v="#N/A"/>
    <x v="71"/>
    <x v="72"/>
    <x v="6"/>
    <s v="[Gen AI - SSA] - As a myISP User, I want to add the current release updates module‑wise in the What’s New section so that I can quickly understand recent enhancements without navigating external documentation."/>
    <n v="4433979"/>
    <s v="Nayak"/>
    <m/>
    <m/>
    <x v="3"/>
    <x v="1"/>
    <s v="Added on Mar 25th"/>
    <x v="12"/>
    <m/>
    <m/>
    <m/>
    <m/>
    <m/>
    <m/>
    <m/>
    <m/>
    <m/>
    <x v="0"/>
    <x v="0"/>
    <s v="Completed"/>
    <s v="Completed"/>
    <m/>
    <m/>
    <m/>
    <m/>
    <m/>
    <m/>
    <e v="#N/A"/>
    <n v="12"/>
    <n v="0"/>
    <n v="0"/>
    <n v="0"/>
    <n v="12"/>
    <n v="1"/>
    <n v="1"/>
    <m/>
    <x v="32"/>
    <x v="10"/>
  </r>
  <r>
    <e v="#N/A"/>
    <x v="71"/>
    <x v="72"/>
    <x v="6"/>
    <s v="[GEN AI - Opportunity Benchmark] As an OBM user I want a footer with Confidentiality Notice, Gen AI Disclaimer, and Data Privacy Statement Pop-ups So that I am aware of compliance and data privacy obligations"/>
    <n v="4445978"/>
    <s v="Pratik"/>
    <m/>
    <m/>
    <x v="3"/>
    <x v="1"/>
    <m/>
    <x v="12"/>
    <m/>
    <m/>
    <m/>
    <m/>
    <m/>
    <m/>
    <m/>
    <m/>
    <m/>
    <x v="1"/>
    <x v="2"/>
    <s v="Not Started"/>
    <s v="Not Started"/>
    <m/>
    <m/>
    <m/>
    <m/>
    <m/>
    <m/>
    <e v="#N/A"/>
    <n v="0"/>
    <n v="0"/>
    <n v="0"/>
    <n v="0"/>
    <n v="0"/>
    <n v="0"/>
    <n v="0"/>
    <m/>
    <x v="32"/>
    <x v="10"/>
  </r>
  <r>
    <e v="#N/A"/>
    <x v="71"/>
    <x v="72"/>
    <x v="6"/>
    <s v="[GEN AI - SVC] As a Solution Version Comparator user I want a footer with Confidentiality Notice, Gen AI Disclaimer, and Data Privacy Statement Pop-ups So that I am aware of compliance and data privacy obligatio"/>
    <n v="4445982"/>
    <s v="Kalpana"/>
    <m/>
    <m/>
    <x v="3"/>
    <x v="1"/>
    <m/>
    <x v="12"/>
    <m/>
    <m/>
    <m/>
    <m/>
    <m/>
    <m/>
    <m/>
    <m/>
    <m/>
    <x v="0"/>
    <x v="0"/>
    <s v="Completed"/>
    <s v="Completed"/>
    <m/>
    <m/>
    <m/>
    <m/>
    <m/>
    <m/>
    <e v="#N/A"/>
    <n v="12"/>
    <n v="0"/>
    <n v="0"/>
    <n v="0"/>
    <n v="12"/>
    <n v="1"/>
    <n v="1"/>
    <m/>
    <x v="32"/>
    <x v="10"/>
  </r>
  <r>
    <e v="#N/A"/>
    <x v="71"/>
    <x v="72"/>
    <x v="6"/>
    <s v="As a Deal Level Canvas user I want a footer with Confidentiality Notice, Gen AI Disclaimer, and Data Privacy Statement pop-ups (replicating SRA format, rebranded to DLC) So that I am aware of compliance and data privacy obligations"/>
    <n v="4444288"/>
    <s v="Veena"/>
    <m/>
    <m/>
    <x v="3"/>
    <x v="1"/>
    <m/>
    <x v="12"/>
    <m/>
    <m/>
    <m/>
    <m/>
    <m/>
    <m/>
    <m/>
    <m/>
    <m/>
    <x v="0"/>
    <x v="0"/>
    <s v="Completed"/>
    <s v="Completed"/>
    <m/>
    <m/>
    <m/>
    <m/>
    <m/>
    <m/>
    <e v="#N/A"/>
    <n v="9"/>
    <n v="0"/>
    <n v="0"/>
    <n v="0"/>
    <n v="9"/>
    <n v="1"/>
    <n v="1"/>
    <m/>
    <x v="32"/>
    <x v="10"/>
  </r>
  <r>
    <s v="AMS"/>
    <x v="72"/>
    <x v="73"/>
    <x v="7"/>
    <s v="AMS - As a mySolutionPlanner developer, I want user must be able to Import Offline Utility (OU) from one version to another version on the same Opportunity in Staffing screen."/>
    <n v="4266989"/>
    <s v="Anu"/>
    <s v="Abhijit"/>
    <m/>
    <x v="3"/>
    <x v="1"/>
    <s v="Excel import not possible"/>
    <x v="3"/>
    <m/>
    <m/>
    <m/>
    <m/>
    <m/>
    <m/>
    <m/>
    <m/>
    <m/>
    <x v="0"/>
    <x v="0"/>
    <s v="Completed"/>
    <s v="In Progress"/>
    <n v="31"/>
    <n v="28"/>
    <n v="3"/>
    <n v="31"/>
    <n v="0.90322580645161288"/>
    <n v="0.9"/>
    <s v="UAT In Test"/>
    <n v="30"/>
    <n v="1"/>
    <n v="0"/>
    <n v="0"/>
    <n v="31"/>
    <n v="1"/>
    <n v="0.967741935483871"/>
    <s v="Bug -  4436907, 4436854"/>
    <x v="6"/>
    <x v="2"/>
  </r>
  <r>
    <s v="Pricing"/>
    <x v="73"/>
    <x v="74"/>
    <x v="7"/>
    <s v="AMS - OCP/DCTA: As a mySolutionPlanner developer, I should get Contract year level details by default in Resource Level Summary report"/>
    <n v="4352776"/>
    <s v="Priyanka"/>
    <s v="Ayush, Jothika"/>
    <m/>
    <x v="3"/>
    <x v="1"/>
    <s v="Excel story cannot be automated"/>
    <x v="3"/>
    <m/>
    <m/>
    <m/>
    <m/>
    <m/>
    <m/>
    <m/>
    <m/>
    <m/>
    <x v="0"/>
    <x v="0"/>
    <s v="Completed"/>
    <s v="Completed"/>
    <n v="40"/>
    <n v="25"/>
    <n v="0"/>
    <n v="25"/>
    <n v="0.63"/>
    <n v="0.9"/>
    <s v="UAT In Test"/>
    <n v="25"/>
    <n v="0"/>
    <n v="0"/>
    <n v="0"/>
    <n v="25"/>
    <n v="1"/>
    <n v="1"/>
    <s v="Delivered to UAT"/>
    <x v="23"/>
    <x v="8"/>
  </r>
  <r>
    <s v="Pricing"/>
    <x v="74"/>
    <x v="75"/>
    <x v="7"/>
    <s v="AMS OCP/DCTA: As a mySolutionPlanner developer, I should get productivity values from Productivity Assessment in KDA Report, and the values should be in sync"/>
    <n v="4364983"/>
    <s v="Priyanka"/>
    <s v="Ayush, Jothika"/>
    <m/>
    <x v="60"/>
    <x v="0"/>
    <m/>
    <x v="0"/>
    <s v="Complex"/>
    <m/>
    <n v="1"/>
    <n v="23"/>
    <n v="2"/>
    <n v="0"/>
    <n v="2"/>
    <n v="1"/>
    <n v="0.9"/>
    <x v="0"/>
    <x v="0"/>
    <s v="Completed"/>
    <s v="Completed"/>
    <n v="34"/>
    <n v="30"/>
    <n v="0"/>
    <n v="30"/>
    <n v="0.88"/>
    <n v="0.9"/>
    <s v="UAT In Test"/>
    <n v="30"/>
    <n v="0"/>
    <n v="0"/>
    <n v="0"/>
    <n v="30"/>
    <n v="1"/>
    <n v="1"/>
    <s v="Delivered to UAT for parallel testing"/>
    <x v="23"/>
    <x v="8"/>
  </r>
  <r>
    <s v="OCP/DCTA"/>
    <x v="74"/>
    <x v="75"/>
    <x v="7"/>
    <s v="AMS OCP/DCTA: As a mySolutionPlanner developer, I want to populate updated Lever values for AD and AM (Custom and Package) in OCP and DCTA reports"/>
    <n v="4364038"/>
    <s v="Priyanka"/>
    <s v="Ayush, Jothika"/>
    <m/>
    <x v="61"/>
    <x v="0"/>
    <m/>
    <x v="0"/>
    <s v="Complex"/>
    <m/>
    <n v="0.9"/>
    <n v="25"/>
    <n v="19"/>
    <n v="0"/>
    <n v="19"/>
    <n v="1"/>
    <n v="1"/>
    <x v="0"/>
    <x v="0"/>
    <s v="Completed"/>
    <s v="Completed"/>
    <n v="34"/>
    <n v="30"/>
    <n v="0"/>
    <n v="30"/>
    <n v="0.88"/>
    <n v="0.9"/>
    <s v="UAT In Test"/>
    <n v="30"/>
    <n v="0"/>
    <n v="0"/>
    <n v="0"/>
    <n v="30"/>
    <n v="1"/>
    <n v="1"/>
    <s v="Delivered to UAT for parallel testing "/>
    <x v="23"/>
    <x v="8"/>
  </r>
  <r>
    <s v="AMS"/>
    <x v="75"/>
    <x v="76"/>
    <x v="7"/>
    <s v="AMS RUM: As a mySolutionPlanner developer, I want to add the Named Resource Column Title in the RUM export file, so that the associated columns can be easily addressed"/>
    <n v="4094562"/>
    <s v="Anu"/>
    <s v="Abhijit"/>
    <m/>
    <x v="62"/>
    <x v="0"/>
    <m/>
    <x v="0"/>
    <s v="Medium"/>
    <m/>
    <n v="1"/>
    <n v="24"/>
    <n v="15"/>
    <n v="0"/>
    <n v="15"/>
    <n v="1"/>
    <n v="0.9"/>
    <x v="0"/>
    <x v="0"/>
    <s v="Completed"/>
    <s v="Completed"/>
    <n v="50"/>
    <n v="24"/>
    <n v="4"/>
    <n v="28"/>
    <n v="0.6"/>
    <n v="0.6"/>
    <s v="PT In Test"/>
    <n v="24"/>
    <n v="0"/>
    <n v="0"/>
    <n v="0"/>
    <n v="24"/>
    <n v="1"/>
    <n v="1"/>
    <m/>
    <x v="33"/>
    <x v="2"/>
  </r>
  <r>
    <s v="AMS, SI, DCTA"/>
    <x v="76"/>
    <x v="77"/>
    <x v="7"/>
    <s v="AMS, IMS, SI-DCTA: As a mySolutionPlanner developer, I want to update the logic for deal RAG status to display in KDA Variance Analysis when the user triggers KDA, so that RAG color is aligned with the RAG color displayed for Adherence score in View KDA."/>
    <n v="4316299"/>
    <s v="Sriram"/>
    <s v="Abhijit"/>
    <m/>
    <x v="3"/>
    <x v="1"/>
    <s v="Backend data required"/>
    <x v="8"/>
    <m/>
    <m/>
    <m/>
    <m/>
    <m/>
    <m/>
    <m/>
    <m/>
    <m/>
    <x v="0"/>
    <x v="0"/>
    <s v="Completed"/>
    <s v="Completed"/>
    <n v="21"/>
    <n v="15"/>
    <n v="0"/>
    <n v="15"/>
    <n v="0.9"/>
    <n v="1"/>
    <s v="UAT In Test"/>
    <n v="15"/>
    <n v="0"/>
    <n v="0"/>
    <n v="0"/>
    <n v="15"/>
    <n v="1"/>
    <n v="1"/>
    <m/>
    <x v="10"/>
    <x v="4"/>
  </r>
  <r>
    <s v="AMS, SI, OCP"/>
    <x v="76"/>
    <x v="77"/>
    <x v="7"/>
    <s v="AMS, IMS, SI-OCP: As a mySolutionPlanner developer, I want to update the logic for deal RAG status to display in KDA Variance Analysis when the user triggers KDA, so that RAG color is aligned with the RAG color displayed for Adherence score in View KDA."/>
    <n v="4316297"/>
    <s v="Sriram"/>
    <s v="Abhijit"/>
    <m/>
    <x v="3"/>
    <x v="1"/>
    <s v="Backend data required"/>
    <x v="8"/>
    <m/>
    <m/>
    <m/>
    <m/>
    <m/>
    <m/>
    <m/>
    <m/>
    <m/>
    <x v="0"/>
    <x v="0"/>
    <s v="Completed"/>
    <s v="Completed"/>
    <n v="20"/>
    <n v="15"/>
    <n v="0"/>
    <n v="15"/>
    <n v="0.9"/>
    <n v="1"/>
    <s v="UAT In Test"/>
    <n v="15"/>
    <n v="0"/>
    <n v="0"/>
    <n v="0"/>
    <n v="15"/>
    <n v="1"/>
    <n v="1"/>
    <m/>
    <x v="10"/>
    <x v="4"/>
  </r>
  <r>
    <s v="AMS"/>
    <x v="77"/>
    <x v="78"/>
    <x v="7"/>
    <s v="AMS: As a mySolutionPlanner developer, I should be able to import staffing OU file successfully post generating ADL"/>
    <n v="4371838"/>
    <s v="Anu"/>
    <s v="Abhijit"/>
    <m/>
    <x v="3"/>
    <x v="1"/>
    <s v="Excel import not possible"/>
    <x v="3"/>
    <m/>
    <m/>
    <m/>
    <m/>
    <m/>
    <m/>
    <m/>
    <m/>
    <m/>
    <x v="0"/>
    <x v="0"/>
    <s v="Completed"/>
    <s v="Completed"/>
    <n v="18"/>
    <n v="12"/>
    <n v="6"/>
    <n v="18"/>
    <n v="0.8"/>
    <n v="0.8"/>
    <s v="UAT In Test"/>
    <n v="16"/>
    <n v="0"/>
    <n v="0"/>
    <n v="0"/>
    <n v="16"/>
    <n v="1"/>
    <n v="1"/>
    <m/>
    <x v="6"/>
    <x v="2"/>
  </r>
  <r>
    <s v="AMS"/>
    <x v="78"/>
    <x v="79"/>
    <x v="7"/>
    <s v="AMS: As a mySolutionPlanner developer, I want to populate updated Lever values for AD and AM (Custom and Package) in Productivity Assessment"/>
    <n v="4361790"/>
    <s v="Abhijit"/>
    <s v="Anu"/>
    <m/>
    <x v="3"/>
    <x v="1"/>
    <s v="Backend data required"/>
    <x v="8"/>
    <m/>
    <m/>
    <m/>
    <m/>
    <m/>
    <m/>
    <m/>
    <m/>
    <m/>
    <x v="0"/>
    <x v="0"/>
    <s v="Completed"/>
    <s v="Completed"/>
    <n v="20"/>
    <n v="20"/>
    <n v="5"/>
    <n v="25"/>
    <n v="0.9"/>
    <n v="1"/>
    <s v="UAT In Test"/>
    <n v="25"/>
    <n v="0"/>
    <n v="0"/>
    <n v="0"/>
    <n v="25"/>
    <n v="1"/>
    <n v="1"/>
    <s v="Delivered to UAT for parallel testing"/>
    <x v="6"/>
    <x v="2"/>
  </r>
  <r>
    <s v="Pricing"/>
    <x v="79"/>
    <x v="80"/>
    <x v="7"/>
    <s v="AMS-DCTA: As a mySolutionPlanner developer, I want to populate Negotiation Contingency and Price to Client after Negotiation Contingency fields in MMP reports"/>
    <n v="4359607"/>
    <s v="Ayush"/>
    <s v="Sriram"/>
    <m/>
    <x v="3"/>
    <x v="1"/>
    <s v="Excel parts cannot be automated"/>
    <x v="3"/>
    <m/>
    <m/>
    <m/>
    <m/>
    <m/>
    <m/>
    <m/>
    <m/>
    <m/>
    <x v="0"/>
    <x v="0"/>
    <s v="Completed"/>
    <s v="Completed"/>
    <n v="33"/>
    <n v="22"/>
    <n v="1"/>
    <n v="22"/>
    <n v="0.95"/>
    <n v="1"/>
    <s v="UAT In Test"/>
    <n v="22"/>
    <n v="0"/>
    <n v="0"/>
    <n v="0"/>
    <n v="22"/>
    <n v="1"/>
    <n v="1"/>
    <s v="Bug - 4412417 (C)"/>
    <x v="34"/>
    <x v="8"/>
  </r>
  <r>
    <s v="IMS OCP"/>
    <x v="80"/>
    <x v="81"/>
    <x v="7"/>
    <s v="As myISP SA, I want to share Roles field from Labor JSON and Open for SA Notes field from Cost and Labor JSON to MSDA so that better reporting and comprehensive analysis can be done"/>
    <n v="4362959"/>
    <s v="Priyanka"/>
    <s v="Ayush, Jothika"/>
    <m/>
    <x v="3"/>
    <x v="1"/>
    <s v="JSON and Excel story cannot be automated"/>
    <x v="3"/>
    <m/>
    <m/>
    <m/>
    <m/>
    <m/>
    <m/>
    <m/>
    <m/>
    <m/>
    <x v="0"/>
    <x v="0"/>
    <s v="Completed"/>
    <s v="Completed"/>
    <n v="15"/>
    <n v="5"/>
    <n v="6"/>
    <n v="11"/>
    <n v="0.4"/>
    <n v="0.45"/>
    <s v="Ready for UAT"/>
    <n v="11"/>
    <n v="0"/>
    <n v="0"/>
    <n v="0"/>
    <n v="11"/>
    <n v="1"/>
    <n v="1"/>
    <s v="Delivered for parallel UAT"/>
    <x v="23"/>
    <x v="8"/>
  </r>
  <r>
    <s v="MMP-FFP"/>
    <x v="81"/>
    <x v="82"/>
    <x v="8"/>
    <s v="As a myISP SA, I want to send metrices to MMD for FFP-MMP KDA and MMD DATA Processing"/>
    <n v="4381661"/>
    <s v="Saivinodhini"/>
    <s v="Bhavana/Sathya"/>
    <m/>
    <x v="3"/>
    <x v="1"/>
    <s v="MMD Integration Cannot be automated involves more calculation"/>
    <x v="8"/>
    <m/>
    <m/>
    <m/>
    <m/>
    <m/>
    <m/>
    <m/>
    <m/>
    <m/>
    <x v="0"/>
    <x v="0"/>
    <s v="Completed"/>
    <s v="Completed"/>
    <n v="21"/>
    <n v="4"/>
    <n v="6"/>
    <n v="10"/>
    <n v="0.4"/>
    <n v="0.4"/>
    <s v="Test Complete"/>
    <n v="10"/>
    <n v="0"/>
    <n v="0"/>
    <n v="0"/>
    <n v="10"/>
    <n v="1"/>
    <n v="1"/>
    <m/>
    <x v="34"/>
    <x v="8"/>
  </r>
  <r>
    <s v="SI OCP"/>
    <x v="82"/>
    <x v="83"/>
    <x v="8"/>
    <s v="As a myISP SA, I want to send new definition type for billable expense in the expense tab in pricing input screen to OCP for calculations"/>
    <n v="4367405"/>
    <s v="Amresh"/>
    <s v="Sai/Sohana"/>
    <m/>
    <x v="3"/>
    <x v="1"/>
    <s v="Requires excel report validation"/>
    <x v="3"/>
    <m/>
    <m/>
    <m/>
    <m/>
    <m/>
    <m/>
    <m/>
    <m/>
    <m/>
    <x v="0"/>
    <x v="0"/>
    <s v="Completed"/>
    <s v="Completed"/>
    <n v="29"/>
    <n v="23"/>
    <n v="0"/>
    <n v="23"/>
    <n v="1"/>
    <n v="0.8"/>
    <s v="UAT In Test"/>
    <n v="23"/>
    <n v="0"/>
    <n v="0"/>
    <n v="0"/>
    <n v="23"/>
    <n v="1"/>
    <n v="1"/>
    <s v=" Delivered to UAT for parallel testing"/>
    <x v="35"/>
    <x v="8"/>
  </r>
  <r>
    <s v="Skill Inventory"/>
    <x v="83"/>
    <x v="84"/>
    <x v="7"/>
    <s v="As a Solution Architect, I want enhanced Skill Data Structure with ATCI/ATCP options and Domain/Business Group hierarchy in AMS staffing so that I can accurately categorize skills based on regional and organizational requirements"/>
    <n v="4288220"/>
    <s v="Abhijit"/>
    <s v="Anu"/>
    <m/>
    <x v="3"/>
    <x v="1"/>
    <s v="Backend data required"/>
    <x v="8"/>
    <m/>
    <m/>
    <m/>
    <m/>
    <m/>
    <m/>
    <m/>
    <m/>
    <m/>
    <x v="0"/>
    <x v="0"/>
    <s v="Completed"/>
    <s v="Completed"/>
    <n v="42"/>
    <n v="37"/>
    <n v="2"/>
    <n v="39"/>
    <n v="0.85"/>
    <n v="1"/>
    <s v="Blocked"/>
    <n v="39"/>
    <n v="0"/>
    <n v="0"/>
    <n v="0"/>
    <n v="39"/>
    <n v="1"/>
    <n v="1"/>
    <m/>
    <x v="33"/>
    <x v="2"/>
  </r>
  <r>
    <s v="Pricing"/>
    <x v="73"/>
    <x v="74"/>
    <x v="7"/>
    <s v="BPMS - OCP/DCTA: As a mySolutionPlanner developer, I should get Contract year level details by default in Resource Level Summary report"/>
    <n v="4361245"/>
    <s v="Priyanka"/>
    <s v="Ayush, Jothika"/>
    <m/>
    <x v="3"/>
    <x v="1"/>
    <s v="Excel story cannot be automated"/>
    <x v="3"/>
    <m/>
    <m/>
    <m/>
    <m/>
    <m/>
    <m/>
    <m/>
    <m/>
    <m/>
    <x v="0"/>
    <x v="0"/>
    <s v="Completed"/>
    <s v="Completed"/>
    <n v="21"/>
    <n v="16"/>
    <n v="0"/>
    <n v="16"/>
    <n v="0.76190000000000002"/>
    <n v="0.9"/>
    <s v="Test Complete"/>
    <n v="16"/>
    <n v="0"/>
    <n v="0"/>
    <n v="0"/>
    <n v="16"/>
    <n v="1"/>
    <n v="1"/>
    <s v="Delivered to UAT"/>
    <x v="23"/>
    <x v="8"/>
  </r>
  <r>
    <s v="BPMS"/>
    <x v="84"/>
    <x v="85"/>
    <x v="7"/>
    <s v="BPMS OCP- As a mySolutionPlanner developer, I want to add new tab under financial section of detailed report and make changes in Resource Level View Report when the user trigger Pricing, so users can view the Benchmark report with all the required details."/>
    <n v="4271903"/>
    <s v="Jothika"/>
    <s v="Priyanka"/>
    <m/>
    <x v="3"/>
    <x v="1"/>
    <s v="Requires more scenarios validation and calculations"/>
    <x v="1"/>
    <m/>
    <m/>
    <m/>
    <m/>
    <m/>
    <m/>
    <m/>
    <m/>
    <m/>
    <x v="0"/>
    <x v="0"/>
    <s v="Not Started"/>
    <s v="Completed"/>
    <n v="32"/>
    <n v="22"/>
    <n v="8"/>
    <n v="30"/>
    <n v="0.68"/>
    <n v="0.7"/>
    <s v="UAT In Test"/>
    <n v="30"/>
    <n v="0"/>
    <n v="0"/>
    <n v="0"/>
    <n v="30"/>
    <n v="1"/>
    <n v="1"/>
    <m/>
    <x v="35"/>
    <x v="8"/>
  </r>
  <r>
    <s v="Pricing"/>
    <x v="85"/>
    <x v="86"/>
    <x v="7"/>
    <s v="BPMS-OCP: AS a mySolutionPlanner developer, I want Client Volume Discount to be computed by BPMS OCP engine so that Revenue can be generated from Price To Client considering Client Volume Discount along with other existing pricing/ discounting attributes."/>
    <n v="4378856"/>
    <s v="Priyanka"/>
    <s v="Ayush, Jothika"/>
    <m/>
    <x v="3"/>
    <x v="1"/>
    <s v="This user story requires excel export validation aswell, so cannot_x000a_be automated"/>
    <x v="3"/>
    <m/>
    <m/>
    <m/>
    <m/>
    <m/>
    <m/>
    <m/>
    <m/>
    <m/>
    <x v="0"/>
    <x v="0"/>
    <s v="Completed"/>
    <s v="Completed"/>
    <n v="36"/>
    <n v="20"/>
    <n v="1"/>
    <n v="21"/>
    <n v="0.59"/>
    <n v="0.6"/>
    <s v="Test Complete"/>
    <n v="21"/>
    <n v="0"/>
    <n v="0"/>
    <n v="0"/>
    <n v="21"/>
    <n v="1"/>
    <n v="1"/>
    <s v="Delivered for parallel UAT"/>
    <x v="23"/>
    <x v="8"/>
  </r>
  <r>
    <s v="Pricing"/>
    <x v="73"/>
    <x v="74"/>
    <x v="7"/>
    <s v="IMS - OCP/DCTA: As a mySolutionPlanner developer, I should get Contract year level details by default in Resource Level Summary report"/>
    <n v="4361171"/>
    <s v="Priyanka"/>
    <s v="Ayush, Jothika"/>
    <m/>
    <x v="3"/>
    <x v="1"/>
    <s v="Excel story cannot be automated"/>
    <x v="3"/>
    <m/>
    <m/>
    <m/>
    <m/>
    <m/>
    <m/>
    <m/>
    <m/>
    <m/>
    <x v="0"/>
    <x v="0"/>
    <s v="Completed"/>
    <s v="Completed"/>
    <n v="40"/>
    <n v="25"/>
    <n v="0"/>
    <n v="25"/>
    <n v="0.625"/>
    <n v="0.9"/>
    <s v="UAT In Test"/>
    <n v="25"/>
    <n v="0"/>
    <n v="0"/>
    <n v="0"/>
    <n v="25"/>
    <n v="1"/>
    <n v="1"/>
    <s v="Delivered to UAT"/>
    <x v="23"/>
    <x v="8"/>
  </r>
  <r>
    <s v="IMS MMP"/>
    <x v="79"/>
    <x v="80"/>
    <x v="7"/>
    <s v="IMS-DCTA: As a mySolutionPlanner developer, I want to populate Negotiation Contingency and Price to Client after Negotiation Contingency fields in MMP reports"/>
    <n v="4351345"/>
    <s v="Sriram"/>
    <s v="Ayush"/>
    <m/>
    <x v="3"/>
    <x v="1"/>
    <s v="Excel parts cannot be automated"/>
    <x v="3"/>
    <m/>
    <m/>
    <m/>
    <m/>
    <m/>
    <m/>
    <m/>
    <m/>
    <m/>
    <x v="0"/>
    <x v="0"/>
    <s v="Completed"/>
    <s v="Completed"/>
    <n v="33"/>
    <n v="22"/>
    <n v="1"/>
    <n v="22"/>
    <n v="0.95"/>
    <n v="1"/>
    <s v="UAT In Test"/>
    <n v="22"/>
    <n v="0"/>
    <n v="0"/>
    <n v="0"/>
    <n v="22"/>
    <n v="1"/>
    <n v="1"/>
    <s v="Bug - 4412411 (C)"/>
    <x v="34"/>
    <x v="8"/>
  </r>
  <r>
    <s v="IMS OCP"/>
    <x v="79"/>
    <x v="80"/>
    <x v="7"/>
    <s v="IMS-OCP: As a mySolutionPlanner developer, I want to populate Negotiation Contingency and Price to Client after Negotiation Contingency fields in OCP reports"/>
    <n v="4344835"/>
    <s v="Jothika"/>
    <s v="Priyanka"/>
    <m/>
    <x v="3"/>
    <x v="1"/>
    <s v="Excel story cannot be automated"/>
    <x v="3"/>
    <m/>
    <m/>
    <m/>
    <m/>
    <m/>
    <m/>
    <m/>
    <m/>
    <m/>
    <x v="0"/>
    <x v="0"/>
    <s v="Completed"/>
    <s v="Completed"/>
    <n v="33"/>
    <n v="22"/>
    <n v="1"/>
    <n v="22"/>
    <n v="1"/>
    <n v="1"/>
    <s v="UAT In Test"/>
    <n v="22"/>
    <n v="0"/>
    <n v="0"/>
    <n v="0"/>
    <n v="22"/>
    <n v="1"/>
    <n v="1"/>
    <m/>
    <x v="35"/>
    <x v="8"/>
  </r>
  <r>
    <s v="DFD-myISP"/>
    <x v="18"/>
    <x v="19"/>
    <x v="7"/>
    <s v="Song Compliant Logic Update - As a Overall Song Delivery Approver I want to access the AMS Solution Components - OCP/DCTA section and KDA reports in read-only mode and navigate the fixed breadcrumb path so that I can maintain workflow continuity."/>
    <n v="4416088"/>
    <s v="Anu"/>
    <m/>
    <m/>
    <x v="63"/>
    <x v="0"/>
    <m/>
    <x v="0"/>
    <s v="Complex"/>
    <m/>
    <n v="1"/>
    <n v="1"/>
    <n v="1"/>
    <n v="0"/>
    <n v="1"/>
    <n v="0.9"/>
    <n v="1"/>
    <x v="0"/>
    <x v="0"/>
    <s v="Completed"/>
    <s v="Completed"/>
    <n v="38"/>
    <n v="30"/>
    <n v="0"/>
    <n v="30"/>
    <n v="1"/>
    <n v="1"/>
    <s v="UAT In Test"/>
    <n v="24"/>
    <n v="0"/>
    <n v="0"/>
    <n v="0"/>
    <n v="24"/>
    <n v="1"/>
    <n v="1"/>
    <m/>
    <x v="36"/>
    <x v="11"/>
  </r>
  <r>
    <s v="Value Shaping"/>
    <x v="0"/>
    <x v="0"/>
    <x v="7"/>
    <s v="Value Shaping - As a myISP User - Configurator V2V - I want to access the AMS Solution Components - OCP/DCTA section and KDA reports in read-only mode and navigate the fixed breadcrumb path so that I can maintain workflow continuity."/>
    <n v="4416161"/>
    <s v="Anu"/>
    <m/>
    <m/>
    <x v="64"/>
    <x v="0"/>
    <m/>
    <x v="0"/>
    <s v="Medium"/>
    <m/>
    <n v="1"/>
    <n v="1"/>
    <n v="1"/>
    <n v="0"/>
    <n v="1"/>
    <n v="0.9"/>
    <n v="1"/>
    <x v="0"/>
    <x v="0"/>
    <s v="Completed"/>
    <s v="Completed"/>
    <n v="39"/>
    <n v="30"/>
    <n v="0"/>
    <n v="30"/>
    <n v="1"/>
    <n v="1"/>
    <s v="UAT In Test"/>
    <n v="17"/>
    <n v="0"/>
    <n v="0"/>
    <n v="0"/>
    <n v="17"/>
    <n v="1"/>
    <n v="1"/>
    <s v="Bug - 4432486 (M)"/>
    <x v="36"/>
    <x v="11"/>
  </r>
  <r>
    <s v="Advisory SA - Song "/>
    <x v="7"/>
    <x v="7"/>
    <x v="7"/>
    <s v="As an Advisory song SA, I want to access the AMS OCP tile in read-only mode so that I can maintain and view workflow continuity."/>
    <n v="4391655"/>
    <s v="Priyanka"/>
    <s v="Ayush, Jothika"/>
    <m/>
    <x v="65"/>
    <x v="0"/>
    <m/>
    <x v="0"/>
    <s v="Medium"/>
    <m/>
    <n v="1"/>
    <n v="14"/>
    <n v="14"/>
    <n v="0"/>
    <n v="14"/>
    <n v="1"/>
    <n v="1"/>
    <x v="0"/>
    <x v="0"/>
    <s v="Completed"/>
    <s v="Completed"/>
    <n v="39"/>
    <n v="14"/>
    <n v="0"/>
    <n v="14"/>
    <n v="1"/>
    <n v="1"/>
    <s v="UAT In Test"/>
    <n v="14"/>
    <n v="0"/>
    <n v="0"/>
    <n v="0"/>
    <n v="14"/>
    <n v="1"/>
    <n v="1"/>
    <m/>
    <x v="23"/>
    <x v="8"/>
  </r>
  <r>
    <s v="IPC Calculator"/>
    <x v="86"/>
    <x v="87"/>
    <x v="9"/>
    <s v="As a mySP user, I want to view the updated RAG logic for IPC DCT and IPC Lead PMO in SIVT Report"/>
    <n v="4343705"/>
    <s v="Chaitanya"/>
    <s v="Vinesh"/>
    <m/>
    <x v="3"/>
    <x v="1"/>
    <s v="PBI report validation cannot be automated"/>
    <x v="11"/>
    <m/>
    <m/>
    <m/>
    <m/>
    <m/>
    <m/>
    <m/>
    <m/>
    <m/>
    <x v="0"/>
    <x v="0"/>
    <s v="Completed"/>
    <s v="Completed"/>
    <n v="8"/>
    <n v="7"/>
    <n v="0"/>
    <n v="7"/>
    <n v="1"/>
    <n v="1"/>
    <s v="Test Complete"/>
    <n v="7"/>
    <n v="0"/>
    <n v="0"/>
    <n v="0"/>
    <n v="7"/>
    <n v="1"/>
    <n v="1"/>
    <m/>
    <x v="37"/>
    <x v="12"/>
  </r>
  <r>
    <s v="Analytics"/>
    <x v="87"/>
    <x v="88"/>
    <x v="9"/>
    <s v="As a myISP user, I want to rename/deactivate for &quot;IE SA&quot; column in a data dump (Reporting Layer and SA Assignment layer) for mentioned roles so that IE SA can see the assignment for few applicable roles only for each Service Level in concatenated based."/>
    <n v="4358784"/>
    <s v="Alekhya"/>
    <s v="Vinesh"/>
    <m/>
    <x v="3"/>
    <x v="1"/>
    <s v="PBI report validation cannot be automated"/>
    <x v="11"/>
    <m/>
    <m/>
    <m/>
    <m/>
    <m/>
    <m/>
    <m/>
    <m/>
    <m/>
    <x v="0"/>
    <x v="0"/>
    <s v="Completed"/>
    <s v="Completed"/>
    <n v="59"/>
    <n v="25"/>
    <n v="0"/>
    <n v="25"/>
    <n v="1"/>
    <n v="1"/>
    <s v="UAT In Test"/>
    <n v="25"/>
    <n v="0"/>
    <n v="0"/>
    <n v="0"/>
    <n v="25"/>
    <n v="1"/>
    <n v="1"/>
    <m/>
    <x v="37"/>
    <x v="12"/>
  </r>
  <r>
    <s v="Analytics"/>
    <x v="87"/>
    <x v="88"/>
    <x v="9"/>
    <s v="As a myISP user, I should be able to enable list of BPMS - Operations (Offerings) in Alignment filter column and below filtered grid columns so that in SA Bandwidth Report so that calendar details should show based on the Offerings."/>
    <n v="4366137"/>
    <s v="Vamshi"/>
    <s v="Chaitanya"/>
    <m/>
    <x v="3"/>
    <x v="1"/>
    <s v="PBI report validation cannot be automated"/>
    <x v="11"/>
    <m/>
    <m/>
    <m/>
    <m/>
    <m/>
    <m/>
    <m/>
    <m/>
    <m/>
    <x v="0"/>
    <x v="0"/>
    <s v="Completed"/>
    <s v="Completed"/>
    <n v="47"/>
    <n v="10"/>
    <n v="0"/>
    <n v="10"/>
    <n v="1"/>
    <n v="1"/>
    <s v="Test Complete"/>
    <n v="10"/>
    <n v="0"/>
    <n v="0"/>
    <n v="0"/>
    <n v="10"/>
    <n v="1"/>
    <n v="1"/>
    <m/>
    <x v="37"/>
    <x v="12"/>
  </r>
  <r>
    <s v="BPMS Onboarding"/>
    <x v="88"/>
    <x v="89"/>
    <x v="9"/>
    <s v="As a BPMS reporting Layer User, I want Incremental GenAI Productivity � YoY, Initial Productivity � YoY, and Total Productivity � YoY to be exposed in the BPMS Reporting Layer as separate columns for Year 1 through Year 10."/>
    <n v="4367327"/>
    <s v="Vamshi"/>
    <s v="Chaitanya"/>
    <m/>
    <x v="3"/>
    <x v="1"/>
    <s v="PBI report validation cannot be automated"/>
    <x v="11"/>
    <m/>
    <m/>
    <m/>
    <m/>
    <m/>
    <m/>
    <m/>
    <m/>
    <m/>
    <x v="0"/>
    <x v="0"/>
    <s v="Completed"/>
    <s v="Completed"/>
    <n v="56"/>
    <n v="11"/>
    <n v="1"/>
    <n v="12"/>
    <n v="0.95"/>
    <n v="0.95"/>
    <s v="Test Complete"/>
    <n v="12"/>
    <n v="0"/>
    <n v="0"/>
    <n v="0"/>
    <n v="12"/>
    <n v="1"/>
    <n v="1"/>
    <m/>
    <x v="37"/>
    <x v="12"/>
  </r>
  <r>
    <s v="BPMS Onboarding"/>
    <x v="89"/>
    <x v="90"/>
    <x v="9"/>
    <s v="[Technical] As a PMO user, I want to verify that the MasterCustomerNM is available in BPMS reporting layer so that user has better insights on client details"/>
    <n v="4371950"/>
    <s v="Chaitanya"/>
    <s v="Vinesh"/>
    <m/>
    <x v="3"/>
    <x v="1"/>
    <s v="PBI report validation cannot be automated"/>
    <x v="11"/>
    <m/>
    <m/>
    <m/>
    <m/>
    <m/>
    <m/>
    <m/>
    <m/>
    <m/>
    <x v="0"/>
    <x v="0"/>
    <s v="Completed"/>
    <s v="Completed"/>
    <n v="7"/>
    <n v="4"/>
    <n v="0"/>
    <n v="4"/>
    <n v="1"/>
    <n v="1"/>
    <s v="Test Complete"/>
    <n v="4"/>
    <n v="0"/>
    <n v="0"/>
    <n v="0"/>
    <n v="4"/>
    <n v="1"/>
    <n v="1"/>
    <m/>
    <x v="37"/>
    <x v="12"/>
  </r>
  <r>
    <s v="BPMS Onboarding"/>
    <x v="90"/>
    <x v="91"/>
    <x v="9"/>
    <s v="As a BPMS User, I should be able to view the Lead SA - Operations field in the Benchmark Report so that I can get insights into the resource assigned to an Opportunity."/>
    <n v="4371951"/>
    <s v="Alekhya"/>
    <s v="Chaitanya"/>
    <m/>
    <x v="3"/>
    <x v="1"/>
    <s v="PBI report validation cannot be automated"/>
    <x v="11"/>
    <m/>
    <m/>
    <m/>
    <m/>
    <m/>
    <m/>
    <m/>
    <m/>
    <m/>
    <x v="0"/>
    <x v="0"/>
    <s v="Completed"/>
    <s v="Completed"/>
    <n v="10"/>
    <n v="8"/>
    <n v="0"/>
    <n v="8"/>
    <n v="1"/>
    <n v="1"/>
    <s v="Test Complete"/>
    <n v="8"/>
    <n v="0"/>
    <n v="0"/>
    <n v="0"/>
    <n v="8"/>
    <n v="1"/>
    <n v="1"/>
    <m/>
    <x v="37"/>
    <x v="12"/>
  </r>
  <r>
    <s v="BPMS Onboarding"/>
    <x v="91"/>
    <x v="92"/>
    <x v="9"/>
    <s v="As a myISP User, I should be able to include a new sheet named BPMS CXTA Details in the BPMS reporting layer so that CXTA details can be visible to PMOs."/>
    <n v="4371954"/>
    <s v="Alekhya"/>
    <s v="Vamshi"/>
    <m/>
    <x v="3"/>
    <x v="1"/>
    <s v="PBI report validation cannot be automated"/>
    <x v="11"/>
    <m/>
    <m/>
    <m/>
    <m/>
    <m/>
    <m/>
    <m/>
    <m/>
    <m/>
    <x v="0"/>
    <x v="0"/>
    <s v="Completed"/>
    <s v="Completed"/>
    <n v="10"/>
    <n v="10"/>
    <n v="0"/>
    <n v="10"/>
    <n v="1"/>
    <n v="1"/>
    <s v="Test Complete"/>
    <n v="10"/>
    <n v="0"/>
    <n v="0"/>
    <n v="0"/>
    <n v="10"/>
    <n v="1"/>
    <n v="1"/>
    <m/>
    <x v="37"/>
    <x v="12"/>
  </r>
  <r>
    <s v="BPMS Onboarding"/>
    <x v="89"/>
    <x v="90"/>
    <x v="9"/>
    <s v="As a myISP User, I should be able to new fields added in the BPMS reporting layer so that PMOs can better insights"/>
    <n v="4371955"/>
    <s v="Chaitanya"/>
    <s v="Alekhya"/>
    <m/>
    <x v="3"/>
    <x v="1"/>
    <s v="PBI report validation cannot be automated"/>
    <x v="11"/>
    <m/>
    <m/>
    <m/>
    <m/>
    <m/>
    <m/>
    <m/>
    <m/>
    <m/>
    <x v="0"/>
    <x v="0"/>
    <s v="Completed"/>
    <s v="Completed"/>
    <n v="7"/>
    <n v="7"/>
    <n v="0"/>
    <n v="7"/>
    <n v="1"/>
    <n v="1"/>
    <s v="Test Complete"/>
    <n v="7"/>
    <n v="0"/>
    <n v="0"/>
    <n v="0"/>
    <n v="7"/>
    <n v="1"/>
    <n v="1"/>
    <m/>
    <x v="37"/>
    <x v="12"/>
  </r>
  <r>
    <s v="Analytics"/>
    <x v="15"/>
    <x v="16"/>
    <x v="9"/>
    <s v="As a myISP user, I want to enable &quot;Advisory SA - SONG&quot; role and assignments in a data dump (Reporting Layer and SA Assignment layer) for across SG."/>
    <n v="4369456"/>
    <s v="Chaitanya"/>
    <s v="Vinesh"/>
    <m/>
    <x v="3"/>
    <x v="1"/>
    <s v="PBI report validation cannot be automated"/>
    <x v="11"/>
    <m/>
    <m/>
    <m/>
    <m/>
    <m/>
    <m/>
    <m/>
    <m/>
    <m/>
    <x v="0"/>
    <x v="0"/>
    <s v="Completed"/>
    <s v="Completed"/>
    <n v="7"/>
    <n v="7"/>
    <n v="0"/>
    <n v="7"/>
    <n v="1"/>
    <n v="1"/>
    <s v="UAT In Test"/>
    <n v="7"/>
    <n v="0"/>
    <n v="0"/>
    <n v="0"/>
    <n v="7"/>
    <n v="1"/>
    <n v="1"/>
    <m/>
    <x v="37"/>
    <x v="12"/>
  </r>
  <r>
    <s v="ESA to Market Maker ESA"/>
    <x v="87"/>
    <x v="88"/>
    <x v="9"/>
    <s v="As a Myisp user, I want the role &quot;Enterprise SA&quot; to be renamed to &quot;Market Maker ESA&quot; in myISP So that the role name clearly reflects the Market Make ESA in Analytics Reports."/>
    <n v="4369602"/>
    <s v="Alekhya"/>
    <s v="Vinesh"/>
    <m/>
    <x v="3"/>
    <x v="1"/>
    <s v="PBI report validation cannot be automated"/>
    <x v="11"/>
    <m/>
    <m/>
    <m/>
    <m/>
    <m/>
    <m/>
    <m/>
    <m/>
    <m/>
    <x v="0"/>
    <x v="0"/>
    <s v="Completed"/>
    <s v="Completed"/>
    <n v="70"/>
    <n v="8"/>
    <n v="0"/>
    <n v="8"/>
    <n v="0.95"/>
    <n v="0.95"/>
    <s v="Test Complete"/>
    <n v="8"/>
    <n v="0"/>
    <n v="0"/>
    <n v="0"/>
    <n v="8"/>
    <n v="1"/>
    <n v="1"/>
    <m/>
    <x v="37"/>
    <x v="12"/>
  </r>
  <r>
    <s v="DATA Refresh"/>
    <x v="92"/>
    <x v="93"/>
    <x v="9"/>
    <s v="As DATA team member, I want to refresh the latest data from OMDIA in backend DB tables so that impacted screens and reports will get the latest data from DB post successful refresh."/>
    <n v="4360851"/>
    <s v="Chaitanya"/>
    <s v="Alekhya"/>
    <m/>
    <x v="3"/>
    <x v="1"/>
    <s v="PBI report validation cannot be automated"/>
    <x v="11"/>
    <m/>
    <m/>
    <m/>
    <m/>
    <m/>
    <m/>
    <m/>
    <m/>
    <m/>
    <x v="0"/>
    <x v="0"/>
    <s v="Completed"/>
    <s v="Completed"/>
    <n v="7"/>
    <n v="7"/>
    <n v="0"/>
    <n v="7"/>
    <n v="1"/>
    <n v="1"/>
    <s v="Test Complete"/>
    <n v="7"/>
    <n v="0"/>
    <n v="0"/>
    <n v="0"/>
    <n v="7"/>
    <n v="1"/>
    <n v="1"/>
    <m/>
    <x v="38"/>
    <x v="13"/>
  </r>
  <r>
    <s v="MDA"/>
    <x v="93"/>
    <x v="94"/>
    <x v="9"/>
    <s v="[MDA-IMS]: As a SA, I want to append the 3 new tabs after the Staffing data tab in MDA Export Staffing Data Excel so that the export includes all required datasets in the correct structure"/>
    <n v="4362567"/>
    <s v="Sahithya"/>
    <s v="Manasa"/>
    <m/>
    <x v="3"/>
    <x v="1"/>
    <s v="Excel data validation"/>
    <x v="3"/>
    <m/>
    <m/>
    <m/>
    <m/>
    <m/>
    <m/>
    <m/>
    <m/>
    <m/>
    <x v="0"/>
    <x v="0"/>
    <s v="Completed"/>
    <s v="Completed"/>
    <n v="42"/>
    <n v="3"/>
    <n v="6"/>
    <n v="9"/>
    <n v="0.3"/>
    <n v="0.3"/>
    <s v="Test Complete"/>
    <n v="9"/>
    <n v="0"/>
    <n v="0"/>
    <n v="0"/>
    <n v="9"/>
    <n v="1"/>
    <n v="1"/>
    <s v="Delivered for parallel UAT testing"/>
    <x v="39"/>
    <x v="14"/>
  </r>
  <r>
    <s v="IPC Calculator"/>
    <x v="86"/>
    <x v="87"/>
    <x v="9"/>
    <s v="[MDA-SI]: As a mySP user, I want to view the updated RAG logic in MSDA in sync with View KDA for IPC DCT and IPC Lead PMO"/>
    <n v="4346705"/>
    <s v="Ankita"/>
    <s v="Manasa"/>
    <m/>
    <x v="3"/>
    <x v="1"/>
    <s v="PBI report validation cannot be automated"/>
    <x v="11"/>
    <m/>
    <m/>
    <m/>
    <m/>
    <m/>
    <m/>
    <m/>
    <m/>
    <m/>
    <x v="0"/>
    <x v="0"/>
    <s v="Completed"/>
    <s v="Completed"/>
    <n v="32"/>
    <n v="3"/>
    <n v="17"/>
    <n v="20"/>
    <n v="0.09"/>
    <n v="0.05"/>
    <s v="Test Complete"/>
    <n v="20"/>
    <n v="0"/>
    <n v="0"/>
    <n v="0"/>
    <n v="20"/>
    <n v="1"/>
    <n v="1"/>
    <s v="Testing is completed from PT end. UAT Testing Not Required."/>
    <x v="39"/>
    <x v="14"/>
  </r>
  <r>
    <s v="MDA"/>
    <x v="93"/>
    <x v="94"/>
    <x v="9"/>
    <s v="[MDA-IMS]: As a SA, I want to enable navigation in Financial Report to a dedicated page via the Cost Deal pivot breadcrumb only for OCP Route"/>
    <n v="4308725"/>
    <s v="Ankita"/>
    <s v="Sahithya"/>
    <m/>
    <x v="3"/>
    <x v="1"/>
    <s v="PBI report validation cannot be automated"/>
    <x v="11"/>
    <m/>
    <m/>
    <m/>
    <m/>
    <m/>
    <m/>
    <m/>
    <m/>
    <m/>
    <x v="0"/>
    <x v="0"/>
    <s v="Completed"/>
    <s v="Completed"/>
    <n v="34"/>
    <n v="11"/>
    <n v="25"/>
    <n v="36"/>
    <n v="0.32"/>
    <n v="0.1"/>
    <s v="UAT In Test"/>
    <n v="36"/>
    <n v="0"/>
    <n v="0"/>
    <n v="0"/>
    <n v="36"/>
    <n v="1"/>
    <n v="1"/>
    <s v="Bug-4430563(H) Delivered for Parallel UAT"/>
    <x v="39"/>
    <x v="14"/>
  </r>
  <r>
    <s v="MDA"/>
    <x v="94"/>
    <x v="95"/>
    <x v="9"/>
    <s v="[MDA-AMS]: As a SA, I want to add I want to add a new Group filter in the Headcount (HC) Report for the OCP route"/>
    <n v="4368141"/>
    <s v="Mohan"/>
    <s v="Manasa"/>
    <m/>
    <x v="3"/>
    <x v="1"/>
    <s v="PBI report validation cannot be automated"/>
    <x v="11"/>
    <m/>
    <m/>
    <m/>
    <m/>
    <m/>
    <m/>
    <m/>
    <m/>
    <m/>
    <x v="0"/>
    <x v="0"/>
    <s v="Completed"/>
    <s v="Completed"/>
    <n v="26"/>
    <n v="22"/>
    <n v="6"/>
    <n v="28"/>
    <n v="0.56999999999999995"/>
    <n v="0.45"/>
    <s v="Test Complete"/>
    <n v="28"/>
    <n v="0"/>
    <n v="0"/>
    <n v="0"/>
    <n v="28"/>
    <n v="1"/>
    <n v="1"/>
    <s v="_x000a_Delivered for Parallel UAT"/>
    <x v="39"/>
    <x v="14"/>
  </r>
  <r>
    <s v="MDA"/>
    <x v="94"/>
    <x v="95"/>
    <x v="9"/>
    <s v="[MDA-AMS]: As a SA, I want to add I want to add a new Group filter in the Pyramid (PY) Report for the OCP route"/>
    <n v="4368158"/>
    <s v="Manasa"/>
    <s v="Ankita"/>
    <m/>
    <x v="3"/>
    <x v="1"/>
    <s v="PBI report validation cannot be automated"/>
    <x v="11"/>
    <m/>
    <m/>
    <m/>
    <m/>
    <m/>
    <m/>
    <m/>
    <m/>
    <m/>
    <x v="0"/>
    <x v="0"/>
    <s v="Completed"/>
    <s v="Completed"/>
    <s v="45"/>
    <s v="21"/>
    <n v="6"/>
    <n v="27"/>
    <n v="0.65"/>
    <n v="0.65"/>
    <s v="UAT In Test"/>
    <n v="27"/>
    <n v="0"/>
    <n v="0"/>
    <n v="0"/>
    <n v="27"/>
    <n v="1"/>
    <n v="1"/>
    <s v="Bug ID: 4446233(M) - Defect moved to May 9th_x000a_Delivered for Parallel UAT"/>
    <x v="39"/>
    <x v="14"/>
  </r>
  <r>
    <s v="MDA"/>
    <x v="94"/>
    <x v="95"/>
    <x v="9"/>
    <s v="[MDA-AMS]: As a SA, I want to add I want to add a new Group filter in the Financial Summary Report for the OCP route"/>
    <n v="4368160"/>
    <s v="Mohan"/>
    <s v="Ankita"/>
    <m/>
    <x v="3"/>
    <x v="1"/>
    <s v="PBI report validation cannot be automated"/>
    <x v="11"/>
    <m/>
    <m/>
    <m/>
    <m/>
    <m/>
    <m/>
    <m/>
    <m/>
    <m/>
    <x v="0"/>
    <x v="0"/>
    <s v="Completed"/>
    <s v="Completed"/>
    <n v="26"/>
    <n v="22"/>
    <n v="6"/>
    <n v="28"/>
    <n v="0.56999999999999995"/>
    <n v="0.45"/>
    <s v="Blocked in UAT"/>
    <n v="28"/>
    <n v="0"/>
    <n v="0"/>
    <n v="0"/>
    <n v="28"/>
    <n v="1"/>
    <n v="1"/>
    <s v="Bug ID:  4435622(M) - Defect moved to May 9th_x000a_Delivered for Parallel UAT"/>
    <x v="39"/>
    <x v="14"/>
  </r>
  <r>
    <s v="MDA"/>
    <x v="94"/>
    <x v="95"/>
    <x v="9"/>
    <s v="[MDA-AMS]: As a SA, I want to add I want to add a new Group filter in the Pyramid Report for MMP route"/>
    <n v="4368163"/>
    <s v="Manasa"/>
    <s v="Gowsick"/>
    <m/>
    <x v="3"/>
    <x v="1"/>
    <s v="PBI report validation cannot be automated"/>
    <x v="11"/>
    <m/>
    <m/>
    <m/>
    <m/>
    <m/>
    <m/>
    <m/>
    <m/>
    <m/>
    <x v="0"/>
    <x v="0"/>
    <s v="Completed"/>
    <s v="Completed"/>
    <s v="47"/>
    <s v="21"/>
    <n v="6"/>
    <n v="27"/>
    <n v="0.65"/>
    <n v="0.65"/>
    <s v="UAT In Test"/>
    <n v="27"/>
    <n v="0"/>
    <n v="0"/>
    <n v="0"/>
    <n v="27"/>
    <n v="1"/>
    <n v="1"/>
    <s v="Deferred bug ID: 4435622(M)_x000a_Delivered for Parallel UAT"/>
    <x v="39"/>
    <x v="14"/>
  </r>
  <r>
    <s v="MDA"/>
    <x v="95"/>
    <x v="96"/>
    <x v="9"/>
    <s v="CR-[MDA-PBI]: As a SA, I want to see the UI changes required in PBI reports for better visibility"/>
    <n v="4368210"/>
    <s v="Ankita"/>
    <s v="Gowsick"/>
    <m/>
    <x v="3"/>
    <x v="1"/>
    <s v="PBI report validation cannot be automated"/>
    <x v="11"/>
    <m/>
    <m/>
    <m/>
    <m/>
    <m/>
    <m/>
    <m/>
    <m/>
    <m/>
    <x v="0"/>
    <x v="0"/>
    <s v="Completed"/>
    <s v="Completed"/>
    <n v="34"/>
    <n v="7"/>
    <n v="16"/>
    <n v="23"/>
    <n v="0.2"/>
    <n v="0.05"/>
    <s v="UAT In Test"/>
    <n v="23"/>
    <n v="0"/>
    <n v="0"/>
    <n v="0"/>
    <n v="23"/>
    <n v="1"/>
    <n v="1"/>
    <s v="Delivered for Parallel UAT"/>
    <x v="39"/>
    <x v="14"/>
  </r>
  <r>
    <s v="MDA"/>
    <x v="95"/>
    <x v="96"/>
    <x v="9"/>
    <s v="CR-[MDA-PBI]: As a SA, I want to see the UI changes required in PBI reports for better visibility"/>
    <n v="4368211"/>
    <s v="Ankita"/>
    <s v="Gowsick"/>
    <m/>
    <x v="3"/>
    <x v="1"/>
    <s v="PBI report validation cannot be automated"/>
    <x v="11"/>
    <m/>
    <m/>
    <m/>
    <m/>
    <m/>
    <m/>
    <m/>
    <m/>
    <m/>
    <x v="0"/>
    <x v="0"/>
    <s v="Completed"/>
    <s v="Completed"/>
    <n v="36"/>
    <n v="19"/>
    <n v="2"/>
    <n v="21"/>
    <n v="0.7"/>
    <n v="0.9"/>
    <s v="UAT In Test"/>
    <n v="21"/>
    <n v="0"/>
    <n v="0"/>
    <n v="0"/>
    <n v="21"/>
    <n v="1"/>
    <n v="1"/>
    <s v="Delivered for Parallel UAT"/>
    <x v="39"/>
    <x v="14"/>
  </r>
  <r>
    <s v="MDA"/>
    <x v="93"/>
    <x v="94"/>
    <x v="9"/>
    <s v="[MDA-IMS]: As a SA, I want to see Open for SA Note Column in IMS Pyramid Deal Pivot All Phases tab for OCP Route"/>
    <n v="4371933"/>
    <s v="Manasa"/>
    <s v="Sahithya"/>
    <m/>
    <x v="3"/>
    <x v="1"/>
    <s v="PBI report validation cannot be automated"/>
    <x v="11"/>
    <m/>
    <m/>
    <m/>
    <m/>
    <m/>
    <m/>
    <m/>
    <m/>
    <m/>
    <x v="0"/>
    <x v="0"/>
    <s v="Completed"/>
    <s v="Completed"/>
    <s v="30"/>
    <s v="11"/>
    <n v="0"/>
    <n v="11"/>
    <n v="1"/>
    <n v="1"/>
    <s v="Test Complete"/>
    <n v="11"/>
    <n v="0"/>
    <n v="0"/>
    <n v="0"/>
    <n v="11"/>
    <n v="1"/>
    <n v="1"/>
    <s v="Bug ID: 4423780(L)_x000a_Delivered for parallel UAT testing"/>
    <x v="39"/>
    <x v="14"/>
  </r>
  <r>
    <s v="MDA"/>
    <x v="95"/>
    <x v="96"/>
    <x v="9"/>
    <s v="CR-[MDA‑PBI]: Implement New Service, Sub‑Service and CareerLevel Filtering Logic for HC SDM/CSDM/PMO View under FTE Deal Pivot for HC report"/>
    <n v="4389863"/>
    <s v="Sahithya"/>
    <s v="Mohan"/>
    <m/>
    <x v="3"/>
    <x v="1"/>
    <s v="PBI report validation cannot be automated"/>
    <x v="11"/>
    <m/>
    <m/>
    <m/>
    <m/>
    <m/>
    <m/>
    <m/>
    <m/>
    <m/>
    <x v="0"/>
    <x v="0"/>
    <s v="Completed"/>
    <s v="Completed"/>
    <n v="47"/>
    <n v="17"/>
    <n v="0"/>
    <n v="17"/>
    <n v="1"/>
    <n v="1"/>
    <s v="Test Complete"/>
    <n v="17"/>
    <n v="0"/>
    <n v="0"/>
    <n v="0"/>
    <n v="17"/>
    <n v="1"/>
    <n v="1"/>
    <s v="Delivered for parallel UAT testing_x000a_4429046(H)"/>
    <x v="39"/>
    <x v="14"/>
  </r>
  <r>
    <s v="MDA"/>
    <x v="96"/>
    <x v="97"/>
    <x v="9"/>
    <s v="CR-[MDA-Common]: As a Solution Architect (SA) / Lead Solution Architect, I want to have system permissions to create MSDA Deal Versions"/>
    <n v="4390101"/>
    <s v="Mohan"/>
    <s v="Gowsick"/>
    <m/>
    <x v="3"/>
    <x v="1"/>
    <s v="PBI report validation cannot be automated"/>
    <x v="11"/>
    <m/>
    <m/>
    <m/>
    <m/>
    <m/>
    <m/>
    <m/>
    <m/>
    <m/>
    <x v="0"/>
    <x v="0"/>
    <s v="Completed"/>
    <s v="Completed"/>
    <n v="24"/>
    <n v="10"/>
    <n v="4"/>
    <n v="14"/>
    <n v="0.48"/>
    <n v="0.4"/>
    <s v="Test Complete"/>
    <n v="14"/>
    <n v="0"/>
    <n v="0"/>
    <n v="0"/>
    <n v="14"/>
    <n v="1"/>
    <n v="1"/>
    <s v="Delivered for Parallel UAT"/>
    <x v="39"/>
    <x v="14"/>
  </r>
  <r>
    <s v="MDA"/>
    <x v="93"/>
    <x v="94"/>
    <x v="9"/>
    <s v="[MDA-IMS]: As a SA, I want to enable navigation in Financial Report with multiple Static reporting tabs via the Cost Deal pivot breadcrumb only for OCP Route"/>
    <n v="4391662"/>
    <s v="Manasa"/>
    <s v="Sahithya"/>
    <m/>
    <x v="3"/>
    <x v="1"/>
    <s v="PBI report validation cannot be automated"/>
    <x v="11"/>
    <m/>
    <m/>
    <m/>
    <m/>
    <m/>
    <m/>
    <m/>
    <m/>
    <m/>
    <x v="0"/>
    <x v="0"/>
    <s v="Completed"/>
    <s v="Completed"/>
    <s v="30"/>
    <s v="23"/>
    <n v="10"/>
    <n v="33"/>
    <n v="0.65"/>
    <n v="0.65"/>
    <s v="UAT In Test"/>
    <n v="33"/>
    <n v="0"/>
    <n v="0"/>
    <n v="0"/>
    <n v="33"/>
    <n v="1"/>
    <n v="1"/>
    <s v="Bug: 4436704(H), 4438953(H), 4437692(M), "/>
    <x v="39"/>
    <x v="14"/>
  </r>
  <r>
    <s v="DFD-myISP"/>
    <x v="18"/>
    <x v="19"/>
    <x v="9"/>
    <s v="[MDA-Common] Song Compliant Logic Update - As a Overall Song Delivery Approver ,I want to access the Multi-Service Deal Analytics tile in read-only mode and navigate using the fixed breadcrumb path so that I can maintain workflow continuity."/>
    <n v="4398531"/>
    <s v="Manasa"/>
    <m/>
    <m/>
    <x v="3"/>
    <x v="1"/>
    <s v="PBI report validation cannot be automated and also involves multiple validation"/>
    <x v="11"/>
    <m/>
    <m/>
    <m/>
    <m/>
    <m/>
    <m/>
    <m/>
    <m/>
    <m/>
    <x v="0"/>
    <x v="0"/>
    <s v="Completed"/>
    <s v="Completed"/>
    <s v="30"/>
    <s v="16"/>
    <n v="0"/>
    <n v="16"/>
    <n v="1"/>
    <n v="1"/>
    <s v="UAT In Test"/>
    <n v="16"/>
    <n v="0"/>
    <n v="0"/>
    <n v="0"/>
    <n v="16"/>
    <n v="1"/>
    <n v="1"/>
    <m/>
    <x v="39"/>
    <x v="14"/>
  </r>
  <r>
    <s v="Value Shaping"/>
    <x v="0"/>
    <x v="0"/>
    <x v="9"/>
    <s v="[MDA-Common] Value Shaping - As a myISP User - Configurator V2V - I want to access the Multi-Service Deal Analytics tile in read-only mode and navigate using the fixed breadcrumb path so that I can maintain workflow continuity."/>
    <n v="4398530"/>
    <s v="Mohan"/>
    <m/>
    <m/>
    <x v="3"/>
    <x v="1"/>
    <s v="PBI report validation cannot be automated and also involves multiple validation"/>
    <x v="11"/>
    <m/>
    <m/>
    <m/>
    <m/>
    <m/>
    <m/>
    <m/>
    <m/>
    <m/>
    <x v="0"/>
    <x v="0"/>
    <s v="Completed"/>
    <s v="Completed"/>
    <n v="24"/>
    <n v="18"/>
    <n v="6"/>
    <n v="24"/>
    <n v="0.52"/>
    <n v="0.46"/>
    <s v="Test Complete"/>
    <n v="24"/>
    <n v="0"/>
    <n v="0"/>
    <n v="0"/>
    <n v="24"/>
    <n v="1"/>
    <n v="1"/>
    <s v=" Delivered to parallel UAT"/>
    <x v="39"/>
    <x v="14"/>
  </r>
  <r>
    <s v="SI - pcw"/>
    <x v="21"/>
    <x v="22"/>
    <x v="10"/>
    <s v="PCW - As a Solution Architect, I want to create Solution Line ID during the PCW check-in process in the pcw staffing sheet so that it can be used for tracking and synchronization across versions and refresh operations."/>
    <n v="4336300"/>
    <s v="Sairam"/>
    <s v="Sneha"/>
    <m/>
    <x v="3"/>
    <x v="1"/>
    <s v="Related to PCW"/>
    <x v="3"/>
    <m/>
    <m/>
    <m/>
    <m/>
    <m/>
    <m/>
    <m/>
    <m/>
    <m/>
    <x v="0"/>
    <x v="0"/>
    <s v="Completed"/>
    <s v="Completed"/>
    <n v="10"/>
    <n v="2"/>
    <n v="1"/>
    <n v="3"/>
    <n v="0.9"/>
    <n v="0.9"/>
    <s v="UAT In Test"/>
    <n v="3"/>
    <n v="0"/>
    <n v="0"/>
    <n v="0"/>
    <n v="3"/>
    <n v="1"/>
    <n v="1"/>
    <s v="Delivered to UAT "/>
    <x v="40"/>
    <x v="15"/>
  </r>
  <r>
    <s v="PCW"/>
    <x v="97"/>
    <x v="98"/>
    <x v="10"/>
    <s v="API - Copy the Pricing Input screen data from source to target PCW versions"/>
    <n v="4365033"/>
    <s v="Naveen S"/>
    <s v="Kiruthiga"/>
    <m/>
    <x v="3"/>
    <x v="1"/>
    <s v="PCW US"/>
    <x v="3"/>
    <m/>
    <m/>
    <m/>
    <m/>
    <m/>
    <m/>
    <m/>
    <m/>
    <m/>
    <x v="0"/>
    <x v="0"/>
    <s v="Completed"/>
    <s v="Completed"/>
    <n v="54"/>
    <n v="20"/>
    <n v="0"/>
    <n v="20"/>
    <n v="1"/>
    <n v="0.9"/>
    <s v="Blocked in UAT"/>
    <n v="20"/>
    <n v="0"/>
    <n v="0"/>
    <n v="0"/>
    <n v="20"/>
    <n v="1"/>
    <n v="1"/>
    <s v=" Delivered to parallel UAT"/>
    <x v="41"/>
    <x v="15"/>
  </r>
  <r>
    <s v="Skill Inventory"/>
    <x v="83"/>
    <x v="84"/>
    <x v="10"/>
    <s v="As a Solution Architect, I want enhanced Skill Data Structure with ATCI/ATCP options and Domain/Business Group hierarchy in SI staffing so that I can accurately categorize skills based on regional and organizational requirements"/>
    <n v="4273062"/>
    <s v="Divyasree"/>
    <s v="Viji"/>
    <m/>
    <x v="66"/>
    <x v="0"/>
    <m/>
    <x v="0"/>
    <s v="Medium"/>
    <n v="1"/>
    <n v="1"/>
    <n v="15"/>
    <n v="7"/>
    <n v="0"/>
    <n v="7"/>
    <n v="1"/>
    <n v="0.9"/>
    <x v="0"/>
    <x v="0"/>
    <s v="Completed"/>
    <s v="Completed"/>
    <n v="15"/>
    <n v="15"/>
    <n v="0"/>
    <n v="15"/>
    <n v="1"/>
    <n v="1"/>
    <s v="PT In Test"/>
    <n v="15"/>
    <n v="0"/>
    <n v="0"/>
    <n v="0"/>
    <n v="15"/>
    <n v="1"/>
    <n v="1"/>
    <m/>
    <x v="17"/>
    <x v="6"/>
  </r>
  <r>
    <s v="Advisory SA - Song "/>
    <x v="7"/>
    <x v="7"/>
    <x v="10"/>
    <s v="As an Advisory song SA, I want to access the Solution Components - SI tile in read-only mode so that I can maintain and view workflow continuity."/>
    <n v="4378867"/>
    <s v="Viji"/>
    <s v="Naveen S"/>
    <m/>
    <x v="67"/>
    <x v="0"/>
    <m/>
    <x v="0"/>
    <s v="Medium"/>
    <n v="2"/>
    <n v="1"/>
    <n v="37"/>
    <n v="8"/>
    <n v="2"/>
    <n v="2"/>
    <n v="1"/>
    <n v="0.9"/>
    <x v="0"/>
    <x v="0"/>
    <s v="Completed"/>
    <s v="Completed"/>
    <n v="37"/>
    <n v="12"/>
    <n v="8"/>
    <n v="12"/>
    <n v="1"/>
    <n v="0.9"/>
    <s v="UAT In Test"/>
    <n v="12"/>
    <n v="0"/>
    <n v="0"/>
    <n v="0"/>
    <n v="12"/>
    <n v="1"/>
    <n v="1"/>
    <m/>
    <x v="17"/>
    <x v="6"/>
  </r>
  <r>
    <s v="Drop 2 - Angular upgrade v19 to v21"/>
    <x v="8"/>
    <x v="8"/>
    <x v="10"/>
    <s v="As a myISP Solution Architect, I want to see the Solution Components (SI) MFE App migrated to Angular 21"/>
    <n v="4358746"/>
    <s v="Kiruthiga"/>
    <s v="Viji"/>
    <m/>
    <x v="3"/>
    <x v="1"/>
    <s v="Angular Upgrade US"/>
    <x v="4"/>
    <m/>
    <m/>
    <m/>
    <m/>
    <m/>
    <m/>
    <m/>
    <m/>
    <m/>
    <x v="0"/>
    <x v="0"/>
    <s v="Completed"/>
    <s v="In Progress"/>
    <n v="10"/>
    <n v="3"/>
    <n v="5"/>
    <n v="2"/>
    <n v="0.4"/>
    <n v="0.2"/>
    <s v="PT In Test"/>
    <n v="1"/>
    <n v="1"/>
    <n v="0"/>
    <n v="0"/>
    <n v="2"/>
    <n v="1"/>
    <n v="0.5"/>
    <s v="Bug: 4425162"/>
    <x v="7"/>
    <x v="3"/>
  </r>
  <r>
    <s v="Value Shaping"/>
    <x v="0"/>
    <x v="0"/>
    <x v="10"/>
    <s v="Value Shaping - As a myISP User - V2V Configurator - I want to access the SI Solution Components tile in read-only mode and navigate using the fixed breadcrumb path so that I can maintain workflow continuity."/>
    <n v="4364545"/>
    <s v="Viji"/>
    <s v="Sairam"/>
    <m/>
    <x v="67"/>
    <x v="0"/>
    <m/>
    <x v="0"/>
    <s v="Medium"/>
    <n v="2"/>
    <n v="1"/>
    <n v="19"/>
    <n v="7"/>
    <n v="2"/>
    <n v="2"/>
    <n v="1"/>
    <n v="0.9"/>
    <x v="0"/>
    <x v="0"/>
    <s v="Completed"/>
    <s v="Completed"/>
    <n v="40"/>
    <n v="12"/>
    <n v="8"/>
    <n v="12"/>
    <n v="1"/>
    <n v="0.9"/>
    <s v="UAT In Test"/>
    <n v="12"/>
    <n v="0"/>
    <n v="0"/>
    <n v="0"/>
    <n v="12"/>
    <n v="1"/>
    <n v="1"/>
    <s v="Delivered to UAT for Parallel testing "/>
    <x v="17"/>
    <x v="6"/>
  </r>
  <r>
    <s v="AEP-myISP"/>
    <x v="98"/>
    <x v="99"/>
    <x v="10"/>
    <s v="As a Solution Architect I want enhanced AEP refresh functionality with real-time integration between costing and tax input screen"/>
    <n v="4173931"/>
    <s v="Sneha"/>
    <s v="Sairam"/>
    <m/>
    <x v="3"/>
    <x v="1"/>
    <s v="AEP - Involves integration from AEP env , So cannot be Automatable"/>
    <x v="8"/>
    <m/>
    <m/>
    <m/>
    <m/>
    <m/>
    <m/>
    <m/>
    <m/>
    <m/>
    <x v="0"/>
    <x v="0"/>
    <s v="Completed"/>
    <s v="Completed"/>
    <n v="18"/>
    <n v="6"/>
    <n v="7"/>
    <n v="7"/>
    <n v="0.6"/>
    <n v="0.5"/>
    <s v="UAT In Test"/>
    <n v="7"/>
    <n v="0"/>
    <n v="0"/>
    <n v="0"/>
    <n v="7"/>
    <n v="1"/>
    <n v="1"/>
    <m/>
    <x v="42"/>
    <x v="6"/>
  </r>
  <r>
    <s v="Online SI"/>
    <x v="99"/>
    <x v="100"/>
    <x v="10"/>
    <s v="As a SA, I want the automatic staffing screen to be disabled/hidden so that users cannot access or use this feature"/>
    <n v="4354180"/>
    <s v="Kiruthiga"/>
    <s v="Naveen S"/>
    <m/>
    <x v="68"/>
    <x v="0"/>
    <m/>
    <x v="0"/>
    <s v="Medium"/>
    <n v="1"/>
    <n v="1"/>
    <n v="12"/>
    <n v="1"/>
    <n v="2"/>
    <n v="1"/>
    <n v="0.4"/>
    <n v="0.5"/>
    <x v="0"/>
    <x v="0"/>
    <s v="Completed"/>
    <s v="Completed"/>
    <n v="28"/>
    <n v="7"/>
    <n v="4"/>
    <n v="4"/>
    <n v="0.55000000000000004"/>
    <n v="0.5"/>
    <s v="PT In Test"/>
    <n v="4"/>
    <n v="0"/>
    <n v="0"/>
    <n v="0"/>
    <n v="4"/>
    <n v="1"/>
    <n v="1"/>
    <m/>
    <x v="17"/>
    <x v="6"/>
  </r>
  <r>
    <s v="PCW"/>
    <x v="100"/>
    <x v="101"/>
    <x v="10"/>
    <s v="API - Copy the % of Price view values from source to target PCW version while check in from Expenses screen under Pricing Input screen"/>
    <n v="4319762"/>
    <s v="Sairam"/>
    <s v="Sneha"/>
    <m/>
    <x v="3"/>
    <x v="1"/>
    <s v="Related to PCW"/>
    <x v="3"/>
    <m/>
    <m/>
    <m/>
    <m/>
    <m/>
    <m/>
    <m/>
    <m/>
    <m/>
    <x v="0"/>
    <x v="0"/>
    <s v="Completed"/>
    <s v="Completed"/>
    <n v="8"/>
    <n v="2"/>
    <n v="1"/>
    <n v="3"/>
    <n v="0.9"/>
    <n v="0.9"/>
    <s v="UAT In Test"/>
    <n v="3"/>
    <n v="0"/>
    <n v="0"/>
    <n v="0"/>
    <n v="3"/>
    <n v="1"/>
    <n v="1"/>
    <s v="Delivered to UAT "/>
    <x v="41"/>
    <x v="15"/>
  </r>
  <r>
    <s v="AMS Solution Configuration Agent "/>
    <x v="101"/>
    <x v="102"/>
    <x v="7"/>
    <s v="As a myISP AMS SCA Agent user, I want to configure multiple cost detail rows and use a clear and reliable profile/group name matching approach so that I can efficiently maintain solution standard cost configurations."/>
    <n v="4330638"/>
    <s v="Sushil"/>
    <m/>
    <m/>
    <x v="3"/>
    <x v="1"/>
    <s v="Agent testing is prompt-driven and highly dependent on dynamic inputs. Hence it cannot be automated"/>
    <x v="9"/>
    <m/>
    <m/>
    <m/>
    <m/>
    <m/>
    <m/>
    <m/>
    <m/>
    <m/>
    <x v="0"/>
    <x v="0"/>
    <s v="Completed"/>
    <s v="Completed"/>
    <n v="30"/>
    <n v="3"/>
    <n v="19"/>
    <n v="22"/>
    <n v="0.1"/>
    <n v="0.2"/>
    <s v="UAT In Test"/>
    <n v="22"/>
    <n v="0"/>
    <n v="0"/>
    <n v="0"/>
    <n v="22"/>
    <n v="1"/>
    <n v="1"/>
    <m/>
    <x v="43"/>
    <x v="16"/>
  </r>
  <r>
    <s v="AMS Solution Configuration Agent "/>
    <x v="101"/>
    <x v="102"/>
    <x v="7"/>
    <s v="As a myISP AMS Solution Configuration Agent I want the staffing screen to automatically ensure that resources are allocated in pairs for both Transition and Service Delivery phases ."/>
    <n v="4361594"/>
    <s v="Ramya"/>
    <m/>
    <m/>
    <x v="3"/>
    <x v="1"/>
    <s v="Agent testing is prompt-driven and highly dependent on dynamic inputs. Hence it cannot be automated"/>
    <x v="9"/>
    <m/>
    <m/>
    <m/>
    <m/>
    <m/>
    <m/>
    <m/>
    <m/>
    <m/>
    <x v="0"/>
    <x v="0"/>
    <s v="Completed"/>
    <s v="Completed"/>
    <n v="20"/>
    <n v="5"/>
    <n v="6"/>
    <n v="6"/>
    <n v="0.8"/>
    <n v="0.9"/>
    <s v="UAT In Test"/>
    <n v="6"/>
    <n v="0"/>
    <n v="0"/>
    <n v="0"/>
    <n v="6"/>
    <n v="1"/>
    <n v="1"/>
    <s v="Bug 4399197-H"/>
    <x v="43"/>
    <x v="16"/>
  </r>
  <r>
    <s v="AMS Solution Configuration Agent "/>
    <x v="101"/>
    <x v="102"/>
    <x v="7"/>
    <s v="As an AMS SCA User, I want the AI agent to populate Load Type correctly for India profiles"/>
    <n v="4381785"/>
    <s v="Ramya"/>
    <m/>
    <m/>
    <x v="3"/>
    <x v="1"/>
    <s v="Agent testing is prompt-driven and highly dependent on dynamic inputs. Hence it cannot be automated"/>
    <x v="9"/>
    <m/>
    <m/>
    <m/>
    <m/>
    <m/>
    <m/>
    <m/>
    <m/>
    <m/>
    <x v="0"/>
    <x v="0"/>
    <s v="Completed"/>
    <s v="Completed"/>
    <n v="4"/>
    <n v="3"/>
    <n v="5"/>
    <n v="8"/>
    <n v="0.75"/>
    <n v="0.75"/>
    <s v="UAT In Test"/>
    <n v="8"/>
    <n v="0"/>
    <n v="0"/>
    <n v="0"/>
    <n v="8"/>
    <n v="1"/>
    <n v="1"/>
    <m/>
    <x v="43"/>
    <x v="16"/>
  </r>
  <r>
    <s v="AMS Solution Configuration Agent "/>
    <x v="101"/>
    <x v="102"/>
    <x v="7"/>
    <s v="As a AMS SCA User , I want the Contract Offering to automatically populate based on the selected AMS Service Type"/>
    <n v="4385949"/>
    <s v="Monisha"/>
    <m/>
    <m/>
    <x v="3"/>
    <x v="1"/>
    <s v="Agent testing is prompt-driven and highly dependent on dynamic inputs. Hence it cannot be automated"/>
    <x v="9"/>
    <m/>
    <m/>
    <m/>
    <m/>
    <m/>
    <m/>
    <m/>
    <m/>
    <m/>
    <x v="0"/>
    <x v="0"/>
    <s v="Completed"/>
    <s v="Completed"/>
    <n v="20"/>
    <n v="4"/>
    <n v="5"/>
    <n v="6"/>
    <n v="0.9"/>
    <n v="0.8"/>
    <s v="UAT In Test"/>
    <n v="6"/>
    <n v="0"/>
    <n v="0"/>
    <n v="0"/>
    <n v="6"/>
    <n v="1"/>
    <n v="1"/>
    <m/>
    <x v="43"/>
    <x v="16"/>
  </r>
  <r>
    <s v="AMS Refactoring Scope"/>
    <x v="102"/>
    <x v="103"/>
    <x v="7"/>
    <s v="As an AMS SCA agent user, I want to configure Group‑wide Pricing via the agent so that pricing is saved correctly without manual UI updates."/>
    <n v="4390250"/>
    <s v="Vaishnavi"/>
    <m/>
    <m/>
    <x v="3"/>
    <x v="1"/>
    <s v="Agent testing is prompt-driven and highly dependent on dynamic inputs. Hence it cannot be automated"/>
    <x v="9"/>
    <m/>
    <m/>
    <m/>
    <m/>
    <m/>
    <m/>
    <m/>
    <m/>
    <m/>
    <x v="0"/>
    <x v="0"/>
    <s v="Completed"/>
    <s v="Completed"/>
    <n v="20"/>
    <n v="7"/>
    <n v="15"/>
    <n v="22"/>
    <n v="0.31809999999999999"/>
    <n v="0.46"/>
    <s v="UAT In Test"/>
    <n v="22"/>
    <n v="0"/>
    <n v="0"/>
    <n v="0"/>
    <n v="22"/>
    <n v="1"/>
    <n v="1"/>
    <m/>
    <x v="43"/>
    <x v="16"/>
  </r>
  <r>
    <s v="AMS Refactoring Scope"/>
    <x v="102"/>
    <x v="103"/>
    <x v="7"/>
    <s v="As an AMS SCA agent user, I want to configure solution parameters and country‑based profiles via the agent so that parameters and profiles are saved correctly without manual UI updates."/>
    <n v="4390301"/>
    <s v="Ramya"/>
    <m/>
    <m/>
    <x v="3"/>
    <x v="1"/>
    <s v="Agent testing is prompt-driven and highly dependent on dynamic inputs. Hence it cannot be automated"/>
    <x v="9"/>
    <m/>
    <m/>
    <m/>
    <m/>
    <m/>
    <m/>
    <m/>
    <m/>
    <m/>
    <x v="0"/>
    <x v="0"/>
    <s v="Completed"/>
    <s v="In Progress"/>
    <n v="22"/>
    <n v="6"/>
    <n v="7"/>
    <n v="13"/>
    <n v="0.46150000000000002"/>
    <m/>
    <s v="UAT In Test"/>
    <n v="47"/>
    <n v="0"/>
    <n v="0"/>
    <n v="0"/>
    <n v="47"/>
    <n v="1"/>
    <n v="1"/>
    <s v="4444090-L, "/>
    <x v="43"/>
    <x v="16"/>
  </r>
  <r>
    <s v="AMS Refactoring Scope"/>
    <x v="102"/>
    <x v="103"/>
    <x v="7"/>
    <s v="As an AMS SCA agent user, I want to create groups via the agent so that group details are saved correctly without manual UI updates."/>
    <n v="4390312"/>
    <s v="Vaishnavi"/>
    <m/>
    <m/>
    <x v="3"/>
    <x v="1"/>
    <s v="Agent testing is prompt-driven and highly dependent on dynamic inputs. Hence it cannot be automated"/>
    <x v="9"/>
    <m/>
    <m/>
    <m/>
    <m/>
    <m/>
    <m/>
    <m/>
    <m/>
    <m/>
    <x v="0"/>
    <x v="0"/>
    <s v="Completed"/>
    <s v="Completed"/>
    <n v="22"/>
    <n v="6"/>
    <n v="7"/>
    <n v="13"/>
    <n v="0.46150000000000002"/>
    <n v="0.57999999999999996"/>
    <s v="UAT In Test"/>
    <n v="13"/>
    <n v="0"/>
    <n v="0"/>
    <n v="0"/>
    <n v="13"/>
    <n v="1"/>
    <n v="1"/>
    <m/>
    <x v="43"/>
    <x v="16"/>
  </r>
  <r>
    <s v="AMS Refactoring Scope"/>
    <x v="102"/>
    <x v="103"/>
    <x v="7"/>
    <s v="As an AMS SCA agent user, I want to configure Other Cost via the agent so that other cost details are saved correctly without manual UI updates."/>
    <n v="4390744"/>
    <s v="Sushil"/>
    <m/>
    <m/>
    <x v="3"/>
    <x v="1"/>
    <s v="Agent testing is prompt-driven and highly dependent on dynamic inputs. Hence it cannot be automated"/>
    <x v="9"/>
    <m/>
    <m/>
    <m/>
    <m/>
    <m/>
    <m/>
    <m/>
    <m/>
    <m/>
    <x v="0"/>
    <x v="0"/>
    <s v="Completed"/>
    <s v="Completed"/>
    <n v="30"/>
    <n v="6"/>
    <n v="13"/>
    <n v="19"/>
    <n v="0.45"/>
    <n v="0.75"/>
    <s v="UAT In Test"/>
    <n v="19"/>
    <n v="0"/>
    <n v="0"/>
    <n v="0"/>
    <n v="19"/>
    <n v="1"/>
    <n v="1"/>
    <m/>
    <x v="43"/>
    <x v="16"/>
  </r>
  <r>
    <s v="AMS Refactoring Scope"/>
    <x v="102"/>
    <x v="103"/>
    <x v="7"/>
    <s v="As an AMS SCA agent user, I want the planner agent to map my request to the correct sequence of agents so that solution actions are executed in the right order based on defined orchestration rules."/>
    <n v="4390789"/>
    <s v="Nagaratna"/>
    <m/>
    <m/>
    <x v="3"/>
    <x v="1"/>
    <s v="Agent testing is prompt-driven and highly dependent on dynamic inputs. Hence it cannot be automated"/>
    <x v="9"/>
    <m/>
    <m/>
    <m/>
    <m/>
    <m/>
    <m/>
    <m/>
    <m/>
    <m/>
    <x v="0"/>
    <x v="0"/>
    <s v="Completed"/>
    <s v="Completed"/>
    <n v="39"/>
    <n v="20"/>
    <n v="17"/>
    <n v="37"/>
    <n v="0.61"/>
    <n v="0.51"/>
    <s v="UAT In Test"/>
    <n v="23"/>
    <n v="0"/>
    <n v="0"/>
    <n v="0"/>
    <n v="23"/>
    <n v="1"/>
    <n v="1"/>
    <m/>
    <x v="43"/>
    <x v="16"/>
  </r>
  <r>
    <s v="AMS Solution Configuration Agent "/>
    <x v="101"/>
    <x v="102"/>
    <x v="7"/>
    <s v="As a AMS SCA Agent user, I want to map and unmap, Delete, Copy, add Groups functionalities via agent, so that I can configure &amp; do the actions via agnet by providing the prompt."/>
    <n v="4351286"/>
    <s v="Vaishnavi"/>
    <m/>
    <m/>
    <x v="3"/>
    <x v="1"/>
    <s v="Agent testing is prompt-driven and highly dependent on dynamic inputs. Hence it cannot be automated"/>
    <x v="9"/>
    <m/>
    <m/>
    <m/>
    <m/>
    <m/>
    <m/>
    <m/>
    <m/>
    <m/>
    <x v="0"/>
    <x v="0"/>
    <s v="Completed"/>
    <s v="Completed"/>
    <n v="18"/>
    <n v="12"/>
    <n v="10"/>
    <n v="22"/>
    <n v="0.5454"/>
    <n v="0.64"/>
    <s v="UAT In Test"/>
    <n v="22"/>
    <n v="0"/>
    <n v="0"/>
    <n v="0"/>
    <n v="22"/>
    <n v="1"/>
    <n v="1"/>
    <m/>
    <x v="43"/>
    <x v="16"/>
  </r>
  <r>
    <s v="AMS Solution Configuration Agent "/>
    <x v="101"/>
    <x v="102"/>
    <x v="7"/>
    <s v="As a myISP AMS SCA Agent user, I want to update the Costing screen PMO Tax configuration functionality in agent, so that I can perform PMO Tax configuration via agent without navigating UI screens."/>
    <n v="4351288"/>
    <s v="Sushil"/>
    <m/>
    <m/>
    <x v="3"/>
    <x v="1"/>
    <s v="Agent testing is prompt-driven and highly dependent on dynamic inputs. Hence it cannot be automated"/>
    <x v="9"/>
    <m/>
    <m/>
    <m/>
    <m/>
    <m/>
    <m/>
    <m/>
    <m/>
    <m/>
    <x v="0"/>
    <x v="0"/>
    <s v="Completed"/>
    <s v="Completed"/>
    <n v="30"/>
    <n v="10"/>
    <n v="19"/>
    <n v="29"/>
    <n v="0.6"/>
    <n v="0.57999999999999996"/>
    <s v="UAT In Test"/>
    <n v="9"/>
    <n v="0"/>
    <n v="0"/>
    <n v="0"/>
    <n v="9"/>
    <n v="1"/>
    <n v="1"/>
    <m/>
    <x v="43"/>
    <x v="16"/>
  </r>
  <r>
    <s v="AMS Solution Configuration Agent "/>
    <x v="101"/>
    <x v="102"/>
    <x v="7"/>
    <s v="As a myISP AMS SCA Agent user, I want the Agent to automatically correct any mismatch between Pyramid totals and Ramp?Up totals during version creation, so that version creation and OCP generation complete successfully without manual intervention."/>
    <n v="4353128"/>
    <s v="Ramya"/>
    <m/>
    <m/>
    <x v="3"/>
    <x v="1"/>
    <s v="Agent testing is prompt-driven and highly dependent on dynamic inputs. Hence it cannot be automated"/>
    <x v="9"/>
    <m/>
    <m/>
    <m/>
    <m/>
    <m/>
    <m/>
    <m/>
    <m/>
    <m/>
    <x v="0"/>
    <x v="0"/>
    <s v="Completed"/>
    <s v="Completed"/>
    <n v="20"/>
    <n v="6"/>
    <n v="1"/>
    <n v="7"/>
    <n v="0.9"/>
    <n v="0.9"/>
    <s v="UAT In Test"/>
    <n v="7"/>
    <n v="0"/>
    <n v="0"/>
    <n v="0"/>
    <n v="7"/>
    <n v="1"/>
    <n v="1"/>
    <m/>
    <x v="43"/>
    <x v="16"/>
  </r>
  <r>
    <s v="AMS Solution Configuration Agent "/>
    <x v="101"/>
    <x v="102"/>
    <x v="7"/>
    <s v="As a myISP AMS Solution Configuration Agent user I want to sync Solution Version data to MSDA from both OCP simulation and Pricing Factor screen So that Multi-Service Deal Analytics has the latest pricing and deal information for reporting and analysis"/>
    <n v="4354556"/>
    <s v="Monisha"/>
    <m/>
    <m/>
    <x v="3"/>
    <x v="1"/>
    <s v="Agent testing is prompt-driven and highly dependent on dynamic inputs. Hence it cannot be automated"/>
    <x v="9"/>
    <m/>
    <m/>
    <m/>
    <m/>
    <m/>
    <m/>
    <m/>
    <m/>
    <m/>
    <x v="0"/>
    <x v="0"/>
    <s v="Completed"/>
    <s v="Completed"/>
    <n v="30"/>
    <n v="7"/>
    <n v="14"/>
    <n v="14"/>
    <n v="0.9"/>
    <n v="0.8"/>
    <s v="UAT In Test"/>
    <n v="14"/>
    <n v="0"/>
    <n v="0"/>
    <n v="0"/>
    <n v="14"/>
    <n v="1"/>
    <n v="1"/>
    <m/>
    <x v="43"/>
    <x v="16"/>
  </r>
  <r>
    <s v="AMS Solution Configuration Agent "/>
    <x v="101"/>
    <x v="102"/>
    <x v="7"/>
    <s v="As a AMS SCA User I want the Solution Configuration Agent to configure Deal?Wide Year?on?Year Custom Margin based on my Prompt instruction, So that I can update pricing inputs without navigating through the UI."/>
    <n v="4355494"/>
    <s v="Monisha"/>
    <m/>
    <m/>
    <x v="3"/>
    <x v="1"/>
    <s v="Agent testing is prompt-driven and highly dependent on dynamic inputs. Hence it cannot be automated"/>
    <x v="9"/>
    <m/>
    <m/>
    <m/>
    <m/>
    <m/>
    <m/>
    <m/>
    <m/>
    <m/>
    <x v="0"/>
    <x v="0"/>
    <s v="Completed"/>
    <s v="Completed"/>
    <n v="30"/>
    <n v="6"/>
    <n v="13"/>
    <n v="13"/>
    <n v="0.8"/>
    <n v="0.7"/>
    <s v="UAT In Test"/>
    <n v="13"/>
    <n v="0"/>
    <n v="0"/>
    <n v="0"/>
    <n v="13"/>
    <n v="1"/>
    <n v="1"/>
    <m/>
    <x v="43"/>
    <x v="16"/>
  </r>
  <r>
    <s v="AMS Solution Configuration Agent "/>
    <x v="101"/>
    <x v="102"/>
    <x v="7"/>
    <s v="As a AMS SCA User I want to provide Generative AI details to an AI agent in natural language So that the Gen AI configuration is automatically saved to my solution version Without manually filling out the Gen AI screen fields"/>
    <n v="4351207"/>
    <s v="Nagaratna"/>
    <m/>
    <m/>
    <x v="3"/>
    <x v="1"/>
    <s v="Agent testing is prompt-driven and highly dependent on dynamic inputs. Hence it cannot be automated"/>
    <x v="9"/>
    <m/>
    <m/>
    <m/>
    <m/>
    <m/>
    <m/>
    <m/>
    <m/>
    <m/>
    <x v="0"/>
    <x v="0"/>
    <s v="Completed"/>
    <s v="Completed"/>
    <n v="37"/>
    <n v="4"/>
    <n v="10"/>
    <n v="13"/>
    <n v="0.3"/>
    <n v="0.3"/>
    <s v="UAT In Test"/>
    <n v="13"/>
    <n v="0"/>
    <n v="0"/>
    <n v="0"/>
    <n v="13"/>
    <n v="1"/>
    <n v="1"/>
    <m/>
    <x v="43"/>
    <x v="16"/>
  </r>
  <r>
    <s v="AMS Solution Configuration Agent "/>
    <x v="101"/>
    <x v="102"/>
    <x v="7"/>
    <s v="As an AMS SCA agent user, I want to download the EID template, import a Named Resource Report (NRR), and include profiles into the Active tab so that profiles are created efficiently without manual entry."/>
    <n v="4351206"/>
    <s v="Sushil"/>
    <m/>
    <m/>
    <x v="3"/>
    <x v="1"/>
    <s v="Agent testing is prompt-driven and highly dependent on dynamic inputs. Hence it cannot be automated"/>
    <x v="9"/>
    <m/>
    <m/>
    <m/>
    <m/>
    <m/>
    <m/>
    <m/>
    <m/>
    <m/>
    <x v="0"/>
    <x v="0"/>
    <s v="Completed"/>
    <s v="In Progress"/>
    <n v="30"/>
    <n v="22"/>
    <n v="25"/>
    <n v="32"/>
    <n v="0.8"/>
    <n v="0.9"/>
    <s v="UAT In Test"/>
    <n v="19"/>
    <n v="0"/>
    <n v="0"/>
    <n v="0"/>
    <n v="19"/>
    <n v="1"/>
    <n v="1"/>
    <s v="Bug: 4444090-H, 4446315-H"/>
    <x v="43"/>
    <x v="16"/>
  </r>
  <r>
    <s v="AMS Solution Configuration Agent "/>
    <x v="101"/>
    <x v="102"/>
    <x v="7"/>
    <s v="As an AMS SCA Agent User, I want to update the latest prompts in the SCA Prompt library so that users can refer to them and configure the solution."/>
    <n v="4387618"/>
    <s v="Nagaratna"/>
    <m/>
    <m/>
    <x v="3"/>
    <x v="1"/>
    <s v="Agent testing is prompt-driven and highly dependent on dynamic inputs. Hence it cannot be automated"/>
    <x v="9"/>
    <m/>
    <m/>
    <m/>
    <m/>
    <m/>
    <m/>
    <m/>
    <m/>
    <m/>
    <x v="0"/>
    <x v="0"/>
    <s v="Completed"/>
    <s v="Completed"/>
    <n v="15"/>
    <n v="3"/>
    <n v="5"/>
    <n v="8"/>
    <n v="0.38"/>
    <n v="0.2"/>
    <s v="UAT In Test"/>
    <n v="6"/>
    <n v="0"/>
    <n v="0"/>
    <n v="0"/>
    <n v="6"/>
    <n v="1"/>
    <n v="1"/>
    <s v="4437727-H, 4437658-H, 4437645-H"/>
    <x v="43"/>
    <x v="16"/>
  </r>
  <r>
    <s v="AMS Solution Configuration Agent "/>
    <x v="101"/>
    <x v="102"/>
    <x v="7"/>
    <s v="As a AMS SCA Agent User I want to configure rate card and import-export functionality through agent prompt So that I can set up rate card based on user prompt without navigating to UI"/>
    <n v="4351271"/>
    <s v="Vaishnavi"/>
    <m/>
    <m/>
    <x v="3"/>
    <x v="1"/>
    <s v="Agent testing is prompt-driven and highly dependent on dynamic inputs. Hence it cannot be automated"/>
    <x v="9"/>
    <m/>
    <m/>
    <m/>
    <m/>
    <m/>
    <m/>
    <m/>
    <m/>
    <m/>
    <x v="0"/>
    <x v="0"/>
    <s v="Completed"/>
    <s v="Completed"/>
    <n v="29"/>
    <n v="13"/>
    <n v="16"/>
    <n v="23"/>
    <n v="0.56000000000000005"/>
    <n v="0.44"/>
    <s v="UAT In Test"/>
    <n v="23"/>
    <n v="0"/>
    <n v="0"/>
    <n v="0"/>
    <n v="23"/>
    <n v="1"/>
    <n v="1"/>
    <s v="4439855-H(Deffered)"/>
    <x v="43"/>
    <x v="16"/>
  </r>
  <r>
    <s v="Value Shaping"/>
    <x v="0"/>
    <x v="0"/>
    <x v="7"/>
    <s v="Value Shaping - As a myISP User - Configurator V2V - I want to access the AMS Solution Components tile in read-only mode and navigate using the fixed breadcrumb path so that I can maintain workflow continuity."/>
    <n v="4364544"/>
    <s v="Abhijit"/>
    <s v="Anu"/>
    <m/>
    <x v="63"/>
    <x v="0"/>
    <m/>
    <x v="0"/>
    <s v="Simple"/>
    <m/>
    <n v="1"/>
    <n v="1"/>
    <n v="1"/>
    <n v="0"/>
    <n v="1"/>
    <n v="0.85"/>
    <n v="0.9"/>
    <x v="0"/>
    <x v="0"/>
    <s v="Completed"/>
    <s v="Completed"/>
    <n v="24"/>
    <n v="18"/>
    <n v="0"/>
    <n v="18"/>
    <n v="1"/>
    <n v="1"/>
    <s v="UAT In Test"/>
    <n v="18"/>
    <n v="0"/>
    <n v="0"/>
    <n v="0"/>
    <n v="18"/>
    <n v="1"/>
    <n v="1"/>
    <m/>
    <x v="6"/>
    <x v="2"/>
  </r>
  <r>
    <s v="Text verification"/>
    <x v="7"/>
    <x v="7"/>
    <x v="7"/>
    <s v="As an Advisory song SA, I want to access the Solution Components - AMS tile in read-only mode so that I can maintain and view workflow continuity."/>
    <n v="4378865"/>
    <s v="Anu"/>
    <s v="Abhijit"/>
    <m/>
    <x v="69"/>
    <x v="0"/>
    <m/>
    <x v="0"/>
    <s v="Simple"/>
    <n v="1"/>
    <n v="1"/>
    <n v="20"/>
    <n v="18"/>
    <n v="2"/>
    <n v="20"/>
    <n v="0.9"/>
    <n v="0.9"/>
    <x v="0"/>
    <x v="0"/>
    <s v="Completed"/>
    <s v="Completed"/>
    <n v="20"/>
    <n v="18"/>
    <n v="2"/>
    <n v="20"/>
    <n v="0.9"/>
    <n v="0.9"/>
    <s v="UAT In Test"/>
    <n v="20"/>
    <n v="0"/>
    <n v="0"/>
    <n v="0"/>
    <n v="20"/>
    <n v="1"/>
    <n v="1"/>
    <m/>
    <x v="6"/>
    <x v="2"/>
  </r>
  <r>
    <s v="Value Shaping"/>
    <x v="0"/>
    <x v="0"/>
    <x v="2"/>
    <s v="Value Shaping - As a myISP User - Configurator V2V - I want to access the BPMS Solution Components tile in read-only mode and navigate using the fixed breadcrumb path so that I can maintain workflow continuity."/>
    <n v="4364557"/>
    <s v="Jeba"/>
    <m/>
    <m/>
    <x v="70"/>
    <x v="1"/>
    <s v="The entire functionality needs to be checked in INSPIRE. Since it is a vast application, coding from scratch is not possible in a short span of time. We will include this as part of regression testing._x000a_ "/>
    <x v="4"/>
    <s v="Complex"/>
    <m/>
    <m/>
    <m/>
    <m/>
    <m/>
    <m/>
    <m/>
    <m/>
    <x v="0"/>
    <x v="0"/>
    <s v="Completed"/>
    <s v="Completed"/>
    <n v="30"/>
    <n v="3"/>
    <n v="1"/>
    <n v="4"/>
    <n v="0.6"/>
    <n v="0.66"/>
    <s v="UAT In Test"/>
    <n v="4"/>
    <n v="0"/>
    <n v="0"/>
    <n v="0"/>
    <n v="4"/>
    <n v="1"/>
    <n v="1"/>
    <m/>
    <x v="44"/>
    <x v="17"/>
  </r>
  <r>
    <s v="Advisory SA - Song "/>
    <x v="7"/>
    <x v="7"/>
    <x v="2"/>
    <s v="As an Advisory song SA, I want to access the Solution Components - BPMS tile in read-only mode so that I can maintain and view workflow continuity."/>
    <n v="4381764"/>
    <s v="Jeba"/>
    <m/>
    <m/>
    <x v="70"/>
    <x v="1"/>
    <s v="The entire functionality needs to be checked in INSPIRE. Since it is a vast application, coding from scratch is not possible in a short span of time. We will include this as part of regression testing._x000a_ "/>
    <x v="4"/>
    <s v="Complex"/>
    <m/>
    <m/>
    <m/>
    <m/>
    <m/>
    <m/>
    <m/>
    <m/>
    <x v="0"/>
    <x v="0"/>
    <s v="Completed"/>
    <s v="Completed"/>
    <n v="15"/>
    <n v="2"/>
    <n v="0"/>
    <n v="2"/>
    <n v="0.5"/>
    <n v="0.6"/>
    <s v="UAT In Test"/>
    <n v="2"/>
    <n v="0"/>
    <n v="0"/>
    <n v="0"/>
    <n v="2"/>
    <n v="1"/>
    <n v="1"/>
    <m/>
    <x v="44"/>
    <x v="17"/>
  </r>
  <r>
    <s v="BPMS Onboarding"/>
    <x v="24"/>
    <x v="25"/>
    <x v="2"/>
    <s v="As a CXTA and Tfo stakeholder, I want the document upload to be optional in TfO and CXTA tabs so that I can initiate approval stages without being blocked when supporting documents are not yet available."/>
    <n v="4391643"/>
    <s v="Mohamed"/>
    <m/>
    <m/>
    <x v="21"/>
    <x v="0"/>
    <m/>
    <x v="0"/>
    <s v="Complex"/>
    <n v="4"/>
    <n v="1"/>
    <n v="4"/>
    <n v="1"/>
    <n v="3"/>
    <n v="4"/>
    <n v="0.25"/>
    <n v="0.25"/>
    <x v="0"/>
    <x v="0"/>
    <s v="Completed"/>
    <s v="Completed"/>
    <n v="15"/>
    <n v="4"/>
    <n v="8"/>
    <n v="12"/>
    <n v="0.4"/>
    <n v="0.4"/>
    <s v="Test Complete"/>
    <n v="15"/>
    <n v="0"/>
    <n v="0"/>
    <n v="0"/>
    <n v="15"/>
    <n v="1"/>
    <n v="1"/>
    <m/>
    <x v="29"/>
    <x v="5"/>
  </r>
  <r>
    <s v="DCSO"/>
    <x v="21"/>
    <x v="22"/>
    <x v="2"/>
    <s v="As a Solution Architect, I want to add an information message in the AMS DCSO tab so that the user is aware that the legacy DCSO will be disabled and can start using Digital DCSO going forward."/>
    <n v="4392160"/>
    <s v="Mahesh"/>
    <m/>
    <m/>
    <x v="26"/>
    <x v="0"/>
    <m/>
    <x v="0"/>
    <s v="Simple"/>
    <n v="3"/>
    <n v="1"/>
    <n v="3"/>
    <n v="3"/>
    <n v="0"/>
    <n v="3"/>
    <n v="0.9"/>
    <n v="0.9"/>
    <x v="0"/>
    <x v="0"/>
    <s v="Completed"/>
    <s v="Completed"/>
    <n v="6"/>
    <n v="3"/>
    <n v="0"/>
    <n v="3"/>
    <n v="0.8"/>
    <n v="0.85"/>
    <s v="UAT In Test"/>
    <n v="3"/>
    <n v="0"/>
    <n v="0"/>
    <n v="0"/>
    <n v="3"/>
    <n v="1"/>
    <n v="1"/>
    <m/>
    <x v="45"/>
    <x v="8"/>
  </r>
  <r>
    <s v="DCSO"/>
    <x v="21"/>
    <x v="22"/>
    <x v="2"/>
    <s v="As a Solution Architect, I want to add an information message in the SI DCSO tab so that the user is aware that the legacy DCSO will be disabled and can start using Digital DCSO going forward."/>
    <n v="4392161"/>
    <s v="Mahesh"/>
    <m/>
    <m/>
    <x v="26"/>
    <x v="0"/>
    <m/>
    <x v="0"/>
    <s v="Simple"/>
    <n v="3"/>
    <n v="1"/>
    <n v="3"/>
    <n v="3"/>
    <n v="0"/>
    <n v="3"/>
    <n v="0.9"/>
    <n v="0.9"/>
    <x v="0"/>
    <x v="0"/>
    <s v="Completed"/>
    <s v="Completed"/>
    <n v="6"/>
    <n v="3"/>
    <n v="0"/>
    <n v="3"/>
    <n v="0.8"/>
    <n v="0.85"/>
    <s v="UAT In Test"/>
    <n v="3"/>
    <n v="0"/>
    <n v="0"/>
    <n v="0"/>
    <n v="3"/>
    <n v="1"/>
    <n v="1"/>
    <m/>
    <x v="45"/>
    <x v="8"/>
  </r>
  <r>
    <s v="BPMS Onboarding"/>
    <x v="14"/>
    <x v="15"/>
    <x v="2"/>
    <s v="As a BPMS User, I should be able to auto‑trigger the Fast Track Solutioning (FTS) email on Operations attributes screen save based on opportunity criteria using rolled‑up BPMS revenue for FTS calculation"/>
    <n v="4392743"/>
    <s v="Sakshi"/>
    <m/>
    <m/>
    <x v="3"/>
    <x v="1"/>
    <s v="Email functionality"/>
    <x v="5"/>
    <m/>
    <m/>
    <m/>
    <m/>
    <m/>
    <m/>
    <m/>
    <m/>
    <m/>
    <x v="0"/>
    <x v="0"/>
    <s v="Completed"/>
    <s v="Completed"/>
    <n v="6"/>
    <n v="3"/>
    <n v="6"/>
    <n v="6"/>
    <n v="0.5"/>
    <n v="0.5"/>
    <s v="Test Complete"/>
    <n v="6"/>
    <n v="0"/>
    <n v="0"/>
    <n v="0"/>
    <n v="6"/>
    <n v="1"/>
    <n v="1"/>
    <m/>
    <x v="10"/>
    <x v="4"/>
  </r>
  <r>
    <s v="Advisory SA - Song "/>
    <x v="7"/>
    <x v="7"/>
    <x v="8"/>
    <s v="As an Advisory song SA, I want to access the SI OCP tile in read-only mode so that I can maintain and view workflow continuity."/>
    <n v="4393563"/>
    <s v="Bhavana"/>
    <s v="Sathya"/>
    <m/>
    <x v="71"/>
    <x v="0"/>
    <m/>
    <x v="0"/>
    <s v="Medium"/>
    <n v="1"/>
    <n v="1"/>
    <n v="8"/>
    <n v="7"/>
    <n v="0"/>
    <n v="7"/>
    <n v="1"/>
    <n v="0.75"/>
    <x v="0"/>
    <x v="0"/>
    <s v="Completed"/>
    <s v="Completed"/>
    <n v="15"/>
    <n v="8"/>
    <n v="0"/>
    <n v="8"/>
    <n v="1"/>
    <n v="0.75"/>
    <s v="UAT In Test"/>
    <n v="8"/>
    <n v="0"/>
    <n v="0"/>
    <n v="0"/>
    <n v="8"/>
    <n v="1"/>
    <n v="1"/>
    <m/>
    <x v="45"/>
    <x v="8"/>
  </r>
  <r>
    <s v="IPC Calculator"/>
    <x v="86"/>
    <x v="87"/>
    <x v="8"/>
    <s v="As a mySP user, I want to view the updated RAG logic for IPC DCT and IPC Lead PMO in View KDA Screen"/>
    <n v="4343700"/>
    <s v="Amresh"/>
    <s v="Sohana"/>
    <m/>
    <x v="3"/>
    <x v="1"/>
    <s v="Requires excel report validation"/>
    <x v="3"/>
    <m/>
    <m/>
    <m/>
    <m/>
    <m/>
    <m/>
    <m/>
    <m/>
    <m/>
    <x v="0"/>
    <x v="0"/>
    <s v="Completed"/>
    <s v="Completed"/>
    <n v="40"/>
    <n v="37"/>
    <n v="1"/>
    <n v="38"/>
    <n v="0.97368421052631582"/>
    <n v="0.9"/>
    <s v="PT In Test"/>
    <n v="38"/>
    <n v="0"/>
    <n v="0"/>
    <n v="0"/>
    <n v="38"/>
    <n v="1"/>
    <n v="1"/>
    <m/>
    <x v="45"/>
    <x v="8"/>
  </r>
  <r>
    <s v="IPC Calculator"/>
    <x v="86"/>
    <x v="87"/>
    <x v="8"/>
    <s v="As a mySP user, I want to view the updated RAG logic for IPC DCT and IPC Lead PMO in KDA Variance Analysis"/>
    <n v="4343702"/>
    <s v="Amresh"/>
    <s v="Sohana"/>
    <m/>
    <x v="3"/>
    <x v="1"/>
    <s v="Requires SIVT Report Validation"/>
    <x v="11"/>
    <m/>
    <m/>
    <m/>
    <m/>
    <m/>
    <m/>
    <m/>
    <m/>
    <m/>
    <x v="0"/>
    <x v="0"/>
    <s v="Completed"/>
    <s v="Completed"/>
    <n v="40"/>
    <n v="38"/>
    <n v="1"/>
    <n v="39"/>
    <n v="0.97435897435897434"/>
    <n v="0.92"/>
    <s v="PT In Test"/>
    <n v="39"/>
    <n v="0"/>
    <n v="0"/>
    <n v="0"/>
    <n v="39"/>
    <n v="1"/>
    <n v="1"/>
    <m/>
    <x v="10"/>
    <x v="4"/>
  </r>
  <r>
    <s v="IPC Calculator"/>
    <x v="86"/>
    <x v="87"/>
    <x v="8"/>
    <s v="As a mySP user, I want to view the updated RAG logic for IPC DCT and IPC Lead PMO in Harmonized KDA Screen"/>
    <n v="4343704"/>
    <s v="Sohana"/>
    <s v="Amresh"/>
    <m/>
    <x v="3"/>
    <x v="1"/>
    <s v="Requires excel report validation"/>
    <x v="3"/>
    <m/>
    <m/>
    <m/>
    <m/>
    <m/>
    <m/>
    <m/>
    <m/>
    <m/>
    <x v="0"/>
    <x v="0"/>
    <s v="Completed"/>
    <s v="Completed"/>
    <n v="40"/>
    <n v="38"/>
    <n v="1"/>
    <n v="39"/>
    <n v="0.97435897435897434"/>
    <n v="0.92"/>
    <s v="PT In Test"/>
    <n v="39"/>
    <n v="0"/>
    <n v="0"/>
    <n v="0"/>
    <n v="39"/>
    <n v="1"/>
    <n v="1"/>
    <m/>
    <x v="45"/>
    <x v="8"/>
  </r>
  <r>
    <s v="IPC Calculator"/>
    <x v="86"/>
    <x v="87"/>
    <x v="8"/>
    <s v="As a mySP user, I want to share the updated RAG logic for IPC DCT and IPC Lead PMO flowing from View KDA Screen to MDA"/>
    <n v="4343706"/>
    <s v="Sohana"/>
    <s v="Amresh"/>
    <m/>
    <x v="3"/>
    <x v="1"/>
    <s v="Requires excel report validation &amp; MDA Also needs to be Validated"/>
    <x v="3"/>
    <m/>
    <m/>
    <m/>
    <m/>
    <m/>
    <m/>
    <m/>
    <m/>
    <m/>
    <x v="0"/>
    <x v="0"/>
    <s v="Completed"/>
    <s v="Completed"/>
    <n v="55"/>
    <n v="52"/>
    <n v="1"/>
    <n v="53"/>
    <n v="0.98113207547169812"/>
    <n v="0.9"/>
    <s v="PT In Test"/>
    <n v="53"/>
    <n v="0"/>
    <n v="0"/>
    <n v="0"/>
    <n v="53"/>
    <n v="1"/>
    <n v="1"/>
    <m/>
    <x v="45"/>
    <x v="8"/>
  </r>
  <r>
    <s v="Pricing"/>
    <x v="73"/>
    <x v="74"/>
    <x v="8"/>
    <s v="SI - OCP/DCTA: As a mySolutionPlanner developer, I should get Contract year level details by default in Resource Level Summary report"/>
    <n v="4361207"/>
    <s v="Saivinodhini"/>
    <s v="Sohana"/>
    <m/>
    <x v="3"/>
    <x v="1"/>
    <s v="Requires excel report validation"/>
    <x v="3"/>
    <m/>
    <m/>
    <m/>
    <m/>
    <m/>
    <m/>
    <m/>
    <m/>
    <m/>
    <x v="0"/>
    <x v="0"/>
    <s v="Completed"/>
    <s v="Completed"/>
    <n v="15"/>
    <n v="13"/>
    <n v="0"/>
    <n v="13"/>
    <n v="1"/>
    <n v="0.7"/>
    <s v="UAT In Test"/>
    <n v="13"/>
    <n v="0"/>
    <n v="0"/>
    <n v="0"/>
    <n v="13"/>
    <n v="1"/>
    <n v="1"/>
    <m/>
    <x v="23"/>
    <x v="8"/>
  </r>
  <r>
    <s v="Value Shaping"/>
    <x v="0"/>
    <x v="0"/>
    <x v="8"/>
    <s v="Value Shaping - As a myISP User - Configurator V2V - I want to access the SI Solution Components - OCP/DCTA section and KDA reports in read-only mode and navigate the fixed breadcrumb path so that I can maintain workflow continuity. - Copy"/>
    <n v="4416192"/>
    <s v="Bhavana"/>
    <s v="Sathya"/>
    <m/>
    <x v="72"/>
    <x v="0"/>
    <m/>
    <x v="0"/>
    <s v="Medium"/>
    <n v="1"/>
    <n v="1"/>
    <n v="16"/>
    <n v="6"/>
    <n v="0"/>
    <n v="6"/>
    <n v="1"/>
    <n v="0.7"/>
    <x v="0"/>
    <x v="0"/>
    <s v="Completed"/>
    <s v="Completed"/>
    <n v="15"/>
    <n v="11"/>
    <n v="1"/>
    <n v="12"/>
    <n v="0.91666666666666663"/>
    <n v="0.7"/>
    <s v="UAT In Test"/>
    <n v="12"/>
    <n v="0"/>
    <n v="0"/>
    <n v="0"/>
    <n v="12"/>
    <n v="1"/>
    <n v="1"/>
    <m/>
    <x v="45"/>
    <x v="8"/>
  </r>
  <r>
    <s v="DFD-myISP"/>
    <x v="18"/>
    <x v="19"/>
    <x v="8"/>
    <s v="Song Compliant Logic Update - As a Overall Song Delivery Approver I want to access the SI Solution Components - OCP/DCTA section and KDA reports in read-only mode and navigate the fixed breadcrumb path so that I can maintain workflow continuity."/>
    <n v="4416132"/>
    <s v="Sathya"/>
    <s v="Bhavana"/>
    <m/>
    <x v="73"/>
    <x v="0"/>
    <m/>
    <x v="0"/>
    <s v="Medium"/>
    <n v="1"/>
    <n v="0.8"/>
    <n v="9"/>
    <n v="6"/>
    <n v="0"/>
    <n v="6"/>
    <n v="1"/>
    <n v="0.8"/>
    <x v="0"/>
    <x v="0"/>
    <s v="Completed"/>
    <s v="Completed"/>
    <n v="15"/>
    <n v="13"/>
    <n v="1"/>
    <n v="14"/>
    <n v="0.9285714285714286"/>
    <n v="0.8"/>
    <s v="UAT In Test"/>
    <n v="14"/>
    <n v="0"/>
    <n v="0"/>
    <n v="0"/>
    <n v="14"/>
    <n v="1"/>
    <n v="1"/>
    <m/>
    <x v="45"/>
    <x v="8"/>
  </r>
  <r>
    <s v="Pricing"/>
    <x v="79"/>
    <x v="80"/>
    <x v="8"/>
    <s v="SI-DCTA: As a mySolutionPlanner developer, I want to populate Negotiation Contingency and Price to Client after Negotiation Contingency fields in MMP reports"/>
    <n v="4361788"/>
    <s v="Amresh"/>
    <s v="Sai"/>
    <m/>
    <x v="3"/>
    <x v="1"/>
    <s v="Requires excel report validation"/>
    <x v="3"/>
    <m/>
    <m/>
    <m/>
    <m/>
    <m/>
    <m/>
    <m/>
    <m/>
    <m/>
    <x v="0"/>
    <x v="0"/>
    <s v="Completed"/>
    <s v="Completed"/>
    <n v="26"/>
    <n v="22"/>
    <n v="0"/>
    <n v="22"/>
    <n v="1"/>
    <n v="0.84615384615384615"/>
    <s v="UAT In Test"/>
    <n v="22"/>
    <n v="0"/>
    <n v="0"/>
    <n v="0"/>
    <n v="22"/>
    <n v="1"/>
    <n v="1"/>
    <m/>
    <x v="34"/>
    <x v="8"/>
  </r>
  <r>
    <s v="SI DCTA"/>
    <x v="103"/>
    <x v="104"/>
    <x v="8"/>
    <s v="As a myISP SA, I want to introduce new definition type for billable expense in the expense tab in pricing input screen"/>
    <n v="4365015"/>
    <s v="Amresh"/>
    <s v="Sai"/>
    <m/>
    <x v="3"/>
    <x v="1"/>
    <s v="JSON file cannot be validated"/>
    <x v="8"/>
    <m/>
    <m/>
    <m/>
    <m/>
    <m/>
    <m/>
    <m/>
    <m/>
    <m/>
    <x v="0"/>
    <x v="0"/>
    <s v="Completed"/>
    <s v="Completed"/>
    <n v="28"/>
    <n v="27"/>
    <n v="3"/>
    <n v="30"/>
    <n v="0.9"/>
    <n v="0.92"/>
    <s v="UAT In Test"/>
    <n v="19"/>
    <n v="0"/>
    <n v="0"/>
    <n v="0"/>
    <n v="19"/>
    <n v="1"/>
    <n v="1"/>
    <s v="Delivered the user story to UAT for parallel testing"/>
    <x v="42"/>
    <x v="6"/>
  </r>
  <r>
    <s v="SI DCTA"/>
    <x v="104"/>
    <x v="105"/>
    <x v="8"/>
    <s v="As a myISP SA, I want to send new definition type for billable expense in the expense tab in pricing input screen to MMP DCTA for calculations"/>
    <n v="4367218"/>
    <s v="Saivinodhini"/>
    <s v="Sohana"/>
    <m/>
    <x v="3"/>
    <x v="1"/>
    <s v="Requires excel report validation"/>
    <x v="3"/>
    <m/>
    <m/>
    <m/>
    <m/>
    <m/>
    <m/>
    <m/>
    <m/>
    <m/>
    <x v="0"/>
    <x v="0"/>
    <s v="Completed"/>
    <s v="Completed"/>
    <n v="19"/>
    <n v="16"/>
    <n v="0"/>
    <n v="16"/>
    <n v="1"/>
    <n v="0.7"/>
    <s v="UAT In Test"/>
    <n v="16"/>
    <n v="0"/>
    <n v="0"/>
    <n v="0"/>
    <n v="16"/>
    <n v="1"/>
    <n v="1"/>
    <s v="Delivered User story to UAT for Parallel testing"/>
    <x v="45"/>
    <x v="8"/>
  </r>
  <r>
    <s v="SI DCTA"/>
    <x v="104"/>
    <x v="105"/>
    <x v="8"/>
    <s v="As a myISP SA, I want to introduce new definition type for billable expense in the JSON file which can be shared with DCTA"/>
    <n v="4385961"/>
    <s v="Sathya"/>
    <s v="Bhavana"/>
    <m/>
    <x v="3"/>
    <x v="1"/>
    <s v="JSON file cannot be validated"/>
    <x v="8"/>
    <m/>
    <m/>
    <m/>
    <m/>
    <m/>
    <m/>
    <m/>
    <m/>
    <m/>
    <x v="0"/>
    <x v="0"/>
    <s v="Completed"/>
    <s v="Completed"/>
    <n v="15"/>
    <n v="14"/>
    <n v="0"/>
    <n v="14"/>
    <n v="1"/>
    <n v="0.9"/>
    <s v="UAT In Test"/>
    <n v="14"/>
    <n v="0"/>
    <n v="0"/>
    <n v="0"/>
    <n v="14"/>
    <n v="1"/>
    <n v="1"/>
    <m/>
    <x v="46"/>
    <x v="6"/>
  </r>
  <r>
    <s v="PLD"/>
    <x v="43"/>
    <x v="44"/>
    <x v="4"/>
    <s v="As a PLD Lead, I should get the updated year as 2001-2026 in all assignment mail trigger from PLD"/>
    <n v="4390222"/>
    <s v="Sangeetha"/>
    <s v="Vishnupriya"/>
    <m/>
    <x v="3"/>
    <x v="1"/>
    <s v="Email functionality"/>
    <x v="5"/>
    <m/>
    <m/>
    <m/>
    <m/>
    <m/>
    <m/>
    <m/>
    <m/>
    <m/>
    <x v="0"/>
    <x v="0"/>
    <s v="Completed"/>
    <s v="Completed"/>
    <n v="24"/>
    <n v="4"/>
    <n v="6"/>
    <n v="6"/>
    <n v="0.66"/>
    <n v="0.6"/>
    <s v="Test Complete"/>
    <n v="6"/>
    <n v="0"/>
    <n v="0"/>
    <n v="0"/>
    <n v="6"/>
    <n v="1"/>
    <n v="1"/>
    <m/>
    <x v="21"/>
    <x v="4"/>
  </r>
  <r>
    <s v="To show Baseline FTEs for DNP costs in the reports"/>
    <x v="105"/>
    <x v="106"/>
    <x v="11"/>
    <s v="FY26 [BPMS BAU] - To show Baseline FTEs for DNP costs in the reports"/>
    <n v="4173346"/>
    <s v="Aman"/>
    <s v="Sindhuja"/>
    <m/>
    <x v="3"/>
    <x v="1"/>
    <s v="BPMS BAU"/>
    <x v="13"/>
    <m/>
    <m/>
    <n v="0"/>
    <m/>
    <m/>
    <m/>
    <m/>
    <m/>
    <m/>
    <x v="0"/>
    <x v="0"/>
    <s v="Completed"/>
    <s v="Completed"/>
    <m/>
    <m/>
    <m/>
    <m/>
    <m/>
    <m/>
    <s v="Test Complete"/>
    <n v="7"/>
    <n v="0"/>
    <n v="0"/>
    <n v="0"/>
    <n v="7"/>
    <n v="1"/>
    <e v="#REF!"/>
    <m/>
    <x v="47"/>
    <x v="17"/>
  </r>
  <r>
    <s v="Pyramid and productivity Report changes"/>
    <x v="106"/>
    <x v="107"/>
    <x v="11"/>
    <s v="FY26 [BPMS BAU] - Pyramid and productivity Report changes"/>
    <n v="4339288"/>
    <s v="Sindhuja"/>
    <s v="Aman"/>
    <m/>
    <x v="3"/>
    <x v="1"/>
    <s v="BPMS BAU"/>
    <x v="13"/>
    <m/>
    <m/>
    <m/>
    <m/>
    <m/>
    <m/>
    <m/>
    <m/>
    <m/>
    <x v="0"/>
    <x v="0"/>
    <s v="Completed"/>
    <s v="Completed"/>
    <m/>
    <m/>
    <m/>
    <m/>
    <m/>
    <m/>
    <s v="Test Complete"/>
    <n v="12"/>
    <n v="0"/>
    <n v="0"/>
    <n v="0"/>
    <n v="12"/>
    <n v="1"/>
    <n v="1"/>
    <m/>
    <x v="47"/>
    <x v="17"/>
  </r>
  <r>
    <s v="Enable XLSM Format Support for Custom Rates Bulk Upload Template"/>
    <x v="105"/>
    <x v="106"/>
    <x v="11"/>
    <s v="FY26 [BPMS BAU] - Enable XLSM Format Support for Custom Rates Bulk Upload Template"/>
    <n v="4356224"/>
    <s v="Sindhuja"/>
    <m/>
    <m/>
    <x v="3"/>
    <x v="1"/>
    <s v="BPMS BAU"/>
    <x v="13"/>
    <m/>
    <m/>
    <m/>
    <m/>
    <m/>
    <m/>
    <m/>
    <m/>
    <m/>
    <x v="0"/>
    <x v="0"/>
    <s v="Completed"/>
    <s v="Completed"/>
    <m/>
    <m/>
    <m/>
    <m/>
    <m/>
    <m/>
    <s v="Test Complete"/>
    <n v="1"/>
    <n v="0"/>
    <n v="0"/>
    <n v="0"/>
    <n v="1"/>
    <n v="1"/>
    <n v="1"/>
    <m/>
    <x v="47"/>
    <x v="17"/>
  </r>
  <r>
    <s v="Cost Management - Country and CTEP filter"/>
    <x v="107"/>
    <x v="108"/>
    <x v="11"/>
    <s v="FY26 [BPMS BAU] - Cost Management - Country and CTEP filter - For all Models - Part 2 - Test only"/>
    <n v="4371773"/>
    <s v="Akshay"/>
    <m/>
    <m/>
    <x v="3"/>
    <x v="1"/>
    <s v="BPMS BAU"/>
    <x v="13"/>
    <m/>
    <m/>
    <m/>
    <m/>
    <m/>
    <m/>
    <m/>
    <m/>
    <m/>
    <x v="0"/>
    <x v="0"/>
    <s v="Completed"/>
    <s v="Completed"/>
    <m/>
    <m/>
    <m/>
    <m/>
    <m/>
    <m/>
    <s v="Test Complete"/>
    <n v="27"/>
    <n v="0"/>
    <n v="0"/>
    <n v="0"/>
    <n v="27"/>
    <n v="1"/>
    <n v="1"/>
    <m/>
    <x v="44"/>
    <x v="17"/>
  </r>
  <r>
    <s v="Publish Approver List on Team Site"/>
    <x v="108"/>
    <x v="109"/>
    <x v="11"/>
    <s v="FY26 [BPMS BAU] - Publish Approver List on Costing Resource screen"/>
    <n v="4371813"/>
    <s v="Akshay"/>
    <m/>
    <m/>
    <x v="3"/>
    <x v="1"/>
    <s v="BPMS BAU"/>
    <x v="13"/>
    <m/>
    <m/>
    <m/>
    <m/>
    <m/>
    <m/>
    <m/>
    <m/>
    <m/>
    <x v="0"/>
    <x v="0"/>
    <s v="Completed"/>
    <s v="Completed"/>
    <m/>
    <m/>
    <m/>
    <m/>
    <m/>
    <m/>
    <s v="Test Complete"/>
    <n v="8"/>
    <n v="0"/>
    <n v="0"/>
    <n v="0"/>
    <n v="8"/>
    <n v="1"/>
    <n v="1"/>
    <m/>
    <x v="44"/>
    <x v="17"/>
  </r>
  <r>
    <s v="Request for exception from using INSPIRE"/>
    <x v="108"/>
    <x v="109"/>
    <x v="11"/>
    <s v="FY26 [BPMS BAU] - Request for exception from using INSPIRE (When Requestor and Approver are same)"/>
    <n v="4376363"/>
    <s v="Akshay"/>
    <m/>
    <m/>
    <x v="3"/>
    <x v="1"/>
    <s v="BPMS BAU"/>
    <x v="13"/>
    <m/>
    <m/>
    <m/>
    <m/>
    <m/>
    <m/>
    <m/>
    <m/>
    <m/>
    <x v="0"/>
    <x v="0"/>
    <s v="Completed"/>
    <s v="Completed"/>
    <m/>
    <m/>
    <m/>
    <m/>
    <m/>
    <m/>
    <s v="Test Complete"/>
    <n v="6"/>
    <n v="0"/>
    <n v="0"/>
    <n v="0"/>
    <n v="6"/>
    <n v="1"/>
    <n v="1"/>
    <m/>
    <x v="44"/>
    <x v="17"/>
  </r>
  <r>
    <s v="Intelligence used according to costing data field has to be shared at offering level - Analytics DB"/>
    <x v="108"/>
    <x v="109"/>
    <x v="11"/>
    <s v="FY26 [BPMS BAU] - &quot;Intelligence used according to costing data&quot; field has to be shared at offering level - Analytics DB"/>
    <n v="4376367"/>
    <s v="Prateek"/>
    <m/>
    <m/>
    <x v="3"/>
    <x v="1"/>
    <s v="BPMS BAU"/>
    <x v="13"/>
    <m/>
    <m/>
    <m/>
    <m/>
    <m/>
    <m/>
    <m/>
    <m/>
    <m/>
    <x v="0"/>
    <x v="0"/>
    <s v="Completed"/>
    <s v="Completed"/>
    <m/>
    <m/>
    <m/>
    <m/>
    <m/>
    <m/>
    <s v="Ready for UAT"/>
    <n v="2"/>
    <n v="0"/>
    <n v="0"/>
    <n v="0"/>
    <n v="2"/>
    <n v="1"/>
    <n v="1"/>
    <m/>
    <x v="44"/>
    <x v="17"/>
  </r>
  <r>
    <s v="To share Client Volume Discount through OCP billing JSON"/>
    <x v="109"/>
    <x v="110"/>
    <x v="11"/>
    <s v="FY26 [BPMS OCP] - To share Client Volume Discount through OCP billing JSON"/>
    <n v="4390028"/>
    <s v="Sindhuja"/>
    <m/>
    <m/>
    <x v="3"/>
    <x v="1"/>
    <s v="BPMS BAU"/>
    <x v="13"/>
    <m/>
    <m/>
    <m/>
    <m/>
    <m/>
    <m/>
    <m/>
    <m/>
    <m/>
    <x v="0"/>
    <x v="0"/>
    <s v="Completed"/>
    <s v="Completed"/>
    <m/>
    <m/>
    <m/>
    <m/>
    <m/>
    <m/>
    <s v="Ready for UAT"/>
    <n v="4"/>
    <n v="0"/>
    <n v="0"/>
    <n v="0"/>
    <n v="4"/>
    <n v="1"/>
    <n v="1"/>
    <m/>
    <x v="47"/>
    <x v="17"/>
  </r>
  <r>
    <s v="Consumption of Rolled up revenue from myISP"/>
    <x v="108"/>
    <x v="109"/>
    <x v="11"/>
    <s v="FY26 [BPMS BAU] - Consumption of Rolled up revenue from myISP"/>
    <n v="4390900"/>
    <s v="Prateek"/>
    <m/>
    <m/>
    <x v="3"/>
    <x v="1"/>
    <s v="BPMS BAU"/>
    <x v="13"/>
    <m/>
    <m/>
    <m/>
    <m/>
    <m/>
    <m/>
    <m/>
    <m/>
    <m/>
    <x v="0"/>
    <x v="0"/>
    <s v="Completed"/>
    <s v="Completed"/>
    <m/>
    <m/>
    <m/>
    <m/>
    <m/>
    <m/>
    <s v="Test Complete"/>
    <n v="15"/>
    <n v="0"/>
    <n v="0"/>
    <n v="0"/>
    <n v="15"/>
    <n v="1"/>
    <n v="1"/>
    <m/>
    <x v="44"/>
    <x v="17"/>
  </r>
  <r>
    <s v="To enable data sharing with the Reporting DB during BDL generation"/>
    <x v="105"/>
    <x v="106"/>
    <x v="11"/>
    <s v="FY26 [BPMS BAU] - To enable data sharing with the Reporting DB during BDL generation and Send for Price"/>
    <n v="4391266"/>
    <s v="Aman"/>
    <m/>
    <m/>
    <x v="3"/>
    <x v="1"/>
    <s v="BPMS BAU"/>
    <x v="13"/>
    <m/>
    <m/>
    <m/>
    <m/>
    <m/>
    <m/>
    <m/>
    <m/>
    <m/>
    <x v="0"/>
    <x v="0"/>
    <s v="Completed"/>
    <s v="Completed"/>
    <m/>
    <m/>
    <m/>
    <m/>
    <m/>
    <m/>
    <s v="Ready for UAT"/>
    <n v="6"/>
    <n v="0"/>
    <n v="0"/>
    <n v="0"/>
    <n v="6"/>
    <n v="1"/>
    <n v="1"/>
    <m/>
    <x v="47"/>
    <x v="17"/>
  </r>
  <r>
    <s v="SDO - Reimagined - inclusion in myISP platform"/>
    <x v="110"/>
    <x v="111"/>
    <x v="11"/>
    <s v="FY26 [BPMS BAU] - SDO - Reimagined - inclusion in myISP platform"/>
    <n v="4394234"/>
    <s v="Sindhuja"/>
    <m/>
    <m/>
    <x v="3"/>
    <x v="1"/>
    <s v="BPMS BAU"/>
    <x v="13"/>
    <m/>
    <m/>
    <m/>
    <m/>
    <m/>
    <m/>
    <m/>
    <m/>
    <m/>
    <x v="0"/>
    <x v="0"/>
    <s v="Completed"/>
    <s v="Completed"/>
    <m/>
    <m/>
    <m/>
    <m/>
    <m/>
    <m/>
    <s v="Ready for UAT"/>
    <n v="10"/>
    <n v="0"/>
    <n v="0"/>
    <n v="0"/>
    <n v="10"/>
    <n v="1"/>
    <n v="1"/>
    <m/>
    <x v="47"/>
    <x v="17"/>
  </r>
  <r>
    <s v="March'26 Release"/>
    <x v="111"/>
    <x v="112"/>
    <x v="12"/>
    <s v="Angular Upgrade - Home Screen"/>
    <n v="4386132"/>
    <s v="Keerthana"/>
    <s v="Sudha"/>
    <m/>
    <x v="3"/>
    <x v="1"/>
    <s v="IMS BAU"/>
    <x v="14"/>
    <m/>
    <m/>
    <m/>
    <m/>
    <m/>
    <m/>
    <m/>
    <m/>
    <m/>
    <x v="0"/>
    <x v="0"/>
    <s v="Completed"/>
    <s v="In Progress"/>
    <m/>
    <m/>
    <m/>
    <m/>
    <m/>
    <m/>
    <s v="UAT In Test"/>
    <n v="81"/>
    <n v="0"/>
    <n v="0"/>
    <n v="0"/>
    <n v="81"/>
    <n v="1"/>
    <n v="1"/>
    <m/>
    <x v="48"/>
    <x v="18"/>
  </r>
  <r>
    <s v="March' 26 Release"/>
    <x v="111"/>
    <x v="112"/>
    <x v="12"/>
    <s v="Angular Upgrade - IMS"/>
    <n v="4386129"/>
    <s v="Keerthana"/>
    <s v="Sudha"/>
    <m/>
    <x v="3"/>
    <x v="1"/>
    <s v="IMS BAU"/>
    <x v="14"/>
    <m/>
    <m/>
    <m/>
    <m/>
    <m/>
    <m/>
    <m/>
    <m/>
    <m/>
    <x v="0"/>
    <x v="0"/>
    <s v="Completed"/>
    <s v="In Progress"/>
    <m/>
    <m/>
    <m/>
    <m/>
    <m/>
    <m/>
    <s v="UAT In Test"/>
    <n v="71"/>
    <n v="0"/>
    <n v="0"/>
    <n v="0"/>
    <n v="71"/>
    <n v="1"/>
    <n v="1"/>
    <m/>
    <x v="48"/>
    <x v="18"/>
  </r>
  <r>
    <s v="March' 26 Release"/>
    <x v="111"/>
    <x v="112"/>
    <x v="12"/>
    <s v="Angular Upgrade - SI"/>
    <n v="4386131"/>
    <s v="Keerthana"/>
    <s v="Sudha"/>
    <m/>
    <x v="3"/>
    <x v="1"/>
    <s v="IMS BAU"/>
    <x v="14"/>
    <m/>
    <m/>
    <m/>
    <m/>
    <m/>
    <m/>
    <m/>
    <m/>
    <m/>
    <x v="0"/>
    <x v="0"/>
    <s v="Completed"/>
    <s v="In Progress"/>
    <m/>
    <m/>
    <m/>
    <m/>
    <m/>
    <m/>
    <s v="UAT In Test"/>
    <n v="76"/>
    <n v="0"/>
    <n v="0"/>
    <n v="0"/>
    <n v="76"/>
    <n v="1"/>
    <n v="1"/>
    <m/>
    <x v="48"/>
    <x v="18"/>
  </r>
  <r>
    <s v="Advisory SA - Song "/>
    <x v="7"/>
    <x v="7"/>
    <x v="12"/>
    <s v="As an Advisory song SA, I want to access the Solution Components - IMS tile in read-only mode so that I can maintain and view workflow continuity."/>
    <n v="4378873"/>
    <s v="Keerthana"/>
    <s v="Sudha"/>
    <m/>
    <x v="3"/>
    <x v="1"/>
    <s v="IMS BAU"/>
    <x v="14"/>
    <m/>
    <m/>
    <m/>
    <m/>
    <m/>
    <m/>
    <m/>
    <m/>
    <m/>
    <x v="0"/>
    <x v="0"/>
    <s v="Completed"/>
    <s v="In Progress"/>
    <m/>
    <m/>
    <m/>
    <m/>
    <m/>
    <m/>
    <s v="UAT In Test"/>
    <n v="8"/>
    <n v="0"/>
    <n v="0"/>
    <n v="0"/>
    <n v="8"/>
    <n v="1"/>
    <n v="1"/>
    <m/>
    <x v="48"/>
    <x v="18"/>
  </r>
  <r>
    <s v="March' 26 Release"/>
    <x v="112"/>
    <x v="113"/>
    <x v="12"/>
    <s v="DCSO - Home screen validation"/>
    <n v="4386119"/>
    <s v="Keerthana"/>
    <s v="Sudha"/>
    <m/>
    <x v="3"/>
    <x v="1"/>
    <s v="IMS BAU"/>
    <x v="14"/>
    <m/>
    <m/>
    <m/>
    <m/>
    <m/>
    <m/>
    <m/>
    <m/>
    <m/>
    <x v="0"/>
    <x v="0"/>
    <s v="Completed"/>
    <s v="In Progress"/>
    <m/>
    <m/>
    <m/>
    <m/>
    <m/>
    <m/>
    <s v="UAT In Test"/>
    <n v="28"/>
    <n v="0"/>
    <n v="0"/>
    <n v="0"/>
    <n v="28"/>
    <n v="1"/>
    <n v="1"/>
    <m/>
    <x v="48"/>
    <x v="18"/>
  </r>
  <r>
    <s v="March' 26 Release"/>
    <x v="112"/>
    <x v="113"/>
    <x v="12"/>
    <s v="DCSO - IMS version checks"/>
    <n v="4386120"/>
    <s v="Keerthana"/>
    <s v="Sudha"/>
    <m/>
    <x v="3"/>
    <x v="1"/>
    <s v="IMS BAU"/>
    <x v="14"/>
    <m/>
    <m/>
    <m/>
    <m/>
    <m/>
    <m/>
    <m/>
    <m/>
    <m/>
    <x v="0"/>
    <x v="0"/>
    <s v="Completed"/>
    <s v="In Progress"/>
    <m/>
    <m/>
    <m/>
    <m/>
    <m/>
    <m/>
    <s v="UAT In Test"/>
    <n v="37"/>
    <n v="0"/>
    <n v="0"/>
    <n v="0"/>
    <n v="37"/>
    <n v="1"/>
    <n v="1"/>
    <m/>
    <x v="48"/>
    <x v="18"/>
  </r>
  <r>
    <s v="March' 26 Release"/>
    <x v="112"/>
    <x v="113"/>
    <x v="12"/>
    <s v="DCSO - Mod Impacts"/>
    <n v="4386122"/>
    <s v="Keerthana"/>
    <s v="Sudha"/>
    <m/>
    <x v="3"/>
    <x v="1"/>
    <s v="IMS BAU"/>
    <x v="14"/>
    <m/>
    <m/>
    <m/>
    <m/>
    <m/>
    <m/>
    <m/>
    <m/>
    <m/>
    <x v="0"/>
    <x v="0"/>
    <s v="Completed"/>
    <s v="In Progress"/>
    <m/>
    <m/>
    <m/>
    <m/>
    <m/>
    <m/>
    <s v="UAT In Test"/>
    <n v="66"/>
    <n v="0"/>
    <n v="0"/>
    <n v="0"/>
    <n v="66"/>
    <n v="1"/>
    <n v="1"/>
    <m/>
    <x v="48"/>
    <x v="18"/>
  </r>
  <r>
    <s v="March' 26 Release"/>
    <x v="112"/>
    <x v="113"/>
    <x v="12"/>
    <s v="DCSO - SI version checks"/>
    <n v="4386121"/>
    <s v="Keerthana"/>
    <s v="Sudha"/>
    <m/>
    <x v="3"/>
    <x v="1"/>
    <s v="IMS BAU"/>
    <x v="14"/>
    <m/>
    <m/>
    <m/>
    <m/>
    <m/>
    <m/>
    <m/>
    <m/>
    <m/>
    <x v="0"/>
    <x v="0"/>
    <s v="Completed"/>
    <s v="In Progress"/>
    <m/>
    <m/>
    <m/>
    <m/>
    <m/>
    <m/>
    <s v="UAT In Test"/>
    <n v="45"/>
    <n v="0"/>
    <n v="0"/>
    <n v="0"/>
    <n v="45"/>
    <n v="1"/>
    <n v="1"/>
    <m/>
    <x v="48"/>
    <x v="18"/>
  </r>
  <r>
    <s v="March' 26 Release"/>
    <x v="113"/>
    <x v="114"/>
    <x v="12"/>
    <s v="Feb'26 Release - UAT CRs"/>
    <n v="4376340"/>
    <s v="Keerthana"/>
    <s v="Sudha"/>
    <m/>
    <x v="3"/>
    <x v="1"/>
    <s v="IMS BAU"/>
    <x v="14"/>
    <m/>
    <m/>
    <m/>
    <m/>
    <m/>
    <m/>
    <m/>
    <m/>
    <m/>
    <x v="0"/>
    <x v="0"/>
    <s v="Completed"/>
    <s v="In Progress"/>
    <m/>
    <m/>
    <m/>
    <m/>
    <m/>
    <m/>
    <s v="UAT In Test"/>
    <n v="60"/>
    <n v="0"/>
    <n v="0"/>
    <n v="0"/>
    <n v="60"/>
    <n v="1"/>
    <n v="1"/>
    <m/>
    <x v="48"/>
    <x v="18"/>
  </r>
  <r>
    <s v="March' 26 Release"/>
    <x v="114"/>
    <x v="115"/>
    <x v="12"/>
    <s v="Including Negotiation Contingency Percentage in Deal Billing Json - MMP"/>
    <n v="4350723"/>
    <s v="Keerthana"/>
    <s v="Sudha"/>
    <m/>
    <x v="3"/>
    <x v="1"/>
    <s v="IMS BAU"/>
    <x v="14"/>
    <m/>
    <m/>
    <m/>
    <m/>
    <m/>
    <m/>
    <m/>
    <m/>
    <m/>
    <x v="0"/>
    <x v="0"/>
    <s v="Completed"/>
    <s v="In Progress"/>
    <m/>
    <m/>
    <m/>
    <m/>
    <m/>
    <m/>
    <s v="UAT In Test"/>
    <n v="40"/>
    <n v="0"/>
    <n v="0"/>
    <n v="0"/>
    <n v="40"/>
    <n v="1"/>
    <n v="1"/>
    <m/>
    <x v="48"/>
    <x v="18"/>
  </r>
  <r>
    <s v="March' 26 Release"/>
    <x v="114"/>
    <x v="115"/>
    <x v="12"/>
    <s v="Including Negotiation Contingency Percentage in Deal Billing Json - Mod Impacts"/>
    <n v="4386111"/>
    <s v="Keerthana"/>
    <s v="Sudha"/>
    <m/>
    <x v="3"/>
    <x v="1"/>
    <s v="IMS BAU"/>
    <x v="14"/>
    <m/>
    <m/>
    <m/>
    <m/>
    <m/>
    <m/>
    <m/>
    <m/>
    <m/>
    <x v="0"/>
    <x v="0"/>
    <s v="Completed"/>
    <s v="In Progress"/>
    <m/>
    <m/>
    <m/>
    <m/>
    <m/>
    <m/>
    <s v="UAT In Test"/>
    <n v="40"/>
    <n v="0"/>
    <n v="0"/>
    <n v="0"/>
    <n v="40"/>
    <n v="1"/>
    <n v="1"/>
    <m/>
    <x v="48"/>
    <x v="18"/>
  </r>
  <r>
    <s v="March' 26 Release"/>
    <x v="114"/>
    <x v="115"/>
    <x v="12"/>
    <s v="Including Negotiation Contingency Percentage in Deal Billing Json - OCP"/>
    <n v="4385488"/>
    <s v="Keerthana"/>
    <s v="Sudha"/>
    <m/>
    <x v="3"/>
    <x v="1"/>
    <s v="IMS BAU"/>
    <x v="14"/>
    <m/>
    <m/>
    <m/>
    <m/>
    <m/>
    <m/>
    <m/>
    <m/>
    <m/>
    <x v="0"/>
    <x v="0"/>
    <s v="Completed"/>
    <s v="In Progress"/>
    <m/>
    <m/>
    <m/>
    <m/>
    <m/>
    <m/>
    <s v="UAT In Test"/>
    <n v="43"/>
    <n v="0"/>
    <n v="0"/>
    <n v="0"/>
    <n v="43"/>
    <n v="1"/>
    <n v="1"/>
    <m/>
    <x v="48"/>
    <x v="18"/>
  </r>
  <r>
    <s v="March' 26 Release"/>
    <x v="115"/>
    <x v="116"/>
    <x v="12"/>
    <s v="LCM Infrastructure Migration - New Sub Service - COTs App Migration - Calculation Logic"/>
    <n v="4381798"/>
    <s v="Keerthana"/>
    <s v="Sudha"/>
    <m/>
    <x v="3"/>
    <x v="1"/>
    <s v="IMS BAU"/>
    <x v="14"/>
    <m/>
    <m/>
    <m/>
    <m/>
    <m/>
    <m/>
    <m/>
    <m/>
    <m/>
    <x v="0"/>
    <x v="0"/>
    <s v="Completed"/>
    <s v="In Progress"/>
    <m/>
    <m/>
    <m/>
    <m/>
    <m/>
    <m/>
    <s v="UAT In Test"/>
    <n v="72"/>
    <n v="0"/>
    <n v="0"/>
    <n v="0"/>
    <n v="72"/>
    <n v="1"/>
    <n v="1"/>
    <m/>
    <x v="48"/>
    <x v="18"/>
  </r>
  <r>
    <s v="March' 26 Release"/>
    <x v="115"/>
    <x v="116"/>
    <x v="12"/>
    <s v="LCM Infrastructure Migration - New Sub Service - COTs App Migration - Reports, Integrations, Regression &amp; Migration"/>
    <n v="4381807"/>
    <s v="Keerthana"/>
    <s v="Sudha"/>
    <m/>
    <x v="3"/>
    <x v="1"/>
    <s v="IMS BAU"/>
    <x v="14"/>
    <m/>
    <m/>
    <m/>
    <m/>
    <m/>
    <m/>
    <m/>
    <m/>
    <m/>
    <x v="0"/>
    <x v="0"/>
    <s v="Completed"/>
    <s v="In Progress"/>
    <m/>
    <m/>
    <m/>
    <m/>
    <m/>
    <m/>
    <s v="UAT In Test"/>
    <n v="55"/>
    <n v="0"/>
    <n v="0"/>
    <n v="0"/>
    <n v="55"/>
    <n v="1"/>
    <n v="1"/>
    <m/>
    <x v="48"/>
    <x v="18"/>
  </r>
  <r>
    <s v="March' 26 Release"/>
    <x v="115"/>
    <x v="116"/>
    <x v="12"/>
    <s v="LCM Infrastructure Migration - New Sub Service - COTs App Migration - UI &amp; Delivery Approach"/>
    <n v="4381739"/>
    <s v="Keerthana"/>
    <s v="Sudha"/>
    <m/>
    <x v="3"/>
    <x v="1"/>
    <s v="IMS BAU"/>
    <x v="14"/>
    <m/>
    <m/>
    <m/>
    <m/>
    <m/>
    <m/>
    <m/>
    <m/>
    <m/>
    <x v="0"/>
    <x v="0"/>
    <s v="Completed"/>
    <s v="In Progress"/>
    <m/>
    <m/>
    <m/>
    <m/>
    <m/>
    <m/>
    <s v="UAT In Test"/>
    <n v="49"/>
    <n v="0"/>
    <n v="0"/>
    <n v="0"/>
    <n v="49"/>
    <n v="1"/>
    <n v="1"/>
    <m/>
    <x v="48"/>
    <x v="18"/>
  </r>
  <r>
    <s v="March' 26 Release"/>
    <x v="116"/>
    <x v="117"/>
    <x v="12"/>
    <s v="MDA Mod Impacts"/>
    <n v="4386128"/>
    <s v="Keerthana"/>
    <s v="Sudha"/>
    <m/>
    <x v="3"/>
    <x v="1"/>
    <s v="IMS BAU"/>
    <x v="14"/>
    <m/>
    <m/>
    <m/>
    <m/>
    <m/>
    <m/>
    <m/>
    <m/>
    <m/>
    <x v="0"/>
    <x v="0"/>
    <s v="Completed"/>
    <s v="In Progress"/>
    <m/>
    <m/>
    <m/>
    <m/>
    <m/>
    <m/>
    <s v="UAT In Test"/>
    <n v="40"/>
    <n v="0"/>
    <n v="0"/>
    <n v="0"/>
    <n v="40"/>
    <n v="1"/>
    <n v="1"/>
    <m/>
    <x v="48"/>
    <x v="18"/>
  </r>
  <r>
    <s v="March' 26 Release"/>
    <x v="116"/>
    <x v="117"/>
    <x v="12"/>
    <s v="MDA Personalization"/>
    <n v="4386124"/>
    <s v="Keerthana"/>
    <s v="Sudha"/>
    <m/>
    <x v="3"/>
    <x v="1"/>
    <s v="IMS BAU"/>
    <x v="14"/>
    <m/>
    <m/>
    <m/>
    <m/>
    <m/>
    <m/>
    <m/>
    <m/>
    <m/>
    <x v="0"/>
    <x v="0"/>
    <s v="Completed"/>
    <s v="In Progress"/>
    <m/>
    <m/>
    <m/>
    <m/>
    <m/>
    <m/>
    <s v="UAT In Test"/>
    <n v="42"/>
    <n v="0"/>
    <n v="0"/>
    <n v="0"/>
    <n v="42"/>
    <n v="1"/>
    <n v="1"/>
    <m/>
    <x v="48"/>
    <x v="18"/>
  </r>
  <r>
    <s v="March' 26 Release"/>
    <x v="117"/>
    <x v="118"/>
    <x v="12"/>
    <s v="Regression Testing"/>
    <n v="4386134"/>
    <s v="Keerthana"/>
    <s v="Sudha"/>
    <m/>
    <x v="3"/>
    <x v="1"/>
    <s v="IMS BAU"/>
    <x v="14"/>
    <m/>
    <m/>
    <m/>
    <m/>
    <m/>
    <m/>
    <m/>
    <m/>
    <m/>
    <x v="0"/>
    <x v="0"/>
    <s v="Completed"/>
    <s v="In Progress"/>
    <m/>
    <m/>
    <m/>
    <m/>
    <m/>
    <m/>
    <s v="UAT In Test"/>
    <n v="228"/>
    <n v="0"/>
    <n v="0"/>
    <n v="0"/>
    <n v="228"/>
    <n v="1"/>
    <n v="1"/>
    <m/>
    <x v="48"/>
    <x v="18"/>
  </r>
  <r>
    <s v="March' 26 Release"/>
    <x v="118"/>
    <x v="119"/>
    <x v="12"/>
    <s v="Removal of &quot;Mobilization Tool Team&quot; section from Mobilization Detailed Costing Service"/>
    <n v="4374020"/>
    <s v="Keerthana"/>
    <s v="Sudha"/>
    <m/>
    <x v="3"/>
    <x v="1"/>
    <s v="IMS BAU"/>
    <x v="14"/>
    <m/>
    <m/>
    <m/>
    <m/>
    <m/>
    <m/>
    <m/>
    <m/>
    <m/>
    <x v="0"/>
    <x v="0"/>
    <s v="Completed"/>
    <s v="In Progress"/>
    <m/>
    <m/>
    <m/>
    <m/>
    <m/>
    <m/>
    <s v="UAT In Test"/>
    <n v="55"/>
    <n v="0"/>
    <n v="0"/>
    <n v="0"/>
    <n v="55"/>
    <n v="1"/>
    <n v="1"/>
    <m/>
    <x v="48"/>
    <x v="18"/>
  </r>
  <r>
    <s v="March' 26 Release"/>
    <x v="118"/>
    <x v="119"/>
    <x v="12"/>
    <s v="Remove the Sub service values from Service Mobilization under the Capacity model offline and online"/>
    <n v="4374090"/>
    <s v="Keerthana"/>
    <s v="Sudha"/>
    <m/>
    <x v="3"/>
    <x v="1"/>
    <s v="IMS BAU"/>
    <x v="14"/>
    <m/>
    <m/>
    <m/>
    <m/>
    <m/>
    <m/>
    <m/>
    <m/>
    <m/>
    <x v="0"/>
    <x v="0"/>
    <s v="Completed"/>
    <s v="In Progress"/>
    <m/>
    <m/>
    <m/>
    <m/>
    <m/>
    <m/>
    <s v="UAT In Test"/>
    <n v="39"/>
    <n v="0"/>
    <n v="0"/>
    <n v="0"/>
    <n v="39"/>
    <n v="1"/>
    <n v="1"/>
    <m/>
    <x v="48"/>
    <x v="18"/>
  </r>
  <r>
    <s v="March' 26 Release"/>
    <x v="118"/>
    <x v="119"/>
    <x v="12"/>
    <s v="Remove the Sub service values from Service Mobilization under the Capacity model offline and online - Mod Impacts"/>
    <n v="4386112"/>
    <s v="Keerthana"/>
    <s v="Sudha"/>
    <m/>
    <x v="3"/>
    <x v="1"/>
    <s v="IMS BAU"/>
    <x v="14"/>
    <m/>
    <m/>
    <m/>
    <m/>
    <m/>
    <m/>
    <m/>
    <m/>
    <m/>
    <x v="0"/>
    <x v="0"/>
    <s v="Completed"/>
    <s v="In Progress"/>
    <m/>
    <m/>
    <m/>
    <m/>
    <m/>
    <m/>
    <s v="UAT In Test"/>
    <n v="23"/>
    <n v="0"/>
    <n v="0"/>
    <n v="0"/>
    <n v="23"/>
    <n v="1"/>
    <n v="1"/>
    <m/>
    <x v="48"/>
    <x v="18"/>
  </r>
  <r>
    <s v="March' 26 Release"/>
    <x v="119"/>
    <x v="120"/>
    <x v="12"/>
    <s v="Sonar fixes - 1"/>
    <n v="4386114"/>
    <s v="Keerthana"/>
    <s v="Sudha"/>
    <m/>
    <x v="3"/>
    <x v="1"/>
    <s v="IMS BAU"/>
    <x v="14"/>
    <m/>
    <m/>
    <m/>
    <m/>
    <m/>
    <m/>
    <m/>
    <m/>
    <m/>
    <x v="0"/>
    <x v="0"/>
    <s v="Completed"/>
    <s v="In Progress"/>
    <m/>
    <m/>
    <m/>
    <m/>
    <m/>
    <m/>
    <s v="UAT In Test"/>
    <n v="71"/>
    <n v="0"/>
    <n v="0"/>
    <n v="0"/>
    <n v="71"/>
    <n v="1"/>
    <n v="1"/>
    <m/>
    <x v="48"/>
    <x v="18"/>
  </r>
  <r>
    <s v="March' 26 Release"/>
    <x v="119"/>
    <x v="120"/>
    <x v="12"/>
    <s v="Sonar fixes - 2"/>
    <n v="4386115"/>
    <s v="Keerthana"/>
    <s v="Sudha"/>
    <m/>
    <x v="3"/>
    <x v="1"/>
    <s v="IMS BAU"/>
    <x v="14"/>
    <m/>
    <m/>
    <m/>
    <m/>
    <m/>
    <m/>
    <m/>
    <m/>
    <m/>
    <x v="0"/>
    <x v="0"/>
    <s v="Completed"/>
    <s v="In Progress"/>
    <m/>
    <m/>
    <m/>
    <m/>
    <m/>
    <m/>
    <s v="UAT In Test"/>
    <n v="76"/>
    <n v="0"/>
    <n v="0"/>
    <n v="0"/>
    <n v="76"/>
    <n v="1"/>
    <n v="1"/>
    <m/>
    <x v="48"/>
    <x v="18"/>
  </r>
  <r>
    <s v="March' 26 Release"/>
    <x v="119"/>
    <x v="120"/>
    <x v="12"/>
    <s v="Sonar fixes - 3"/>
    <n v="4386118"/>
    <s v="Keerthana"/>
    <s v="Sudha"/>
    <m/>
    <x v="3"/>
    <x v="1"/>
    <s v="IMS BAU"/>
    <x v="14"/>
    <m/>
    <m/>
    <m/>
    <m/>
    <m/>
    <m/>
    <m/>
    <m/>
    <m/>
    <x v="0"/>
    <x v="0"/>
    <s v="Completed"/>
    <s v="In Progress"/>
    <m/>
    <m/>
    <m/>
    <m/>
    <m/>
    <m/>
    <s v="UAT In Test"/>
    <n v="81"/>
    <n v="0"/>
    <n v="0"/>
    <n v="0"/>
    <n v="81"/>
    <n v="1"/>
    <n v="1"/>
    <m/>
    <x v="48"/>
    <x v="18"/>
  </r>
  <r>
    <s v="Value Shaping"/>
    <x v="0"/>
    <x v="0"/>
    <x v="12"/>
    <s v="Value Shaping - As a myISP User - Configurator V2V - I want to access the IMS Solution Components tile in read-only mode and navigate using the fixed breadcrumb path so that I can maintain workflow continuity."/>
    <n v="4364556"/>
    <s v="Keerthana"/>
    <s v="Sudha"/>
    <m/>
    <x v="3"/>
    <x v="1"/>
    <s v="IMS BAU"/>
    <x v="14"/>
    <m/>
    <m/>
    <m/>
    <m/>
    <m/>
    <m/>
    <m/>
    <m/>
    <m/>
    <x v="0"/>
    <x v="0"/>
    <s v="Completed"/>
    <s v="In Progress"/>
    <m/>
    <m/>
    <m/>
    <m/>
    <m/>
    <m/>
    <s v="UAT In Test"/>
    <n v="8"/>
    <n v="0"/>
    <n v="0"/>
    <n v="0"/>
    <n v="8"/>
    <n v="1"/>
    <n v="1"/>
    <m/>
    <x v="48"/>
    <x v="18"/>
  </r>
  <r>
    <s v="DFD-myISP"/>
    <x v="18"/>
    <x v="19"/>
    <x v="4"/>
    <s v="Song Compliant Logic Update - As a Overall Song Delivery Approver ,I want to access the Digital DCSO tile in read-only mode and navigate using the fixed breadcrumb path so that I can maintain workflow continuity. - Copy"/>
    <n v="4399219"/>
    <s v="Harish"/>
    <s v="Logapriya"/>
    <m/>
    <x v="30"/>
    <x v="0"/>
    <m/>
    <x v="0"/>
    <s v="Medium"/>
    <n v="1"/>
    <n v="1"/>
    <n v="8"/>
    <n v="7"/>
    <n v="0"/>
    <n v="7"/>
    <n v="1"/>
    <n v="0.9"/>
    <x v="0"/>
    <x v="0"/>
    <s v="Completed"/>
    <s v="Completed"/>
    <n v="51"/>
    <n v="13"/>
    <n v="15"/>
    <n v="15"/>
    <n v="0.87"/>
    <n v="0.85"/>
    <s v="UAT In Test"/>
    <n v="15"/>
    <n v="0"/>
    <n v="0"/>
    <n v="0"/>
    <n v="15"/>
    <n v="1"/>
    <n v="1"/>
    <m/>
    <x v="14"/>
    <x v="7"/>
  </r>
  <r>
    <s v="Advisory SA - Song "/>
    <x v="7"/>
    <x v="7"/>
    <x v="4"/>
    <s v="As an Advisory song SA, I want to access the Contract Solution Gap Analysis tile in read-only mode so that I can maintain and view workflow continuity."/>
    <n v="4381766"/>
    <s v="Uma"/>
    <s v="Karpagapriya"/>
    <m/>
    <x v="3"/>
    <x v="1"/>
    <s v="Data validation is highly complex because the required information is integrated directly from SSA, Specific SG‑based criteria, scenario‑dependent"/>
    <x v="8"/>
    <m/>
    <m/>
    <m/>
    <m/>
    <m/>
    <m/>
    <m/>
    <m/>
    <m/>
    <x v="0"/>
    <x v="0"/>
    <s v="Completed"/>
    <s v="Completed"/>
    <n v="20"/>
    <n v="3"/>
    <n v="5"/>
    <n v="5"/>
    <n v="0.7"/>
    <n v="0.5"/>
    <s v="UAT In Test"/>
    <n v="8"/>
    <n v="0"/>
    <n v="0"/>
    <n v="0"/>
    <n v="8"/>
    <n v="1"/>
    <n v="1"/>
    <s v="Delivered to UAT for parallel testing"/>
    <x v="18"/>
    <x v="5"/>
  </r>
  <r>
    <s v="Role Rename"/>
    <x v="6"/>
    <x v="6"/>
    <x v="4"/>
    <s v="Impact Check: As a Myisp user, I want the role &quot;Enterprise SA&quot; to be renamed to &quot;Market Maker ESA&quot; in myISP So that the role name clearly reflects the Market Make ESA in PLD Dashboard"/>
    <n v="4391370"/>
    <s v="Harish"/>
    <s v="Logapriya"/>
    <m/>
    <x v="3"/>
    <x v="1"/>
    <s v="Integration scenarios"/>
    <x v="8"/>
    <m/>
    <m/>
    <m/>
    <m/>
    <m/>
    <m/>
    <m/>
    <m/>
    <m/>
    <x v="0"/>
    <x v="0"/>
    <s v="Completed"/>
    <s v="Completed"/>
    <n v="31"/>
    <n v="9"/>
    <n v="5"/>
    <n v="5"/>
    <n v="0.9"/>
    <n v="0.8"/>
    <s v="UAT In Test"/>
    <n v="5"/>
    <n v="0"/>
    <n v="0"/>
    <n v="0"/>
    <n v="5"/>
    <n v="1"/>
    <n v="1"/>
    <s v="Delivered to UAT with 4425003(M)"/>
    <x v="21"/>
    <x v="4"/>
  </r>
  <r>
    <s v="Advisory SA - Song "/>
    <x v="7"/>
    <x v="7"/>
    <x v="2"/>
    <s v="As an Advisory song SA, I want to access the Digital DCSO tile in read-only mode so that I can maintain and view workflow continuity."/>
    <n v="4393222"/>
    <s v="Manisa Bid"/>
    <s v="Arun"/>
    <m/>
    <x v="74"/>
    <x v="0"/>
    <m/>
    <x v="0"/>
    <s v="Simple"/>
    <n v="3"/>
    <n v="1"/>
    <n v="3"/>
    <n v="2"/>
    <n v="1"/>
    <n v="3"/>
    <n v="0.95"/>
    <n v="0.95"/>
    <x v="0"/>
    <x v="0"/>
    <s v="Completed"/>
    <s v="Completed"/>
    <n v="49"/>
    <n v="9"/>
    <n v="1"/>
    <n v="6"/>
    <n v="0.75"/>
    <n v="0.9"/>
    <s v="UAT In Test"/>
    <n v="6"/>
    <n v="0"/>
    <n v="0"/>
    <n v="0"/>
    <n v="6"/>
    <n v="1"/>
    <n v="1"/>
    <s v="Delivered to UAT for parallel testing"/>
    <x v="14"/>
    <x v="7"/>
  </r>
  <r>
    <s v="Value Shaping"/>
    <x v="0"/>
    <x v="0"/>
    <x v="2"/>
    <s v="Value Shaping - As a myISP User - Configurator V2V - I want to access the Digital DCSO tile in read-only mode and navigate using the fixed breadcrumb path so that I can maintain workflow continuity."/>
    <n v="4400201"/>
    <s v="Manisa Bid"/>
    <s v="Arun"/>
    <m/>
    <x v="74"/>
    <x v="0"/>
    <m/>
    <x v="0"/>
    <s v="Medium"/>
    <n v="10"/>
    <n v="1"/>
    <n v="10"/>
    <n v="10"/>
    <n v="0"/>
    <n v="10"/>
    <n v="0.95"/>
    <n v="0.95"/>
    <x v="0"/>
    <x v="0"/>
    <s v="Completed"/>
    <s v="Completed"/>
    <n v="52"/>
    <n v="23"/>
    <n v="2"/>
    <n v="10"/>
    <n v="0.75"/>
    <n v="0.9"/>
    <s v="Test Complete"/>
    <n v="10"/>
    <n v="0"/>
    <n v="0"/>
    <n v="0"/>
    <n v="10"/>
    <n v="1"/>
    <n v="1"/>
    <s v="Delivered to UAT for parallel testing"/>
    <x v="14"/>
    <x v="7"/>
  </r>
  <r>
    <s v="Impact of Productivity&amp;Impacted Screens_Employee&amp;HR _E2E_(Part 1)_(EmpSupport &amp; WFDA)_Test Only"/>
    <x v="120"/>
    <x v="121"/>
    <x v="13"/>
    <s v="FY26 [BPMS BAU] - Impact of Productivity&amp;Impacted Screens_Employee&amp;HR _E2E_(Part 1)_(EmpSupport &amp; WFDA)_Test Only"/>
    <n v="4387170"/>
    <s v="Aayushi"/>
    <s v="Vishnu"/>
    <m/>
    <x v="3"/>
    <x v="1"/>
    <s v="As these are integrated features and complex to automate in current sprint"/>
    <x v="13"/>
    <m/>
    <m/>
    <m/>
    <m/>
    <m/>
    <m/>
    <m/>
    <m/>
    <m/>
    <x v="0"/>
    <x v="0"/>
    <s v="Completed"/>
    <s v="In Progress"/>
    <m/>
    <m/>
    <m/>
    <m/>
    <m/>
    <m/>
    <s v="PT In Test"/>
    <n v="248"/>
    <n v="3"/>
    <n v="0"/>
    <n v="4"/>
    <n v="255"/>
    <n v="0.98431372549019602"/>
    <n v="0.98804780876494025"/>
    <m/>
    <x v="49"/>
    <x v="17"/>
  </r>
  <r>
    <s v="AMS Solution Configuration Agent "/>
    <x v="101"/>
    <x v="102"/>
    <x v="7"/>
    <s v="As an AMS SCA User, I want an Agentic AI to capture and populate Gen AI configuration details using a natural-language prompt, so that the Gen AI tab is auto-filled and saved to my solution version without manual data entry."/>
    <n v="4399124"/>
    <s v="Nagaratna"/>
    <m/>
    <m/>
    <x v="3"/>
    <x v="1"/>
    <s v="Agent testing is prompt-driven and highly dependent on dynamic inputs. Hence it cannot be automated"/>
    <x v="9"/>
    <m/>
    <m/>
    <m/>
    <m/>
    <m/>
    <m/>
    <m/>
    <m/>
    <m/>
    <x v="0"/>
    <x v="0"/>
    <s v="Completed"/>
    <s v="Completed"/>
    <n v="40"/>
    <n v="13"/>
    <n v="20"/>
    <n v="33"/>
    <n v="0.33"/>
    <n v="0.4"/>
    <s v="UAT In Test"/>
    <n v="35"/>
    <n v="0"/>
    <n v="0"/>
    <n v="0"/>
    <n v="35"/>
    <n v="1"/>
    <n v="1"/>
    <s v="4429005-H,4434985-H"/>
    <x v="43"/>
    <x v="16"/>
  </r>
  <r>
    <s v="DFD-myISP"/>
    <x v="18"/>
    <x v="19"/>
    <x v="12"/>
    <s v="Song Compliant Logic Update - As a Overall Song Delivery Approver, I want to access the IMS Solution Components tile in read-only mode and navigate using the fixed breadcrumb path so that I can maintain workflow continuity."/>
    <n v="4361802"/>
    <s v="Keerthana"/>
    <s v="Sudha"/>
    <m/>
    <x v="3"/>
    <x v="1"/>
    <s v="IMS BAU"/>
    <x v="14"/>
    <m/>
    <m/>
    <m/>
    <m/>
    <m/>
    <m/>
    <m/>
    <m/>
    <m/>
    <x v="0"/>
    <x v="0"/>
    <s v="Completed"/>
    <s v="In Progress"/>
    <m/>
    <m/>
    <m/>
    <m/>
    <m/>
    <m/>
    <s v="UAT In Test"/>
    <n v="8"/>
    <n v="0"/>
    <n v="0"/>
    <n v="0"/>
    <n v="8"/>
    <n v="1"/>
    <n v="1"/>
    <m/>
    <x v="48"/>
    <x v="18"/>
  </r>
  <r>
    <s v="Maintain Master Tech Tools"/>
    <x v="121"/>
    <x v="122"/>
    <x v="11"/>
    <s v="FY26 [BPMS BAU] - Maintain Master Tech Tools"/>
    <n v="4390214"/>
    <s v="Aman"/>
    <m/>
    <m/>
    <x v="3"/>
    <x v="1"/>
    <s v="BPMS BAU"/>
    <x v="13"/>
    <m/>
    <m/>
    <m/>
    <m/>
    <m/>
    <m/>
    <m/>
    <m/>
    <m/>
    <x v="0"/>
    <x v="0"/>
    <s v="Completed"/>
    <s v="Completed"/>
    <m/>
    <m/>
    <m/>
    <m/>
    <m/>
    <m/>
    <s v="Closed"/>
    <n v="4"/>
    <n v="0"/>
    <n v="0"/>
    <n v="0"/>
    <n v="4"/>
    <n v="1"/>
    <n v="1"/>
    <m/>
    <x v="47"/>
    <x v="17"/>
  </r>
  <r>
    <s v="March' 26 Release"/>
    <x v="119"/>
    <x v="120"/>
    <x v="12"/>
    <s v="GHC Savings - Vulnerabilities"/>
    <n v="4386164"/>
    <s v="Keerthana"/>
    <s v="Sudha"/>
    <m/>
    <x v="3"/>
    <x v="1"/>
    <s v="IMS BAU"/>
    <x v="14"/>
    <m/>
    <m/>
    <m/>
    <m/>
    <m/>
    <m/>
    <m/>
    <m/>
    <m/>
    <x v="0"/>
    <x v="0"/>
    <s v="Completed"/>
    <s v="In Progress"/>
    <m/>
    <m/>
    <m/>
    <m/>
    <m/>
    <m/>
    <s v="UAT In Test"/>
    <n v="0"/>
    <n v="0"/>
    <n v="0"/>
    <n v="0"/>
    <n v="0"/>
    <n v="0"/>
    <n v="0"/>
    <m/>
    <x v="48"/>
    <x v="18"/>
  </r>
  <r>
    <s v="March' 26 Release"/>
    <x v="122"/>
    <x v="123"/>
    <x v="12"/>
    <s v="IMS BAU - MRDB changes- March 3rd"/>
    <n v="4370049"/>
    <s v="Keerthana"/>
    <s v="Sudha"/>
    <m/>
    <x v="3"/>
    <x v="1"/>
    <s v="IMS BAU"/>
    <x v="14"/>
    <m/>
    <m/>
    <m/>
    <m/>
    <m/>
    <m/>
    <m/>
    <m/>
    <m/>
    <x v="0"/>
    <x v="0"/>
    <s v="Completed"/>
    <s v="In Progress"/>
    <m/>
    <m/>
    <m/>
    <m/>
    <m/>
    <m/>
    <s v="UAT In Test"/>
    <n v="75"/>
    <n v="0"/>
    <n v="0"/>
    <n v="0"/>
    <n v="75"/>
    <n v="1"/>
    <n v="1"/>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s v="  "/>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r>
    <m/>
    <x v="123"/>
    <x v="124"/>
    <x v="14"/>
    <m/>
    <m/>
    <m/>
    <m/>
    <m/>
    <x v="3"/>
    <x v="2"/>
    <m/>
    <x v="0"/>
    <m/>
    <m/>
    <m/>
    <m/>
    <m/>
    <m/>
    <m/>
    <m/>
    <m/>
    <x v="2"/>
    <x v="3"/>
    <m/>
    <m/>
    <m/>
    <m/>
    <m/>
    <m/>
    <m/>
    <m/>
    <m/>
    <m/>
    <m/>
    <m/>
    <m/>
    <m/>
    <m/>
    <m/>
    <m/>
    <x v="36"/>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74190F-47BD-4713-92EF-228F7239FFA0}" name="PivotTable2" cacheId="133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H4:J68" firstHeaderRow="1" firstDataRow="2" firstDataCol="1" rowPageCount="2" colPageCount="1"/>
  <pivotFields count="43">
    <pivotField compact="0" outline="0" showAll="0"/>
    <pivotField dataField="1" compact="0" outline="0" showAll="0"/>
    <pivotField compact="0" outline="0" showAll="0"/>
    <pivotField axis="axisPage" compact="0" outline="0" multipleItemSelectionAllowed="1" showAll="0" defaultSubtotal="0">
      <items count="15">
        <item x="10"/>
        <item x="9"/>
        <item x="6"/>
        <item x="4"/>
        <item x="7"/>
        <item x="8"/>
        <item x="5"/>
        <item x="0"/>
        <item x="13"/>
        <item x="1"/>
        <item x="3"/>
        <item x="2"/>
        <item x="11"/>
        <item x="12"/>
        <item x="14"/>
      </items>
    </pivotField>
    <pivotField compact="0" outline="0" showAll="0"/>
    <pivotField compact="0" outline="0" showAll="0"/>
    <pivotField compact="0" outline="0" showAll="0"/>
    <pivotField compact="0" outline="0" showAll="0"/>
    <pivotField compact="0" outline="0" showAll="0"/>
    <pivotField axis="axisRow" compact="0" outline="0" showAll="0" sortType="descending">
      <items count="76">
        <item x="69"/>
        <item x="64"/>
        <item x="72"/>
        <item x="15"/>
        <item x="32"/>
        <item x="18"/>
        <item x="65"/>
        <item x="1"/>
        <item x="14"/>
        <item x="47"/>
        <item x="66"/>
        <item x="26"/>
        <item x="35"/>
        <item x="2"/>
        <item x="43"/>
        <item x="23"/>
        <item x="42"/>
        <item x="30"/>
        <item x="40"/>
        <item x="63"/>
        <item x="45"/>
        <item x="70"/>
        <item x="62"/>
        <item x="34"/>
        <item x="68"/>
        <item x="51"/>
        <item x="46"/>
        <item x="54"/>
        <item x="59"/>
        <item x="22"/>
        <item x="33"/>
        <item x="29"/>
        <item x="20"/>
        <item x="74"/>
        <item x="13"/>
        <item x="11"/>
        <item x="7"/>
        <item x="52"/>
        <item x="31"/>
        <item x="9"/>
        <item x="50"/>
        <item x="57"/>
        <item x="25"/>
        <item x="21"/>
        <item x="58"/>
        <item x="17"/>
        <item x="0"/>
        <item x="38"/>
        <item x="8"/>
        <item x="48"/>
        <item x="5"/>
        <item x="4"/>
        <item x="37"/>
        <item x="24"/>
        <item x="19"/>
        <item x="16"/>
        <item x="41"/>
        <item x="60"/>
        <item x="28"/>
        <item x="39"/>
        <item x="71"/>
        <item x="6"/>
        <item x="10"/>
        <item x="44"/>
        <item x="73"/>
        <item x="36"/>
        <item x="49"/>
        <item x="67"/>
        <item x="27"/>
        <item x="55"/>
        <item x="53"/>
        <item x="12"/>
        <item x="56"/>
        <item x="61"/>
        <item x="3"/>
        <item t="default"/>
      </items>
      <autoSortScope>
        <pivotArea dataOnly="0" outline="0" fieldPosition="0">
          <references count="1">
            <reference field="4294967294" count="1" selected="0">
              <x v="1"/>
            </reference>
          </references>
        </pivotArea>
      </autoSortScope>
    </pivotField>
    <pivotField axis="axisPage" compact="0" outline="0" multipleItemSelectionAllowed="1" showAll="0">
      <items count="4">
        <item h="1" x="1"/>
        <item x="0"/>
        <item h="1"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63">
    <i>
      <x v="35"/>
    </i>
    <i>
      <x v="55"/>
    </i>
    <i>
      <x v="45"/>
    </i>
    <i>
      <x v="1"/>
    </i>
    <i>
      <x v="67"/>
    </i>
    <i>
      <x v="2"/>
    </i>
    <i>
      <x v="41"/>
    </i>
    <i>
      <x v="3"/>
    </i>
    <i>
      <x v="51"/>
    </i>
    <i>
      <x v="4"/>
    </i>
    <i>
      <x v="60"/>
    </i>
    <i>
      <x v="5"/>
    </i>
    <i>
      <x/>
    </i>
    <i>
      <x v="6"/>
    </i>
    <i>
      <x v="38"/>
    </i>
    <i>
      <x v="7"/>
    </i>
    <i>
      <x v="43"/>
    </i>
    <i>
      <x v="8"/>
    </i>
    <i>
      <x v="48"/>
    </i>
    <i>
      <x v="9"/>
    </i>
    <i>
      <x v="53"/>
    </i>
    <i>
      <x v="10"/>
    </i>
    <i>
      <x v="58"/>
    </i>
    <i>
      <x v="11"/>
    </i>
    <i>
      <x v="62"/>
    </i>
    <i>
      <x v="12"/>
    </i>
    <i>
      <x v="69"/>
    </i>
    <i>
      <x v="13"/>
    </i>
    <i>
      <x v="34"/>
    </i>
    <i>
      <x v="14"/>
    </i>
    <i>
      <x v="36"/>
    </i>
    <i>
      <x v="15"/>
    </i>
    <i>
      <x v="39"/>
    </i>
    <i>
      <x v="17"/>
    </i>
    <i>
      <x v="42"/>
    </i>
    <i>
      <x v="18"/>
    </i>
    <i>
      <x v="44"/>
    </i>
    <i>
      <x v="19"/>
    </i>
    <i>
      <x v="46"/>
    </i>
    <i>
      <x v="20"/>
    </i>
    <i>
      <x v="50"/>
    </i>
    <i>
      <x v="22"/>
    </i>
    <i>
      <x v="52"/>
    </i>
    <i>
      <x v="23"/>
    </i>
    <i>
      <x v="54"/>
    </i>
    <i>
      <x v="24"/>
    </i>
    <i>
      <x v="57"/>
    </i>
    <i>
      <x v="27"/>
    </i>
    <i>
      <x v="59"/>
    </i>
    <i>
      <x v="28"/>
    </i>
    <i>
      <x v="61"/>
    </i>
    <i>
      <x v="29"/>
    </i>
    <i>
      <x v="65"/>
    </i>
    <i>
      <x v="30"/>
    </i>
    <i>
      <x v="68"/>
    </i>
    <i>
      <x v="31"/>
    </i>
    <i>
      <x v="71"/>
    </i>
    <i>
      <x v="32"/>
    </i>
    <i>
      <x v="33"/>
    </i>
    <i>
      <x v="73"/>
    </i>
    <i>
      <x v="64"/>
    </i>
    <i>
      <x v="26"/>
    </i>
    <i t="grand">
      <x/>
    </i>
  </rowItems>
  <colFields count="1">
    <field x="-2"/>
  </colFields>
  <colItems count="2">
    <i>
      <x/>
    </i>
    <i i="1">
      <x v="1"/>
    </i>
  </colItems>
  <pageFields count="2">
    <pageField fld="10" hier="-1"/>
    <pageField fld="3" hier="-1"/>
  </pageFields>
  <dataFields count="2">
    <dataField name="Count of Parent Title" fld="1" subtotal="count" baseField="0" baseItem="0" numFmtId="1"/>
    <dataField name="Average of If insprint YES - % of completion" fld="15" subtotal="average" baseField="8" baseItem="0" numFmtId="9"/>
  </dataFields>
  <formats count="18">
    <format dxfId="123">
      <pivotArea outline="0" collapsedLevelsAreSubtotals="1" fieldPosition="0"/>
    </format>
    <format dxfId="124">
      <pivotArea dataOnly="0" labelOnly="1" outline="0" axis="axisValues" fieldPosition="0"/>
    </format>
    <format dxfId="125">
      <pivotArea outline="0" collapsedLevelsAreSubtotals="1" fieldPosition="0"/>
    </format>
    <format dxfId="126">
      <pivotArea outline="0" collapsedLevelsAreSubtotals="1" fieldPosition="0">
        <references count="1">
          <reference field="4294967294" count="1" selected="0">
            <x v="0"/>
          </reference>
        </references>
      </pivotArea>
    </format>
    <format dxfId="127">
      <pivotArea type="all" dataOnly="0" outline="0" fieldPosition="0"/>
    </format>
    <format dxfId="128">
      <pivotArea outline="0" collapsedLevelsAreSubtotals="1" fieldPosition="0"/>
    </format>
    <format dxfId="129">
      <pivotArea dataOnly="0" labelOnly="1" grandRow="1" outline="0" fieldPosition="0"/>
    </format>
    <format dxfId="130">
      <pivotArea dataOnly="0" labelOnly="1" outline="0" fieldPosition="0">
        <references count="1">
          <reference field="4294967294" count="2">
            <x v="0"/>
            <x v="1"/>
          </reference>
        </references>
      </pivotArea>
    </format>
    <format dxfId="131">
      <pivotArea type="all" dataOnly="0" outline="0" fieldPosition="0"/>
    </format>
    <format dxfId="132">
      <pivotArea outline="0" collapsedLevelsAreSubtotals="1" fieldPosition="0"/>
    </format>
    <format dxfId="133">
      <pivotArea type="origin" dataOnly="0" labelOnly="1" outline="0" fieldPosition="0"/>
    </format>
    <format dxfId="134">
      <pivotArea field="-2" type="button" dataOnly="0" labelOnly="1" outline="0" axis="axisCol" fieldPosition="0"/>
    </format>
    <format dxfId="135">
      <pivotArea type="topRight" dataOnly="0" labelOnly="1" outline="0" fieldPosition="0"/>
    </format>
    <format dxfId="136">
      <pivotArea field="9" type="button" dataOnly="0" labelOnly="1" outline="0" axis="axisRow" fieldPosition="0"/>
    </format>
    <format dxfId="137">
      <pivotArea dataOnly="0" labelOnly="1" outline="0" fieldPosition="0">
        <references count="1">
          <reference field="9" count="50">
            <x v="0"/>
            <x v="1"/>
            <x v="2"/>
            <x v="3"/>
            <x v="4"/>
            <x v="5"/>
            <x v="6"/>
            <x v="7"/>
            <x v="8"/>
            <x v="9"/>
            <x v="10"/>
            <x v="11"/>
            <x v="12"/>
            <x v="13"/>
            <x v="14"/>
            <x v="15"/>
            <x v="17"/>
            <x v="18"/>
            <x v="19"/>
            <x v="20"/>
            <x v="22"/>
            <x v="23"/>
            <x v="24"/>
            <x v="26"/>
            <x v="27"/>
            <x v="28"/>
            <x v="29"/>
            <x v="30"/>
            <x v="31"/>
            <x v="32"/>
            <x v="33"/>
            <x v="34"/>
            <x v="35"/>
            <x v="36"/>
            <x v="38"/>
            <x v="39"/>
            <x v="41"/>
            <x v="42"/>
            <x v="43"/>
            <x v="44"/>
            <x v="45"/>
            <x v="46"/>
            <x v="48"/>
            <x v="50"/>
            <x v="51"/>
            <x v="52"/>
            <x v="53"/>
            <x v="54"/>
            <x v="55"/>
            <x v="57"/>
          </reference>
        </references>
      </pivotArea>
    </format>
    <format dxfId="138">
      <pivotArea dataOnly="0" labelOnly="1" outline="0" fieldPosition="0">
        <references count="1">
          <reference field="9" count="12">
            <x v="58"/>
            <x v="59"/>
            <x v="60"/>
            <x v="61"/>
            <x v="62"/>
            <x v="64"/>
            <x v="65"/>
            <x v="67"/>
            <x v="68"/>
            <x v="69"/>
            <x v="71"/>
            <x v="73"/>
          </reference>
        </references>
      </pivotArea>
    </format>
    <format dxfId="139">
      <pivotArea dataOnly="0" labelOnly="1" grandRow="1" outline="0" fieldPosition="0"/>
    </format>
    <format dxfId="14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D65685-6452-4EAC-8443-CD3843142FB2}" name="PivotTable3" cacheId="13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19" firstHeaderRow="1" firstDataRow="1" firstDataCol="1" rowPageCount="1" colPageCount="1"/>
  <pivotFields count="43">
    <pivotField showAll="0"/>
    <pivotField dataField="1" showAll="0"/>
    <pivotField showAll="0"/>
    <pivotField showAll="0"/>
    <pivotField showAll="0"/>
    <pivotField showAll="0"/>
    <pivotField showAll="0"/>
    <pivotField showAll="0"/>
    <pivotField showAll="0"/>
    <pivotField showAll="0"/>
    <pivotField axis="axisPage" multipleItemSelectionAllowed="1" showAll="0">
      <items count="4">
        <item x="1"/>
        <item h="1" x="0"/>
        <item x="2"/>
        <item t="default"/>
      </items>
    </pivotField>
    <pivotField showAll="0"/>
    <pivotField axis="axisRow" showAll="0" sortType="descending">
      <items count="17">
        <item x="13"/>
        <item x="5"/>
        <item x="3"/>
        <item x="8"/>
        <item x="4"/>
        <item x="14"/>
        <item x="10"/>
        <item x="6"/>
        <item x="11"/>
        <item x="2"/>
        <item x="9"/>
        <item x="1"/>
        <item x="7"/>
        <item x="0"/>
        <item m="1" x="15"/>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16">
    <i>
      <x v="10"/>
    </i>
    <i>
      <x v="1"/>
    </i>
    <i>
      <x v="2"/>
    </i>
    <i>
      <x v="5"/>
    </i>
    <i>
      <x v="8"/>
    </i>
    <i>
      <x v="3"/>
    </i>
    <i>
      <x v="9"/>
    </i>
    <i>
      <x v="11"/>
    </i>
    <i>
      <x v="6"/>
    </i>
    <i>
      <x v="4"/>
    </i>
    <i>
      <x/>
    </i>
    <i>
      <x v="7"/>
    </i>
    <i>
      <x v="12"/>
    </i>
    <i>
      <x v="15"/>
    </i>
    <i>
      <x v="13"/>
    </i>
    <i t="grand">
      <x/>
    </i>
  </rowItems>
  <colItems count="1">
    <i/>
  </colItems>
  <pageFields count="1">
    <pageField fld="10" hier="-1"/>
  </pageFields>
  <dataFields count="1">
    <dataField name="Count of Parent Title" fld="1" subtotal="count" baseField="0" baseItem="0"/>
  </dataFields>
  <formats count="10">
    <format dxfId="113">
      <pivotArea outline="0" collapsedLevelsAreSubtotals="1" fieldPosition="0"/>
    </format>
    <format dxfId="114">
      <pivotArea dataOnly="0" labelOnly="1" grandRow="1" outline="0" fieldPosition="0"/>
    </format>
    <format dxfId="115">
      <pivotArea dataOnly="0" labelOnly="1" grandCol="1" outline="0" fieldPosition="0"/>
    </format>
    <format dxfId="116">
      <pivotArea outline="0" collapsedLevelsAreSubtotals="1" fieldPosition="0"/>
    </format>
    <format dxfId="117">
      <pivotArea dataOnly="0" labelOnly="1" grandRow="1" outline="0" fieldPosition="0"/>
    </format>
    <format dxfId="118">
      <pivotArea dataOnly="0" labelOnly="1" grandCol="1" outline="0" fieldPosition="0"/>
    </format>
    <format dxfId="119">
      <pivotArea type="all" dataOnly="0" outline="0" fieldPosition="0"/>
    </format>
    <format dxfId="120">
      <pivotArea outline="0" collapsedLevelsAreSubtotals="1" fieldPosition="0"/>
    </format>
    <format dxfId="121">
      <pivotArea dataOnly="0" labelOnly="1" grandRow="1" outline="0" fieldPosition="0"/>
    </format>
    <format dxfId="1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F98FFF-D939-4F2D-A9CA-068B92A11E32}" name="PivotTable1" cacheId="13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 firstHeaderRow="1" firstDataRow="2" firstDataCol="1"/>
  <pivotFields count="43">
    <pivotField showAll="0"/>
    <pivotField dataField="1" showAll="0"/>
    <pivotField showAll="0"/>
    <pivotField axis="axisRow" showAll="0">
      <items count="16">
        <item x="10"/>
        <item x="9"/>
        <item x="6"/>
        <item x="4"/>
        <item x="7"/>
        <item x="8"/>
        <item x="5"/>
        <item x="0"/>
        <item x="13"/>
        <item x="1"/>
        <item x="3"/>
        <item x="2"/>
        <item x="11"/>
        <item x="12"/>
        <item h="1" x="14"/>
        <item t="default"/>
      </items>
    </pivotField>
    <pivotField showAll="0"/>
    <pivotField showAll="0"/>
    <pivotField showAll="0"/>
    <pivotField showAll="0"/>
    <pivotField showAll="0"/>
    <pivotField showAll="0"/>
    <pivotField axis="axisCol"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5">
    <i>
      <x/>
    </i>
    <i>
      <x v="1"/>
    </i>
    <i>
      <x v="2"/>
    </i>
    <i>
      <x v="3"/>
    </i>
    <i>
      <x v="4"/>
    </i>
    <i>
      <x v="5"/>
    </i>
    <i>
      <x v="6"/>
    </i>
    <i>
      <x v="7"/>
    </i>
    <i>
      <x v="8"/>
    </i>
    <i>
      <x v="9"/>
    </i>
    <i>
      <x v="10"/>
    </i>
    <i>
      <x v="11"/>
    </i>
    <i>
      <x v="12"/>
    </i>
    <i>
      <x v="13"/>
    </i>
    <i t="grand">
      <x/>
    </i>
  </rowItems>
  <colFields count="1">
    <field x="10"/>
  </colFields>
  <colItems count="3">
    <i>
      <x/>
    </i>
    <i>
      <x v="1"/>
    </i>
    <i t="grand">
      <x/>
    </i>
  </colItems>
  <dataFields count="1">
    <dataField name="Count of Parent Title" fld="1" subtotal="count" baseField="0" baseItem="0"/>
  </dataFields>
  <formats count="12">
    <format dxfId="101">
      <pivotArea outline="0" collapsedLevelsAreSubtotals="1" fieldPosition="0"/>
    </format>
    <format dxfId="102">
      <pivotArea dataOnly="0" labelOnly="1" grandRow="1" outline="0" fieldPosition="0"/>
    </format>
    <format dxfId="103">
      <pivotArea dataOnly="0" labelOnly="1" grandCol="1" outline="0" fieldPosition="0"/>
    </format>
    <format dxfId="104">
      <pivotArea outline="0" collapsedLevelsAreSubtotals="1" fieldPosition="0"/>
    </format>
    <format dxfId="105">
      <pivotArea dataOnly="0" labelOnly="1" grandRow="1" outline="0" fieldPosition="0"/>
    </format>
    <format dxfId="106">
      <pivotArea dataOnly="0" labelOnly="1" grandCol="1" outline="0" fieldPosition="0"/>
    </format>
    <format dxfId="107">
      <pivotArea outline="0" collapsedLevelsAreSubtotals="1" fieldPosition="0"/>
    </format>
    <format dxfId="108">
      <pivotArea field="3" type="button" dataOnly="0" labelOnly="1" outline="0" axis="axisRow" fieldPosition="0"/>
    </format>
    <format dxfId="109">
      <pivotArea dataOnly="0" labelOnly="1" fieldPosition="0">
        <references count="1">
          <reference field="3" count="0"/>
        </references>
      </pivotArea>
    </format>
    <format dxfId="110">
      <pivotArea dataOnly="0" labelOnly="1" grandRow="1" outline="0" fieldPosition="0"/>
    </format>
    <format dxfId="111">
      <pivotArea dataOnly="0" labelOnly="1" fieldPosition="0">
        <references count="1">
          <reference field="10" count="0"/>
        </references>
      </pivotArea>
    </format>
    <format dxfId="11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11780F-5482-4D41-A5AC-37C8B3457F4F}" name="PivotTable2" cacheId="13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J130" firstHeaderRow="0" firstDataRow="1" firstDataCol="2" rowPageCount="2" colPageCount="1"/>
  <pivotFields count="43">
    <pivotField compact="0" outline="0" showAll="0"/>
    <pivotField axis="axisRow" compact="0" outline="0" showAll="0" defaultSubtotal="0">
      <items count="125">
        <item x="49"/>
        <item x="54"/>
        <item x="52"/>
        <item x="45"/>
        <item x="75"/>
        <item x="21"/>
        <item x="24"/>
        <item x="48"/>
        <item x="11"/>
        <item x="10"/>
        <item x="0"/>
        <item x="123"/>
        <item x="6"/>
        <item x="60"/>
        <item x="1"/>
        <item x="5"/>
        <item x="8"/>
        <item x="12"/>
        <item m="1" x="124"/>
        <item x="14"/>
        <item x="15"/>
        <item x="16"/>
        <item x="17"/>
        <item x="18"/>
        <item x="19"/>
        <item x="20"/>
        <item x="22"/>
        <item x="23"/>
        <item x="25"/>
        <item x="26"/>
        <item x="27"/>
        <item x="28"/>
        <item x="29"/>
        <item x="33"/>
        <item x="37"/>
        <item x="38"/>
        <item x="39"/>
        <item x="40"/>
        <item x="7"/>
        <item x="41"/>
        <item x="42"/>
        <item x="43"/>
        <item x="46"/>
        <item x="47"/>
        <item x="50"/>
        <item x="51"/>
        <item x="53"/>
        <item x="55"/>
        <item x="58"/>
        <item x="34"/>
        <item x="62"/>
        <item x="63"/>
        <item x="64"/>
        <item x="72"/>
        <item x="73"/>
        <item x="74"/>
        <item x="76"/>
        <item x="78"/>
        <item x="79"/>
        <item x="80"/>
        <item x="83"/>
        <item x="85"/>
        <item x="87"/>
        <item x="86"/>
        <item x="89"/>
        <item x="90"/>
        <item x="91"/>
        <item x="92"/>
        <item x="95"/>
        <item x="13"/>
        <item x="31"/>
        <item x="32"/>
        <item x="35"/>
        <item x="44"/>
        <item x="56"/>
        <item x="57"/>
        <item x="68"/>
        <item x="66"/>
        <item x="97"/>
        <item x="98"/>
        <item x="99"/>
        <item x="100"/>
        <item x="101"/>
        <item x="102"/>
        <item x="36"/>
        <item x="61"/>
        <item x="67"/>
        <item x="69"/>
        <item x="81"/>
        <item x="103"/>
        <item x="104"/>
        <item x="106"/>
        <item x="107"/>
        <item x="108"/>
        <item x="109"/>
        <item x="110"/>
        <item x="111"/>
        <item x="112"/>
        <item x="113"/>
        <item x="114"/>
        <item x="115"/>
        <item x="116"/>
        <item x="117"/>
        <item x="118"/>
        <item x="119"/>
        <item x="77"/>
        <item x="105"/>
        <item x="4"/>
        <item x="65"/>
        <item x="93"/>
        <item x="94"/>
        <item x="9"/>
        <item x="30"/>
        <item x="59"/>
        <item x="82"/>
        <item x="84"/>
        <item x="88"/>
        <item x="96"/>
        <item x="121"/>
        <item x="120"/>
        <item x="122"/>
        <item x="2"/>
        <item x="3"/>
        <item x="70"/>
        <item x="71"/>
      </items>
    </pivotField>
    <pivotField axis="axisRow" compact="0" outline="0" showAll="0" defaultSubtotal="0">
      <items count="266">
        <item m="1" x="260"/>
        <item m="1" x="259"/>
        <item m="1" x="262"/>
        <item m="1" x="168"/>
        <item m="1" x="172"/>
        <item m="1" x="199"/>
        <item m="1" x="173"/>
        <item m="1" x="238"/>
        <item m="1" x="239"/>
        <item m="1" x="240"/>
        <item m="1" x="263"/>
        <item m="1" x="242"/>
        <item m="1" x="170"/>
        <item m="1" x="141"/>
        <item x="76"/>
        <item m="1" x="232"/>
        <item m="1" x="185"/>
        <item m="1" x="241"/>
        <item x="99"/>
        <item m="1" x="205"/>
        <item m="1" x="186"/>
        <item m="1" x="184"/>
        <item x="107"/>
        <item m="1" x="226"/>
        <item m="1" x="244"/>
        <item m="1" x="175"/>
        <item x="49"/>
        <item m="1" x="243"/>
        <item m="1" x="229"/>
        <item x="10"/>
        <item m="1" x="147"/>
        <item m="1" x="227"/>
        <item m="1" x="265"/>
        <item m="1" x="212"/>
        <item m="1" x="218"/>
        <item m="1" x="135"/>
        <item m="1" x="187"/>
        <item m="1" x="203"/>
        <item m="1" x="211"/>
        <item m="1" x="206"/>
        <item m="1" x="222"/>
        <item m="1" x="209"/>
        <item x="85"/>
        <item x="25"/>
        <item m="1" x="178"/>
        <item m="1" x="160"/>
        <item x="22"/>
        <item m="1" x="250"/>
        <item m="1" x="213"/>
        <item m="1" x="202"/>
        <item m="1" x="161"/>
        <item m="1" x="183"/>
        <item m="1" x="162"/>
        <item m="1" x="174"/>
        <item m="1" x="176"/>
        <item m="1" x="158"/>
        <item m="1" x="171"/>
        <item m="1" x="246"/>
        <item m="1" x="191"/>
        <item m="1" x="190"/>
        <item m="1" x="163"/>
        <item m="1" x="165"/>
        <item m="1" x="164"/>
        <item m="1" x="221"/>
        <item m="1" x="177"/>
        <item m="1" x="200"/>
        <item m="1" x="228"/>
        <item m="1" x="219"/>
        <item m="1" x="195"/>
        <item m="1" x="166"/>
        <item m="1" x="247"/>
        <item m="1" x="252"/>
        <item m="1" x="189"/>
        <item m="1" x="254"/>
        <item m="1" x="255"/>
        <item m="1" x="257"/>
        <item x="113"/>
        <item m="1" x="256"/>
        <item m="1" x="249"/>
        <item m="1" x="248"/>
        <item m="1" x="169"/>
        <item m="1" x="208"/>
        <item m="1" x="231"/>
        <item m="1" x="220"/>
        <item m="1" x="236"/>
        <item m="1" x="225"/>
        <item m="1" x="192"/>
        <item m="1" x="198"/>
        <item m="1" x="196"/>
        <item m="1" x="167"/>
        <item x="101"/>
        <item m="1" x="230"/>
        <item m="1" x="197"/>
        <item x="110"/>
        <item x="111"/>
        <item m="1" x="233"/>
        <item m="1" x="204"/>
        <item m="1" x="258"/>
        <item x="46"/>
        <item m="1" x="235"/>
        <item m="1" x="159"/>
        <item m="1" x="179"/>
        <item m="1" x="180"/>
        <item m="1" x="188"/>
        <item m="1" x="155"/>
        <item m="1" x="207"/>
        <item m="1" x="125"/>
        <item m="1" x="224"/>
        <item m="1" x="193"/>
        <item m="1" x="194"/>
        <item m="1" x="253"/>
        <item m="1" x="251"/>
        <item m="1" x="234"/>
        <item m="1" x="201"/>
        <item x="53"/>
        <item m="1" x="210"/>
        <item m="1" x="181"/>
        <item m="1" x="214"/>
        <item x="0"/>
        <item m="1" x="223"/>
        <item m="1" x="245"/>
        <item m="1" x="182"/>
        <item m="1" x="264"/>
        <item x="124"/>
        <item m="1" x="215"/>
        <item m="1" x="216"/>
        <item m="1" x="237"/>
        <item m="1" x="217"/>
        <item m="1" x="261"/>
        <item x="6"/>
        <item m="1" x="131"/>
        <item m="1" x="142"/>
        <item x="1"/>
        <item m="1" x="143"/>
        <item m="1" x="144"/>
        <item x="2"/>
        <item m="1" x="132"/>
        <item m="1" x="133"/>
        <item m="1" x="145"/>
        <item m="1" x="146"/>
        <item m="1" x="128"/>
        <item m="1" x="148"/>
        <item x="4"/>
        <item m="1" x="134"/>
        <item x="5"/>
        <item x="8"/>
        <item x="9"/>
        <item m="1" x="149"/>
        <item x="11"/>
        <item x="12"/>
        <item x="14"/>
        <item x="15"/>
        <item x="16"/>
        <item x="17"/>
        <item m="1" x="150"/>
        <item x="18"/>
        <item x="19"/>
        <item x="20"/>
        <item x="21"/>
        <item x="23"/>
        <item x="24"/>
        <item m="1" x="151"/>
        <item x="26"/>
        <item m="1" x="152"/>
        <item x="27"/>
        <item x="28"/>
        <item x="29"/>
        <item x="30"/>
        <item m="1" x="153"/>
        <item m="1" x="154"/>
        <item x="34"/>
        <item x="38"/>
        <item x="39"/>
        <item x="40"/>
        <item x="41"/>
        <item x="7"/>
        <item x="42"/>
        <item x="43"/>
        <item x="44"/>
        <item x="61"/>
        <item x="47"/>
        <item x="48"/>
        <item m="1" x="129"/>
        <item x="50"/>
        <item x="51"/>
        <item x="52"/>
        <item x="54"/>
        <item x="56"/>
        <item x="57"/>
        <item x="59"/>
        <item x="35"/>
        <item x="60"/>
        <item x="63"/>
        <item x="64"/>
        <item m="1" x="126"/>
        <item x="65"/>
        <item x="66"/>
        <item m="1" x="156"/>
        <item x="73"/>
        <item x="74"/>
        <item m="1" x="127"/>
        <item x="75"/>
        <item x="77"/>
        <item x="78"/>
        <item x="79"/>
        <item x="80"/>
        <item x="81"/>
        <item x="83"/>
        <item x="84"/>
        <item x="86"/>
        <item x="88"/>
        <item x="87"/>
        <item x="89"/>
        <item x="90"/>
        <item x="91"/>
        <item x="92"/>
        <item x="93"/>
        <item m="1" x="136"/>
        <item m="1" x="137"/>
        <item sd="0" x="94"/>
        <item m="1" x="157"/>
        <item x="95"/>
        <item x="96"/>
        <item m="1" x="138"/>
        <item x="13"/>
        <item x="31"/>
        <item x="32"/>
        <item x="33"/>
        <item x="36"/>
        <item x="37"/>
        <item x="45"/>
        <item x="55"/>
        <item x="58"/>
        <item x="69"/>
        <item x="67"/>
        <item x="68"/>
        <item m="1" x="130"/>
        <item x="82"/>
        <item x="97"/>
        <item m="1" x="139"/>
        <item x="98"/>
        <item x="100"/>
        <item x="102"/>
        <item x="103"/>
        <item m="1" x="140"/>
        <item x="62"/>
        <item x="70"/>
        <item x="104"/>
        <item x="105"/>
        <item x="106"/>
        <item x="108"/>
        <item x="109"/>
        <item x="112"/>
        <item x="114"/>
        <item x="115"/>
        <item x="116"/>
        <item x="117"/>
        <item x="118"/>
        <item x="119"/>
        <item x="120"/>
        <item x="121"/>
        <item x="122"/>
        <item x="123"/>
        <item x="3"/>
        <item x="71"/>
        <item x="72"/>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5">
        <item x="0"/>
        <item m="1" x="3"/>
        <item x="1"/>
        <item x="2"/>
        <item t="default"/>
      </items>
    </pivotField>
    <pivotField dataField="1"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axis="axisPage" compact="0" outline="0" showAll="0">
      <items count="52">
        <item x="36"/>
        <item m="1" x="50"/>
        <item x="0"/>
        <item x="2"/>
        <item x="3"/>
        <item x="4"/>
        <item x="6"/>
        <item x="7"/>
        <item x="8"/>
        <item x="9"/>
        <item x="10"/>
        <item x="11"/>
        <item x="12"/>
        <item x="14"/>
        <item x="15"/>
        <item x="17"/>
        <item x="18"/>
        <item x="19"/>
        <item x="20"/>
        <item x="48"/>
        <item x="16"/>
        <item x="21"/>
        <item x="22"/>
        <item x="23"/>
        <item x="24"/>
        <item x="25"/>
        <item x="26"/>
        <item x="28"/>
        <item x="27"/>
        <item x="29"/>
        <item x="30"/>
        <item x="31"/>
        <item x="33"/>
        <item x="34"/>
        <item x="35"/>
        <item x="37"/>
        <item x="38"/>
        <item x="39"/>
        <item x="40"/>
        <item x="41"/>
        <item x="42"/>
        <item x="43"/>
        <item x="44"/>
        <item x="45"/>
        <item x="46"/>
        <item x="47"/>
        <item x="1"/>
        <item x="5"/>
        <item x="13"/>
        <item x="49"/>
        <item x="32"/>
        <item t="default"/>
      </items>
    </pivotField>
    <pivotField axis="axisPage" compact="0" outline="0" showAll="0">
      <items count="21">
        <item x="11"/>
        <item m="1" x="19"/>
        <item x="0"/>
        <item x="1"/>
        <item x="2"/>
        <item x="3"/>
        <item x="4"/>
        <item x="5"/>
        <item x="6"/>
        <item x="7"/>
        <item x="18"/>
        <item x="8"/>
        <item x="9"/>
        <item x="13"/>
        <item x="14"/>
        <item x="16"/>
        <item x="17"/>
        <item x="12"/>
        <item x="15"/>
        <item x="10"/>
        <item t="default"/>
      </items>
    </pivotField>
  </pivotFields>
  <rowFields count="2">
    <field x="2"/>
    <field x="1"/>
  </rowFields>
  <rowItems count="126">
    <i>
      <x v="14"/>
      <x v="4"/>
    </i>
    <i>
      <x v="18"/>
      <x v="79"/>
    </i>
    <i>
      <x v="22"/>
      <x v="91"/>
    </i>
    <i>
      <x v="26"/>
      <x v="7"/>
    </i>
    <i>
      <x v="29"/>
      <x v="9"/>
    </i>
    <i>
      <x v="42"/>
      <x v="115"/>
    </i>
    <i>
      <x v="43"/>
      <x v="6"/>
    </i>
    <i>
      <x v="46"/>
      <x v="5"/>
    </i>
    <i>
      <x v="76"/>
      <x v="97"/>
    </i>
    <i>
      <x v="90"/>
      <x v="81"/>
    </i>
    <i>
      <x v="93"/>
      <x v="94"/>
    </i>
    <i>
      <x v="94"/>
      <x v="95"/>
    </i>
    <i>
      <x v="98"/>
      <x v="3"/>
    </i>
    <i>
      <x v="114"/>
      <x v="2"/>
    </i>
    <i>
      <x v="118"/>
      <x v="10"/>
    </i>
    <i>
      <x v="123"/>
      <x v="11"/>
    </i>
    <i>
      <x v="129"/>
      <x v="12"/>
    </i>
    <i>
      <x v="132"/>
      <x v="14"/>
    </i>
    <i>
      <x v="135"/>
      <x v="121"/>
    </i>
    <i>
      <x v="142"/>
      <x v="107"/>
    </i>
    <i>
      <x v="144"/>
      <x v="15"/>
    </i>
    <i>
      <x v="145"/>
      <x v="16"/>
    </i>
    <i>
      <x v="146"/>
      <x v="111"/>
    </i>
    <i>
      <x v="148"/>
      <x v="8"/>
    </i>
    <i>
      <x v="149"/>
      <x v="17"/>
    </i>
    <i>
      <x v="150"/>
      <x v="8"/>
    </i>
    <i>
      <x v="151"/>
      <x v="19"/>
    </i>
    <i>
      <x v="152"/>
      <x v="20"/>
    </i>
    <i>
      <x v="153"/>
      <x v="21"/>
    </i>
    <i>
      <x v="155"/>
      <x v="22"/>
    </i>
    <i>
      <x v="156"/>
      <x v="23"/>
    </i>
    <i>
      <x v="157"/>
      <x v="24"/>
    </i>
    <i>
      <x v="158"/>
      <x v="25"/>
    </i>
    <i>
      <x v="159"/>
      <x v="26"/>
    </i>
    <i>
      <x v="160"/>
      <x v="27"/>
    </i>
    <i>
      <x v="162"/>
      <x v="28"/>
    </i>
    <i>
      <x v="164"/>
      <x v="29"/>
    </i>
    <i>
      <x v="165"/>
      <x v="30"/>
    </i>
    <i>
      <x v="166"/>
      <x v="31"/>
    </i>
    <i>
      <x v="167"/>
      <x v="32"/>
    </i>
    <i>
      <x v="170"/>
      <x v="33"/>
    </i>
    <i>
      <x v="171"/>
      <x v="34"/>
    </i>
    <i>
      <x v="172"/>
      <x v="35"/>
    </i>
    <i>
      <x v="173"/>
      <x v="36"/>
    </i>
    <i>
      <x v="174"/>
      <x v="37"/>
    </i>
    <i>
      <x v="175"/>
      <x v="38"/>
    </i>
    <i>
      <x v="176"/>
      <x v="39"/>
    </i>
    <i>
      <x v="177"/>
      <x v="40"/>
    </i>
    <i>
      <x v="178"/>
      <x v="41"/>
    </i>
    <i>
      <x v="179"/>
      <x v="13"/>
    </i>
    <i>
      <x v="180"/>
      <x v="42"/>
    </i>
    <i>
      <x v="181"/>
      <x v="43"/>
    </i>
    <i>
      <x v="183"/>
      <x/>
    </i>
    <i>
      <x v="184"/>
      <x v="44"/>
    </i>
    <i>
      <x v="185"/>
      <x v="45"/>
    </i>
    <i>
      <x v="186"/>
      <x v="46"/>
    </i>
    <i>
      <x v="187"/>
      <x v="47"/>
    </i>
    <i>
      <x v="188"/>
      <x v="74"/>
    </i>
    <i>
      <x v="189"/>
      <x v="48"/>
    </i>
    <i>
      <x v="190"/>
      <x v="49"/>
    </i>
    <i>
      <x v="191"/>
      <x v="113"/>
    </i>
    <i>
      <x v="192"/>
      <x v="50"/>
    </i>
    <i>
      <x v="193"/>
      <x v="51"/>
    </i>
    <i>
      <x v="195"/>
      <x v="52"/>
    </i>
    <i>
      <x v="196"/>
      <x v="108"/>
    </i>
    <i>
      <x v="198"/>
      <x v="53"/>
    </i>
    <i>
      <x v="199"/>
      <x v="54"/>
    </i>
    <i>
      <x v="201"/>
      <x v="55"/>
    </i>
    <i>
      <x v="202"/>
      <x v="56"/>
    </i>
    <i>
      <x v="203"/>
      <x v="105"/>
    </i>
    <i>
      <x v="204"/>
      <x v="57"/>
    </i>
    <i>
      <x v="205"/>
      <x v="58"/>
    </i>
    <i>
      <x v="206"/>
      <x v="59"/>
    </i>
    <i>
      <x v="207"/>
      <x v="114"/>
    </i>
    <i>
      <x v="208"/>
      <x v="60"/>
    </i>
    <i>
      <x v="209"/>
      <x v="61"/>
    </i>
    <i>
      <x v="210"/>
      <x v="62"/>
    </i>
    <i>
      <x v="211"/>
      <x v="63"/>
    </i>
    <i>
      <x v="212"/>
      <x v="116"/>
    </i>
    <i>
      <x v="213"/>
      <x v="64"/>
    </i>
    <i>
      <x v="214"/>
      <x v="65"/>
    </i>
    <i>
      <x v="215"/>
      <x v="66"/>
    </i>
    <i>
      <x v="216"/>
      <x v="67"/>
    </i>
    <i>
      <x v="219"/>
    </i>
    <i>
      <x v="221"/>
      <x v="110"/>
    </i>
    <i>
      <x v="222"/>
      <x v="68"/>
    </i>
    <i>
      <x v="224"/>
      <x v="69"/>
    </i>
    <i>
      <x v="225"/>
      <x v="112"/>
    </i>
    <i>
      <x v="226"/>
      <x v="70"/>
    </i>
    <i>
      <x v="227"/>
      <x v="71"/>
    </i>
    <i>
      <x v="228"/>
      <x v="72"/>
    </i>
    <i>
      <x v="229"/>
      <x v="84"/>
    </i>
    <i>
      <x v="230"/>
      <x v="73"/>
    </i>
    <i>
      <x v="231"/>
      <x v="1"/>
    </i>
    <i>
      <x v="232"/>
      <x v="75"/>
    </i>
    <i>
      <x v="233"/>
      <x v="76"/>
    </i>
    <i>
      <x v="234"/>
      <x v="77"/>
    </i>
    <i>
      <x v="235"/>
      <x v="86"/>
    </i>
    <i>
      <x v="237"/>
      <x v="88"/>
    </i>
    <i>
      <x v="238"/>
      <x v="117"/>
    </i>
    <i>
      <x v="240"/>
      <x v="78"/>
    </i>
    <i>
      <x v="241"/>
      <x v="80"/>
    </i>
    <i>
      <x v="242"/>
      <x v="82"/>
    </i>
    <i>
      <x v="243"/>
      <x v="83"/>
    </i>
    <i>
      <x v="245"/>
      <x v="85"/>
    </i>
    <i>
      <x v="246"/>
      <x v="87"/>
    </i>
    <i>
      <x v="247"/>
      <x v="89"/>
    </i>
    <i>
      <x v="248"/>
      <x v="90"/>
    </i>
    <i>
      <x v="249"/>
      <x v="106"/>
    </i>
    <i>
      <x v="250"/>
      <x v="92"/>
    </i>
    <i>
      <x v="251"/>
      <x v="93"/>
    </i>
    <i>
      <x v="252"/>
      <x v="96"/>
    </i>
    <i>
      <x v="253"/>
      <x v="98"/>
    </i>
    <i>
      <x v="254"/>
      <x v="99"/>
    </i>
    <i>
      <x v="255"/>
      <x v="100"/>
    </i>
    <i>
      <x v="256"/>
      <x v="101"/>
    </i>
    <i>
      <x v="257"/>
      <x v="102"/>
    </i>
    <i>
      <x v="258"/>
      <x v="103"/>
    </i>
    <i>
      <x v="259"/>
      <x v="104"/>
    </i>
    <i>
      <x v="260"/>
      <x v="119"/>
    </i>
    <i>
      <x v="261"/>
      <x v="118"/>
    </i>
    <i>
      <x v="262"/>
      <x v="120"/>
    </i>
    <i>
      <x v="263"/>
      <x v="122"/>
    </i>
    <i>
      <x v="264"/>
      <x v="123"/>
    </i>
    <i>
      <x v="265"/>
      <x v="124"/>
    </i>
    <i t="grand">
      <x/>
    </i>
  </rowItems>
  <colFields count="1">
    <field x="-2"/>
  </colFields>
  <colItems count="8">
    <i>
      <x/>
    </i>
    <i i="1">
      <x v="1"/>
    </i>
    <i i="2">
      <x v="2"/>
    </i>
    <i i="3">
      <x v="3"/>
    </i>
    <i i="4">
      <x v="4"/>
    </i>
    <i i="5">
      <x v="5"/>
    </i>
    <i i="6">
      <x v="6"/>
    </i>
    <i i="7">
      <x v="7"/>
    </i>
  </colItems>
  <pageFields count="2">
    <pageField fld="41" hier="-1"/>
    <pageField fld="42" hier="-1"/>
  </pageFields>
  <dataFields count="8">
    <dataField name="Count of Title" fld="4" subtotal="count" baseField="0" baseItem="0"/>
    <dataField name="Count of Test Planning" fld="22" subtotal="count" baseField="0" baseItem="0"/>
    <dataField name="Count of BA Review" fld="23" subtotal="count" baseField="0" baseItem="0"/>
    <dataField name="Sum of Passed" fld="33" baseField="0" baseItem="0"/>
    <dataField name="Sum of Failed" fld="34" baseField="0" baseItem="0"/>
    <dataField name="Sum of Blocked" fld="35" baseField="0" baseItem="0"/>
    <dataField name="Sum of Not Run" fld="36" baseField="0" baseItem="0"/>
    <dataField name="Sum of Total" fld="37" baseField="0" baseItem="0"/>
  </dataFields>
  <formats count="57">
    <format dxfId="44">
      <pivotArea type="all" dataOnly="0" outline="0" fieldPosition="0"/>
    </format>
    <format dxfId="45">
      <pivotArea outline="0" collapsedLevelsAreSubtotals="1" fieldPosition="0"/>
    </format>
    <format dxfId="46">
      <pivotArea field="2" type="button" dataOnly="0" labelOnly="1" outline="0" axis="axisRow" fieldPosition="0"/>
    </format>
    <format dxfId="47">
      <pivotArea field="1" type="button" dataOnly="0" labelOnly="1" outline="0" axis="axisRow" fieldPosition="1"/>
    </format>
    <format dxfId="48">
      <pivotArea field="22" type="button" dataOnly="0" labelOnly="1" outline="0"/>
    </format>
    <format dxfId="49">
      <pivotArea field="23" type="button" dataOnly="0" labelOnly="1" outline="0"/>
    </format>
    <format dxfId="50">
      <pivotArea dataOnly="0" labelOnly="1" outline="0" fieldPosition="0">
        <references count="1">
          <reference field="2" count="25">
            <x v="0"/>
            <x v="1"/>
            <x v="2"/>
            <x v="3"/>
            <x v="4"/>
            <x v="5"/>
            <x v="6"/>
            <x v="7"/>
            <x v="8"/>
            <x v="9"/>
            <x v="10"/>
            <x v="11"/>
            <x v="12"/>
            <x v="13"/>
            <x v="14"/>
            <x v="15"/>
            <x v="16"/>
            <x v="17"/>
            <x v="18"/>
            <x v="19"/>
            <x v="20"/>
            <x v="21"/>
            <x v="22"/>
            <x v="23"/>
            <x v="24"/>
          </reference>
        </references>
      </pivotArea>
    </format>
    <format dxfId="51">
      <pivotArea dataOnly="0" labelOnly="1" outline="0" fieldPosition="0">
        <references count="1">
          <reference field="2" count="25" defaultSubtotal="1">
            <x v="0"/>
            <x v="1"/>
            <x v="2"/>
            <x v="3"/>
            <x v="4"/>
            <x v="5"/>
            <x v="6"/>
            <x v="7"/>
            <x v="8"/>
            <x v="9"/>
            <x v="10"/>
            <x v="11"/>
            <x v="12"/>
            <x v="13"/>
            <x v="14"/>
            <x v="15"/>
            <x v="16"/>
            <x v="17"/>
            <x v="18"/>
            <x v="19"/>
            <x v="20"/>
            <x v="21"/>
            <x v="22"/>
            <x v="23"/>
            <x v="24"/>
          </reference>
        </references>
      </pivotArea>
    </format>
    <format dxfId="52">
      <pivotArea dataOnly="0" labelOnly="1" outline="0" fieldPosition="0">
        <references count="1">
          <reference field="2" count="25">
            <x v="25"/>
            <x v="26"/>
            <x v="27"/>
            <x v="28"/>
            <x v="29"/>
            <x v="30"/>
            <x v="31"/>
            <x v="32"/>
            <x v="33"/>
            <x v="34"/>
            <x v="35"/>
            <x v="36"/>
            <x v="37"/>
            <x v="38"/>
            <x v="39"/>
            <x v="40"/>
            <x v="41"/>
            <x v="42"/>
            <x v="43"/>
            <x v="44"/>
            <x v="45"/>
            <x v="46"/>
            <x v="47"/>
            <x v="48"/>
            <x v="49"/>
          </reference>
        </references>
      </pivotArea>
    </format>
    <format dxfId="53">
      <pivotArea dataOnly="0" labelOnly="1" outline="0" fieldPosition="0">
        <references count="1">
          <reference field="2" count="25" defaultSubtotal="1">
            <x v="25"/>
            <x v="26"/>
            <x v="27"/>
            <x v="28"/>
            <x v="29"/>
            <x v="30"/>
            <x v="31"/>
            <x v="32"/>
            <x v="33"/>
            <x v="34"/>
            <x v="35"/>
            <x v="36"/>
            <x v="37"/>
            <x v="38"/>
            <x v="39"/>
            <x v="40"/>
            <x v="41"/>
            <x v="42"/>
            <x v="43"/>
            <x v="44"/>
            <x v="45"/>
            <x v="46"/>
            <x v="47"/>
            <x v="48"/>
            <x v="49"/>
          </reference>
        </references>
      </pivotArea>
    </format>
    <format dxfId="54">
      <pivotArea dataOnly="0" labelOnly="1" outline="0" fieldPosition="0">
        <references count="1">
          <reference field="2" count="25">
            <x v="50"/>
            <x v="51"/>
            <x v="52"/>
            <x v="53"/>
            <x v="54"/>
            <x v="55"/>
            <x v="56"/>
            <x v="57"/>
            <x v="58"/>
            <x v="59"/>
            <x v="60"/>
            <x v="61"/>
            <x v="62"/>
            <x v="63"/>
            <x v="64"/>
            <x v="65"/>
            <x v="66"/>
            <x v="67"/>
            <x v="68"/>
            <x v="69"/>
            <x v="70"/>
            <x v="71"/>
            <x v="72"/>
            <x v="73"/>
            <x v="74"/>
          </reference>
        </references>
      </pivotArea>
    </format>
    <format dxfId="55">
      <pivotArea dataOnly="0" labelOnly="1" outline="0" fieldPosition="0">
        <references count="1">
          <reference field="2" count="25" defaultSubtotal="1">
            <x v="50"/>
            <x v="51"/>
            <x v="52"/>
            <x v="53"/>
            <x v="54"/>
            <x v="55"/>
            <x v="56"/>
            <x v="57"/>
            <x v="58"/>
            <x v="59"/>
            <x v="60"/>
            <x v="61"/>
            <x v="62"/>
            <x v="63"/>
            <x v="64"/>
            <x v="65"/>
            <x v="66"/>
            <x v="67"/>
            <x v="68"/>
            <x v="69"/>
            <x v="70"/>
            <x v="71"/>
            <x v="72"/>
            <x v="73"/>
            <x v="74"/>
          </reference>
        </references>
      </pivotArea>
    </format>
    <format dxfId="56">
      <pivotArea dataOnly="0" labelOnly="1" outline="0" fieldPosition="0">
        <references count="1">
          <reference field="2" count="25">
            <x v="75"/>
            <x v="76"/>
            <x v="77"/>
            <x v="78"/>
            <x v="79"/>
            <x v="80"/>
            <x v="81"/>
            <x v="82"/>
            <x v="83"/>
            <x v="84"/>
            <x v="85"/>
            <x v="86"/>
            <x v="87"/>
            <x v="88"/>
            <x v="89"/>
            <x v="90"/>
            <x v="91"/>
            <x v="92"/>
            <x v="93"/>
            <x v="94"/>
            <x v="95"/>
            <x v="96"/>
            <x v="97"/>
            <x v="98"/>
            <x v="99"/>
          </reference>
        </references>
      </pivotArea>
    </format>
    <format dxfId="57">
      <pivotArea dataOnly="0" labelOnly="1" outline="0" fieldPosition="0">
        <references count="1">
          <reference field="2" count="25" defaultSubtotal="1">
            <x v="75"/>
            <x v="76"/>
            <x v="77"/>
            <x v="78"/>
            <x v="79"/>
            <x v="80"/>
            <x v="81"/>
            <x v="82"/>
            <x v="83"/>
            <x v="84"/>
            <x v="85"/>
            <x v="86"/>
            <x v="87"/>
            <x v="88"/>
            <x v="89"/>
            <x v="90"/>
            <x v="91"/>
            <x v="92"/>
            <x v="93"/>
            <x v="94"/>
            <x v="95"/>
            <x v="96"/>
            <x v="97"/>
            <x v="98"/>
            <x v="99"/>
          </reference>
        </references>
      </pivotArea>
    </format>
    <format dxfId="58">
      <pivotArea dataOnly="0" labelOnly="1" outline="0" fieldPosition="0">
        <references count="1">
          <reference field="2" count="24">
            <x v="100"/>
            <x v="101"/>
            <x v="102"/>
            <x v="103"/>
            <x v="104"/>
            <x v="105"/>
            <x v="106"/>
            <x v="107"/>
            <x v="108"/>
            <x v="109"/>
            <x v="110"/>
            <x v="111"/>
            <x v="112"/>
            <x v="113"/>
            <x v="114"/>
            <x v="115"/>
            <x v="116"/>
            <x v="117"/>
            <x v="118"/>
            <x v="119"/>
            <x v="120"/>
            <x v="121"/>
            <x v="122"/>
            <x v="123"/>
          </reference>
        </references>
      </pivotArea>
    </format>
    <format dxfId="59">
      <pivotArea dataOnly="0" labelOnly="1" outline="0" fieldPosition="0">
        <references count="1">
          <reference field="2" count="24" defaultSubtotal="1">
            <x v="100"/>
            <x v="101"/>
            <x v="102"/>
            <x v="103"/>
            <x v="104"/>
            <x v="105"/>
            <x v="106"/>
            <x v="107"/>
            <x v="108"/>
            <x v="109"/>
            <x v="110"/>
            <x v="111"/>
            <x v="112"/>
            <x v="113"/>
            <x v="114"/>
            <x v="115"/>
            <x v="116"/>
            <x v="117"/>
            <x v="118"/>
            <x v="119"/>
            <x v="120"/>
            <x v="121"/>
            <x v="122"/>
            <x v="123"/>
          </reference>
        </references>
      </pivotArea>
    </format>
    <format dxfId="60">
      <pivotArea dataOnly="0" labelOnly="1" grandRow="1" outline="0" fieldPosition="0"/>
    </format>
    <format dxfId="61">
      <pivotArea dataOnly="0" labelOnly="1" outline="0" fieldPosition="0">
        <references count="1">
          <reference field="4294967294" count="6">
            <x v="0"/>
            <x v="3"/>
            <x v="4"/>
            <x v="5"/>
            <x v="6"/>
            <x v="7"/>
          </reference>
        </references>
      </pivotArea>
    </format>
    <format dxfId="62">
      <pivotArea type="all" dataOnly="0" outline="0" fieldPosition="0"/>
    </format>
    <format dxfId="63">
      <pivotArea outline="0" collapsedLevelsAreSubtotals="1" fieldPosition="0"/>
    </format>
    <format dxfId="64">
      <pivotArea field="2" type="button" dataOnly="0" labelOnly="1" outline="0" axis="axisRow" fieldPosition="0"/>
    </format>
    <format dxfId="65">
      <pivotArea field="1" type="button" dataOnly="0" labelOnly="1" outline="0" axis="axisRow" fieldPosition="1"/>
    </format>
    <format dxfId="66">
      <pivotArea field="22" type="button" dataOnly="0" labelOnly="1" outline="0"/>
    </format>
    <format dxfId="67">
      <pivotArea field="23" type="button" dataOnly="0" labelOnly="1" outline="0"/>
    </format>
    <format dxfId="68">
      <pivotArea dataOnly="0" labelOnly="1" outline="0" fieldPosition="0">
        <references count="1">
          <reference field="2" count="25">
            <x v="0"/>
            <x v="1"/>
            <x v="2"/>
            <x v="3"/>
            <x v="4"/>
            <x v="5"/>
            <x v="6"/>
            <x v="7"/>
            <x v="8"/>
            <x v="9"/>
            <x v="10"/>
            <x v="11"/>
            <x v="12"/>
            <x v="13"/>
            <x v="14"/>
            <x v="15"/>
            <x v="16"/>
            <x v="17"/>
            <x v="18"/>
            <x v="19"/>
            <x v="20"/>
            <x v="21"/>
            <x v="22"/>
            <x v="23"/>
            <x v="24"/>
          </reference>
        </references>
      </pivotArea>
    </format>
    <format dxfId="69">
      <pivotArea dataOnly="0" labelOnly="1" outline="0" fieldPosition="0">
        <references count="1">
          <reference field="2" count="25" defaultSubtotal="1">
            <x v="0"/>
            <x v="1"/>
            <x v="2"/>
            <x v="3"/>
            <x v="4"/>
            <x v="5"/>
            <x v="6"/>
            <x v="7"/>
            <x v="8"/>
            <x v="9"/>
            <x v="10"/>
            <x v="11"/>
            <x v="12"/>
            <x v="13"/>
            <x v="14"/>
            <x v="15"/>
            <x v="16"/>
            <x v="17"/>
            <x v="18"/>
            <x v="19"/>
            <x v="20"/>
            <x v="21"/>
            <x v="22"/>
            <x v="23"/>
            <x v="24"/>
          </reference>
        </references>
      </pivotArea>
    </format>
    <format dxfId="70">
      <pivotArea dataOnly="0" labelOnly="1" outline="0" fieldPosition="0">
        <references count="1">
          <reference field="2" count="25">
            <x v="25"/>
            <x v="26"/>
            <x v="27"/>
            <x v="28"/>
            <x v="29"/>
            <x v="30"/>
            <x v="31"/>
            <x v="32"/>
            <x v="33"/>
            <x v="34"/>
            <x v="35"/>
            <x v="36"/>
            <x v="37"/>
            <x v="38"/>
            <x v="39"/>
            <x v="40"/>
            <x v="41"/>
            <x v="42"/>
            <x v="43"/>
            <x v="44"/>
            <x v="45"/>
            <x v="46"/>
            <x v="47"/>
            <x v="48"/>
            <x v="49"/>
          </reference>
        </references>
      </pivotArea>
    </format>
    <format dxfId="71">
      <pivotArea dataOnly="0" labelOnly="1" outline="0" fieldPosition="0">
        <references count="1">
          <reference field="2" count="25" defaultSubtotal="1">
            <x v="25"/>
            <x v="26"/>
            <x v="27"/>
            <x v="28"/>
            <x v="29"/>
            <x v="30"/>
            <x v="31"/>
            <x v="32"/>
            <x v="33"/>
            <x v="34"/>
            <x v="35"/>
            <x v="36"/>
            <x v="37"/>
            <x v="38"/>
            <x v="39"/>
            <x v="40"/>
            <x v="41"/>
            <x v="42"/>
            <x v="43"/>
            <x v="44"/>
            <x v="45"/>
            <x v="46"/>
            <x v="47"/>
            <x v="48"/>
            <x v="49"/>
          </reference>
        </references>
      </pivotArea>
    </format>
    <format dxfId="72">
      <pivotArea dataOnly="0" labelOnly="1" outline="0" fieldPosition="0">
        <references count="1">
          <reference field="2" count="25">
            <x v="50"/>
            <x v="51"/>
            <x v="52"/>
            <x v="53"/>
            <x v="54"/>
            <x v="55"/>
            <x v="56"/>
            <x v="57"/>
            <x v="58"/>
            <x v="59"/>
            <x v="60"/>
            <x v="61"/>
            <x v="62"/>
            <x v="63"/>
            <x v="64"/>
            <x v="65"/>
            <x v="66"/>
            <x v="67"/>
            <x v="68"/>
            <x v="69"/>
            <x v="70"/>
            <x v="71"/>
            <x v="72"/>
            <x v="73"/>
            <x v="74"/>
          </reference>
        </references>
      </pivotArea>
    </format>
    <format dxfId="73">
      <pivotArea dataOnly="0" labelOnly="1" outline="0" fieldPosition="0">
        <references count="1">
          <reference field="2" count="25" defaultSubtotal="1">
            <x v="50"/>
            <x v="51"/>
            <x v="52"/>
            <x v="53"/>
            <x v="54"/>
            <x v="55"/>
            <x v="56"/>
            <x v="57"/>
            <x v="58"/>
            <x v="59"/>
            <x v="60"/>
            <x v="61"/>
            <x v="62"/>
            <x v="63"/>
            <x v="64"/>
            <x v="65"/>
            <x v="66"/>
            <x v="67"/>
            <x v="68"/>
            <x v="69"/>
            <x v="70"/>
            <x v="71"/>
            <x v="72"/>
            <x v="73"/>
            <x v="74"/>
          </reference>
        </references>
      </pivotArea>
    </format>
    <format dxfId="74">
      <pivotArea dataOnly="0" labelOnly="1" outline="0" fieldPosition="0">
        <references count="1">
          <reference field="2" count="25">
            <x v="75"/>
            <x v="76"/>
            <x v="77"/>
            <x v="78"/>
            <x v="79"/>
            <x v="80"/>
            <x v="81"/>
            <x v="82"/>
            <x v="83"/>
            <x v="84"/>
            <x v="85"/>
            <x v="86"/>
            <x v="87"/>
            <x v="88"/>
            <x v="89"/>
            <x v="90"/>
            <x v="91"/>
            <x v="92"/>
            <x v="93"/>
            <x v="94"/>
            <x v="95"/>
            <x v="96"/>
            <x v="97"/>
            <x v="98"/>
            <x v="99"/>
          </reference>
        </references>
      </pivotArea>
    </format>
    <format dxfId="75">
      <pivotArea dataOnly="0" labelOnly="1" outline="0" fieldPosition="0">
        <references count="1">
          <reference field="2" count="25" defaultSubtotal="1">
            <x v="75"/>
            <x v="76"/>
            <x v="77"/>
            <x v="78"/>
            <x v="79"/>
            <x v="80"/>
            <x v="81"/>
            <x v="82"/>
            <x v="83"/>
            <x v="84"/>
            <x v="85"/>
            <x v="86"/>
            <x v="87"/>
            <x v="88"/>
            <x v="89"/>
            <x v="90"/>
            <x v="91"/>
            <x v="92"/>
            <x v="93"/>
            <x v="94"/>
            <x v="95"/>
            <x v="96"/>
            <x v="97"/>
            <x v="98"/>
            <x v="99"/>
          </reference>
        </references>
      </pivotArea>
    </format>
    <format dxfId="76">
      <pivotArea dataOnly="0" labelOnly="1" outline="0" fieldPosition="0">
        <references count="1">
          <reference field="2" count="24">
            <x v="100"/>
            <x v="101"/>
            <x v="102"/>
            <x v="103"/>
            <x v="104"/>
            <x v="105"/>
            <x v="106"/>
            <x v="107"/>
            <x v="108"/>
            <x v="109"/>
            <x v="110"/>
            <x v="111"/>
            <x v="112"/>
            <x v="113"/>
            <x v="114"/>
            <x v="115"/>
            <x v="116"/>
            <x v="117"/>
            <x v="118"/>
            <x v="119"/>
            <x v="120"/>
            <x v="121"/>
            <x v="122"/>
            <x v="123"/>
          </reference>
        </references>
      </pivotArea>
    </format>
    <format dxfId="77">
      <pivotArea dataOnly="0" labelOnly="1" outline="0" fieldPosition="0">
        <references count="1">
          <reference field="2" count="24" defaultSubtotal="1">
            <x v="100"/>
            <x v="101"/>
            <x v="102"/>
            <x v="103"/>
            <x v="104"/>
            <x v="105"/>
            <x v="106"/>
            <x v="107"/>
            <x v="108"/>
            <x v="109"/>
            <x v="110"/>
            <x v="111"/>
            <x v="112"/>
            <x v="113"/>
            <x v="114"/>
            <x v="115"/>
            <x v="116"/>
            <x v="117"/>
            <x v="118"/>
            <x v="119"/>
            <x v="120"/>
            <x v="121"/>
            <x v="122"/>
            <x v="123"/>
          </reference>
        </references>
      </pivotArea>
    </format>
    <format dxfId="78">
      <pivotArea dataOnly="0" labelOnly="1" grandRow="1" outline="0" fieldPosition="0"/>
    </format>
    <format dxfId="79">
      <pivotArea dataOnly="0" labelOnly="1" outline="0" fieldPosition="0">
        <references count="1">
          <reference field="4294967294" count="6">
            <x v="0"/>
            <x v="3"/>
            <x v="4"/>
            <x v="5"/>
            <x v="6"/>
            <x v="7"/>
          </reference>
        </references>
      </pivotArea>
    </format>
    <format dxfId="80">
      <pivotArea outline="0" collapsedLevelsAreSubtotals="1" fieldPosition="0"/>
    </format>
    <format dxfId="81">
      <pivotArea outline="0" collapsedLevelsAreSubtotals="1" fieldPosition="0"/>
    </format>
    <format dxfId="82">
      <pivotArea grandRow="1" outline="0" collapsedLevelsAreSubtotals="1" fieldPosition="0"/>
    </format>
    <format dxfId="83">
      <pivotArea dataOnly="0" labelOnly="1" grandRow="1" outline="0" fieldPosition="0"/>
    </format>
    <format dxfId="84">
      <pivotArea grandRow="1" outline="0" collapsedLevelsAreSubtotals="1" fieldPosition="0"/>
    </format>
    <format dxfId="85">
      <pivotArea dataOnly="0" labelOnly="1" grandRow="1" outline="0" fieldPosition="0"/>
    </format>
    <format dxfId="86">
      <pivotArea field="2" type="button" dataOnly="0" labelOnly="1" outline="0" axis="axisRow" fieldPosition="0"/>
    </format>
    <format dxfId="87">
      <pivotArea field="1" type="button" dataOnly="0" labelOnly="1" outline="0" axis="axisRow" fieldPosition="1"/>
    </format>
    <format dxfId="88">
      <pivotArea dataOnly="0" labelOnly="1" outline="0" fieldPosition="0">
        <references count="1">
          <reference field="4294967294" count="8">
            <x v="0"/>
            <x v="1"/>
            <x v="2"/>
            <x v="3"/>
            <x v="4"/>
            <x v="5"/>
            <x v="6"/>
            <x v="7"/>
          </reference>
        </references>
      </pivotArea>
    </format>
    <format dxfId="89">
      <pivotArea field="2" type="button" dataOnly="0" labelOnly="1" outline="0" axis="axisRow" fieldPosition="0"/>
    </format>
    <format dxfId="90">
      <pivotArea field="1" type="button" dataOnly="0" labelOnly="1" outline="0" axis="axisRow" fieldPosition="1"/>
    </format>
    <format dxfId="91">
      <pivotArea dataOnly="0" labelOnly="1" outline="0" fieldPosition="0">
        <references count="1">
          <reference field="4294967294" count="8">
            <x v="0"/>
            <x v="1"/>
            <x v="2"/>
            <x v="3"/>
            <x v="4"/>
            <x v="5"/>
            <x v="6"/>
            <x v="7"/>
          </reference>
        </references>
      </pivotArea>
    </format>
    <format dxfId="92">
      <pivotArea type="all" dataOnly="0" outline="0" fieldPosition="0"/>
    </format>
    <format dxfId="93">
      <pivotArea outline="0" collapsedLevelsAreSubtotals="1" fieldPosition="0"/>
    </format>
    <format dxfId="94">
      <pivotArea field="2" type="button" dataOnly="0" labelOnly="1" outline="0" axis="axisRow" fieldPosition="0"/>
    </format>
    <format dxfId="95">
      <pivotArea field="1" type="button" dataOnly="0" labelOnly="1" outline="0" axis="axisRow" fieldPosition="1"/>
    </format>
    <format dxfId="96">
      <pivotArea dataOnly="0" labelOnly="1" outline="0"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7">
      <pivotArea dataOnly="0" labelOnly="1" outline="0"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8">
      <pivotArea dataOnly="0" labelOnly="1" outline="0" fieldPosition="0">
        <references count="1">
          <reference field="2" count="23">
            <x v="100"/>
            <x v="101"/>
            <x v="102"/>
            <x v="103"/>
            <x v="104"/>
            <x v="105"/>
            <x v="106"/>
            <x v="107"/>
            <x v="108"/>
            <x v="109"/>
            <x v="110"/>
            <x v="111"/>
            <x v="112"/>
            <x v="113"/>
            <x v="114"/>
            <x v="115"/>
            <x v="116"/>
            <x v="117"/>
            <x v="118"/>
            <x v="119"/>
            <x v="120"/>
            <x v="121"/>
            <x v="122"/>
          </reference>
        </references>
      </pivotArea>
    </format>
    <format dxfId="99">
      <pivotArea dataOnly="0" labelOnly="1" grandRow="1" outline="0" fieldPosition="0"/>
    </format>
    <format dxfId="100">
      <pivotArea dataOnly="0" labelOnly="1" outline="0" fieldPosition="0">
        <references count="1">
          <reference field="4294967294"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5D1266-B3F3-4A0E-9D1B-E5372E5C94DB}" name="PivotTable1" cacheId="13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G17" firstHeaderRow="0" firstDataRow="1" firstDataCol="1"/>
  <pivotFields count="43">
    <pivotField compact="0" outline="0" showAll="0"/>
    <pivotField compact="0" outline="0" showAll="0"/>
    <pivotField compact="0" outline="0" showAll="0"/>
    <pivotField axis="axisRow" compact="0" outline="0" showAll="0" sortType="ascending">
      <items count="16">
        <item x="10"/>
        <item x="9"/>
        <item x="6"/>
        <item x="4"/>
        <item x="7"/>
        <item x="8"/>
        <item x="5"/>
        <item x="0"/>
        <item x="13"/>
        <item x="1"/>
        <item x="3"/>
        <item x="2"/>
        <item x="11"/>
        <item x="12"/>
        <item h="1" x="14"/>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15">
    <i>
      <x/>
    </i>
    <i>
      <x v="1"/>
    </i>
    <i>
      <x v="2"/>
    </i>
    <i>
      <x v="3"/>
    </i>
    <i>
      <x v="4"/>
    </i>
    <i>
      <x v="5"/>
    </i>
    <i>
      <x v="6"/>
    </i>
    <i>
      <x v="7"/>
    </i>
    <i>
      <x v="8"/>
    </i>
    <i>
      <x v="9"/>
    </i>
    <i>
      <x v="10"/>
    </i>
    <i>
      <x v="11"/>
    </i>
    <i>
      <x v="12"/>
    </i>
    <i>
      <x v="13"/>
    </i>
    <i t="grand">
      <x/>
    </i>
  </rowItems>
  <colFields count="1">
    <field x="-2"/>
  </colFields>
  <colItems count="6">
    <i>
      <x/>
    </i>
    <i i="1">
      <x v="1"/>
    </i>
    <i i="2">
      <x v="2"/>
    </i>
    <i i="3">
      <x v="3"/>
    </i>
    <i i="4">
      <x v="4"/>
    </i>
    <i i="5">
      <x v="5"/>
    </i>
  </colItems>
  <dataFields count="6">
    <dataField name="Sum of Passed" fld="33" baseField="0" baseItem="0"/>
    <dataField name="Sum of Failed" fld="34" baseField="0" baseItem="0"/>
    <dataField name="Sum of Blocked" fld="35" baseField="0" baseItem="0"/>
    <dataField name="Sum of Not Run" fld="36" baseField="0" baseItem="0"/>
    <dataField name="Sum of Total" fld="37" baseField="0" baseItem="0"/>
    <dataField name="Count of ID" fld="5" subtotal="count" baseField="0" baseItem="0"/>
  </dataFields>
  <formats count="22">
    <format dxfId="22">
      <pivotArea type="all" dataOnly="0" outline="0" fieldPosition="0"/>
    </format>
    <format dxfId="23">
      <pivotArea outline="0" collapsedLevelsAreSubtotals="1" fieldPosition="0"/>
    </format>
    <format dxfId="24">
      <pivotArea dataOnly="0" labelOnly="1" grandRow="1" outline="0" fieldPosition="0"/>
    </format>
    <format dxfId="25">
      <pivotArea dataOnly="0" labelOnly="1" outline="0" fieldPosition="0">
        <references count="1">
          <reference field="4294967294" count="5">
            <x v="0"/>
            <x v="1"/>
            <x v="2"/>
            <x v="3"/>
            <x v="4"/>
          </reference>
        </references>
      </pivotArea>
    </format>
    <format dxfId="26">
      <pivotArea type="all" dataOnly="0" outline="0" fieldPosition="0"/>
    </format>
    <format dxfId="27">
      <pivotArea outline="0" collapsedLevelsAreSubtotals="1" fieldPosition="0"/>
    </format>
    <format dxfId="28">
      <pivotArea field="3" type="button" dataOnly="0" labelOnly="1" outline="0" axis="axisRow" fieldPosition="0"/>
    </format>
    <format dxfId="29">
      <pivotArea dataOnly="0" labelOnly="1" outline="0" fieldPosition="0">
        <references count="1">
          <reference field="3" count="0"/>
        </references>
      </pivotArea>
    </format>
    <format dxfId="30">
      <pivotArea dataOnly="0" labelOnly="1" grandRow="1" outline="0" fieldPosition="0"/>
    </format>
    <format dxfId="31">
      <pivotArea dataOnly="0" labelOnly="1" outline="0" fieldPosition="0">
        <references count="1">
          <reference field="4294967294" count="5">
            <x v="0"/>
            <x v="1"/>
            <x v="2"/>
            <x v="3"/>
            <x v="4"/>
          </reference>
        </references>
      </pivotArea>
    </format>
    <format dxfId="32">
      <pivotArea type="all" dataOnly="0" outline="0" fieldPosition="0"/>
    </format>
    <format dxfId="33">
      <pivotArea outline="0" collapsedLevelsAreSubtotals="1" fieldPosition="0"/>
    </format>
    <format dxfId="34">
      <pivotArea field="3" type="button" dataOnly="0" labelOnly="1" outline="0" axis="axisRow" fieldPosition="0"/>
    </format>
    <format dxfId="35">
      <pivotArea dataOnly="0" labelOnly="1" outline="0" fieldPosition="0">
        <references count="1">
          <reference field="3" count="0"/>
        </references>
      </pivotArea>
    </format>
    <format dxfId="36">
      <pivotArea dataOnly="0" labelOnly="1" grandRow="1" outline="0" fieldPosition="0"/>
    </format>
    <format dxfId="37">
      <pivotArea dataOnly="0" labelOnly="1" outline="0" fieldPosition="0">
        <references count="1">
          <reference field="4294967294" count="5">
            <x v="0"/>
            <x v="1"/>
            <x v="2"/>
            <x v="3"/>
            <x v="4"/>
          </reference>
        </references>
      </pivotArea>
    </format>
    <format dxfId="38">
      <pivotArea type="all" dataOnly="0" outline="0" fieldPosition="0"/>
    </format>
    <format dxfId="39">
      <pivotArea outline="0" collapsedLevelsAreSubtotals="1" fieldPosition="0"/>
    </format>
    <format dxfId="40">
      <pivotArea field="3" type="button" dataOnly="0" labelOnly="1" outline="0" axis="axisRow" fieldPosition="0"/>
    </format>
    <format dxfId="41">
      <pivotArea dataOnly="0" labelOnly="1" outline="0" fieldPosition="0">
        <references count="1">
          <reference field="3" count="0"/>
        </references>
      </pivotArea>
    </format>
    <format dxfId="42">
      <pivotArea dataOnly="0" labelOnly="1" grandRow="1" outline="0" fieldPosition="0"/>
    </format>
    <format dxfId="43">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17" Type="http://schemas.openxmlformats.org/officeDocument/2006/relationships/hyperlink" Target="https://dev.azure.com/accenturecio08/AutomationProcess_29697/_workitems/edit/4183206/?view=edit" TargetMode="External"/><Relationship Id="rId299" Type="http://schemas.openxmlformats.org/officeDocument/2006/relationships/hyperlink" Target="https://dev.azure.com/accenturecio08/AutomationProcess_29697/_workitems/edit/4395040/?view=edit" TargetMode="External"/><Relationship Id="rId21" Type="http://schemas.openxmlformats.org/officeDocument/2006/relationships/hyperlink" Target="https://dev.azure.com/accenturecio08/AutomationProcess_29697/_workitems/edit/4373565/?view=edit" TargetMode="External"/><Relationship Id="rId63" Type="http://schemas.openxmlformats.org/officeDocument/2006/relationships/hyperlink" Target="https://dev.azure.com/accenturecio08/AutomationProcess_29697/_workitems/edit/4368401/?view=edit" TargetMode="External"/><Relationship Id="rId159" Type="http://schemas.openxmlformats.org/officeDocument/2006/relationships/hyperlink" Target="https://dev.azure.com/accenturecio08/AutomationProcess_29697/_workitems/edit/4361245" TargetMode="External"/><Relationship Id="rId324" Type="http://schemas.openxmlformats.org/officeDocument/2006/relationships/hyperlink" Target="https://dev.azure.com/accenturecio08/AutomationProcess_29697/_workitems/edit/4388392/?view=edit" TargetMode="External"/><Relationship Id="rId170" Type="http://schemas.openxmlformats.org/officeDocument/2006/relationships/hyperlink" Target="https://dev.azure.com/accenturecio08/AutomationProcess_29697/_workitems/edit/4364038" TargetMode="External"/><Relationship Id="rId226" Type="http://schemas.openxmlformats.org/officeDocument/2006/relationships/hyperlink" Target="https://dev.azure.com/accenturecio08/AutomationProcess_29697/_workitems/edit/4352719/?view=edit" TargetMode="External"/><Relationship Id="rId268" Type="http://schemas.openxmlformats.org/officeDocument/2006/relationships/hyperlink" Target="https://dev.azure.com/accenturecio08/AutomationProcess_29697/_workitems/edit/4371407/?view=edit" TargetMode="External"/><Relationship Id="rId32" Type="http://schemas.openxmlformats.org/officeDocument/2006/relationships/hyperlink" Target="https://dev.azure.com/accenturecio08/AutomationProcess_29697/_workitems/edit/4386791/?view=edit" TargetMode="External"/><Relationship Id="rId74" Type="http://schemas.openxmlformats.org/officeDocument/2006/relationships/hyperlink" Target="https://dev.azure.com/accenturecio08/AutomationProcess_29697/_workitems/edit/4367444/?view=edit" TargetMode="External"/><Relationship Id="rId128" Type="http://schemas.openxmlformats.org/officeDocument/2006/relationships/hyperlink" Target="https://dev.azure.com/accenturecio08/AutomationProcess_29697/_workitems/edit/4136094/?view=edit" TargetMode="External"/><Relationship Id="rId335" Type="http://schemas.microsoft.com/office/2019/04/relationships/namedSheetView" Target="../namedSheetViews/namedSheetView1.xml"/><Relationship Id="rId5" Type="http://schemas.openxmlformats.org/officeDocument/2006/relationships/hyperlink" Target="https://dev.azure.com/accenturecio08/AutomationProcess_29697/_workitems/edit/4342214/?view=edit" TargetMode="External"/><Relationship Id="rId181" Type="http://schemas.openxmlformats.org/officeDocument/2006/relationships/hyperlink" Target="https://dev.azure.com/accenturecio08/AutomationProcess_29697/_workitems/edit/4390301/?view=edit" TargetMode="External"/><Relationship Id="rId237" Type="http://schemas.openxmlformats.org/officeDocument/2006/relationships/hyperlink" Target="https://dev.azure.com/accenturecio08/AutomationProcess_29697/_workitems/edit/4371954/?view=edit" TargetMode="External"/><Relationship Id="rId279" Type="http://schemas.openxmlformats.org/officeDocument/2006/relationships/hyperlink" Target="https://dev.azure.com/accenturecio08/AutomationProcess_29697/_workitems/edit/4392685/?view=edit" TargetMode="External"/><Relationship Id="rId43" Type="http://schemas.openxmlformats.org/officeDocument/2006/relationships/hyperlink" Target="https://dev.azure.com/accenturecio08/AutomationProcess_29697/_workitems/edit/4228339/?view=edit" TargetMode="External"/><Relationship Id="rId139" Type="http://schemas.openxmlformats.org/officeDocument/2006/relationships/hyperlink" Target="https://dev.azure.com/accenturecio08/AutomationProcess_29697/_workitems/edit/4319555/?view=edit" TargetMode="External"/><Relationship Id="rId290" Type="http://schemas.openxmlformats.org/officeDocument/2006/relationships/hyperlink" Target="https://dev.azure.com/accenturecio08/AutomationProcess_29697/_workitems/edit/4395036/?view=edit" TargetMode="External"/><Relationship Id="rId304" Type="http://schemas.openxmlformats.org/officeDocument/2006/relationships/hyperlink" Target="https://dev.azure.com/accenturecio08/AutomationProcess_29697/_workitems/edit/4398530/?view=edit" TargetMode="External"/><Relationship Id="rId85" Type="http://schemas.openxmlformats.org/officeDocument/2006/relationships/hyperlink" Target="https://dev.azure.com/accenturecio08/AutomationProcess_29697/_workitems/edit/4373712/?view=edit" TargetMode="External"/><Relationship Id="rId150" Type="http://schemas.openxmlformats.org/officeDocument/2006/relationships/hyperlink" Target="https://dev.azure.com/accenturecio08/AutomationProcess_29697/_workitems/edit/4319915/?view=edit" TargetMode="External"/><Relationship Id="rId192" Type="http://schemas.openxmlformats.org/officeDocument/2006/relationships/hyperlink" Target="https://dev.azure.com/accenturecio08/AutomationProcess_29697/_workitems/edit/4364544" TargetMode="External"/><Relationship Id="rId206" Type="http://schemas.openxmlformats.org/officeDocument/2006/relationships/hyperlink" Target="https://dev.azure.com/accenturecio08/AutomationProcess_29697/_workitems/edit/4391655" TargetMode="External"/><Relationship Id="rId248" Type="http://schemas.openxmlformats.org/officeDocument/2006/relationships/hyperlink" Target="https://dev.azure.com/accenturecio08/AutomationProcess_29697/_workitems/edit/4368163/?view=edit" TargetMode="External"/><Relationship Id="rId12" Type="http://schemas.openxmlformats.org/officeDocument/2006/relationships/hyperlink" Target="https://dev.azure.com/accenturecio08/AutomationProcess_29697/_workitems/edit/4361804/?view=edit" TargetMode="External"/><Relationship Id="rId108" Type="http://schemas.openxmlformats.org/officeDocument/2006/relationships/hyperlink" Target="https://dev.azure.com/accenturecio08/AutomationProcess_29697/_workitems/edit/4287425/?view=edit" TargetMode="External"/><Relationship Id="rId315" Type="http://schemas.openxmlformats.org/officeDocument/2006/relationships/hyperlink" Target="https://dev.azure.com/accenturecio08/AutomationProcess_29697/_workitems/edit/4416161" TargetMode="External"/><Relationship Id="rId54" Type="http://schemas.openxmlformats.org/officeDocument/2006/relationships/hyperlink" Target="https://dev.azure.com/accenturecio08/AutomationProcess_29697/_workitems/edit/4240154/?view=edit" TargetMode="External"/><Relationship Id="rId96" Type="http://schemas.openxmlformats.org/officeDocument/2006/relationships/hyperlink" Target="https://dev.azure.com/accenturecio08/AutomationProcess_29697/_workitems/edit/4381592/?view=edit" TargetMode="External"/><Relationship Id="rId161" Type="http://schemas.openxmlformats.org/officeDocument/2006/relationships/hyperlink" Target="https://dev.azure.com/accenturecio08/AutomationProcess_29697/_workitems/edit/4367405" TargetMode="External"/><Relationship Id="rId217" Type="http://schemas.openxmlformats.org/officeDocument/2006/relationships/hyperlink" Target="https://dev.azure.com/accenturecio08/AutomationProcess_29697/_workitems/edit/4364558/?view=edit" TargetMode="External"/><Relationship Id="rId259" Type="http://schemas.openxmlformats.org/officeDocument/2006/relationships/hyperlink" Target="https://dev.azure.com/accenturecio08/AutomationProcess_29697/_workitems/edit/4358656/?view=edit" TargetMode="External"/><Relationship Id="rId23" Type="http://schemas.openxmlformats.org/officeDocument/2006/relationships/hyperlink" Target="https://dev.azure.com/accenturecio08/AutomationProcess_29697/_workitems/edit/4373596/?view=edit" TargetMode="External"/><Relationship Id="rId119" Type="http://schemas.openxmlformats.org/officeDocument/2006/relationships/hyperlink" Target="https://dev.azure.com/accenturecio08/AutomationProcess_29697/_workitems/edit/4223630/?view=edit" TargetMode="External"/><Relationship Id="rId270" Type="http://schemas.openxmlformats.org/officeDocument/2006/relationships/hyperlink" Target="https://dev.azure.com/accenturecio08/AutomationProcess_29697/_workitems/edit/4163203/?view=edit" TargetMode="External"/><Relationship Id="rId326" Type="http://schemas.openxmlformats.org/officeDocument/2006/relationships/hyperlink" Target="https://dev.azure.com/accenturecio08/AutomationProcess_29697/_workitems/edit/4362711/?view=edit" TargetMode="External"/><Relationship Id="rId65" Type="http://schemas.openxmlformats.org/officeDocument/2006/relationships/hyperlink" Target="https://dev.azure.com/accenturecio08/AutomationProcess_29697/_workitems/edit/4368403/?view=edit" TargetMode="External"/><Relationship Id="rId130" Type="http://schemas.openxmlformats.org/officeDocument/2006/relationships/hyperlink" Target="https://dev.azure.com/accenturecio08/AutomationProcess_29697/_workitems/edit/4147642/?view=edit" TargetMode="External"/><Relationship Id="rId172" Type="http://schemas.openxmlformats.org/officeDocument/2006/relationships/hyperlink" Target="https://dev.azure.com/accenturecio08/AutomationProcess_29697/_workitems/edit/4352776" TargetMode="External"/><Relationship Id="rId228" Type="http://schemas.openxmlformats.org/officeDocument/2006/relationships/hyperlink" Target="https://dev.azure.com/accenturecio08/AutomationProcess_29697/_workitems/edit/4365001/?view=edit" TargetMode="External"/><Relationship Id="rId281" Type="http://schemas.openxmlformats.org/officeDocument/2006/relationships/hyperlink" Target="https://dev.azure.com/accenturecio08/AutomationProcess_29697/_workitems/edit/4392316/?view=edit" TargetMode="External"/><Relationship Id="rId34" Type="http://schemas.openxmlformats.org/officeDocument/2006/relationships/hyperlink" Target="https://dev.azure.com/accenturecio08/AutomationProcess_29697/_workitems/edit/4105358/?view=edit" TargetMode="External"/><Relationship Id="rId76" Type="http://schemas.openxmlformats.org/officeDocument/2006/relationships/hyperlink" Target="https://dev.azure.com/accenturecio08/AutomationProcess_29697/_workitems/edit/4381593/?view=edit" TargetMode="External"/><Relationship Id="rId141" Type="http://schemas.openxmlformats.org/officeDocument/2006/relationships/hyperlink" Target="https://dev.azure.com/accenturecio08/AutomationProcess_29697/_workitems/edit/4269661/?view=edit" TargetMode="External"/><Relationship Id="rId7" Type="http://schemas.openxmlformats.org/officeDocument/2006/relationships/hyperlink" Target="https://dev.azure.com/accenturecio08/AutomationProcess_29697/_workitems/edit/4361793/?view=edit" TargetMode="External"/><Relationship Id="rId183" Type="http://schemas.openxmlformats.org/officeDocument/2006/relationships/hyperlink" Target="https://dev.azure.com/accenturecio08/AutomationProcess_29697/_workitems/edit/4390744/?view=edit" TargetMode="External"/><Relationship Id="rId239" Type="http://schemas.openxmlformats.org/officeDocument/2006/relationships/hyperlink" Target="https://dev.azure.com/accenturecio08/AutomationProcess_29697/_workitems/edit/4369456/?view=edit" TargetMode="External"/><Relationship Id="rId250" Type="http://schemas.openxmlformats.org/officeDocument/2006/relationships/hyperlink" Target="https://dev.azure.com/accenturecio08/AutomationProcess_29697/_workitems/edit/4368211/?view=edit" TargetMode="External"/><Relationship Id="rId292" Type="http://schemas.openxmlformats.org/officeDocument/2006/relationships/hyperlink" Target="https://dev.azure.com/accenturecio08/AutomationProcess_29697/_workitems/edit/4395038/?view=edit" TargetMode="External"/><Relationship Id="rId306" Type="http://schemas.openxmlformats.org/officeDocument/2006/relationships/hyperlink" Target="https://dev.azure.com/accenturecio08/AutomationProcess_29697/_workitems/edit/4399124" TargetMode="External"/><Relationship Id="rId24" Type="http://schemas.openxmlformats.org/officeDocument/2006/relationships/hyperlink" Target="https://dev.azure.com/accenturecio08/AutomationProcess_29697/_workitems/edit/4374045/?view=edit" TargetMode="External"/><Relationship Id="rId45" Type="http://schemas.openxmlformats.org/officeDocument/2006/relationships/hyperlink" Target="https://dev.azure.com/accenturecio08/AutomationProcess_29697/_workitems/edit/4240160/?view=edit" TargetMode="External"/><Relationship Id="rId66" Type="http://schemas.openxmlformats.org/officeDocument/2006/relationships/hyperlink" Target="https://dev.azure.com/accenturecio08/AutomationProcess_29697/_workitems/edit/4373635/?view=edit" TargetMode="External"/><Relationship Id="rId87" Type="http://schemas.openxmlformats.org/officeDocument/2006/relationships/hyperlink" Target="https://dev.azure.com/accenturecio08/AutomationProcess_29697/_workitems/edit/4373649/?view=edit" TargetMode="External"/><Relationship Id="rId110" Type="http://schemas.openxmlformats.org/officeDocument/2006/relationships/hyperlink" Target="https://dev.azure.com/accenturecio08/AutomationProcess_29697/_workitems/edit/4270616/?view=edit" TargetMode="External"/><Relationship Id="rId131" Type="http://schemas.openxmlformats.org/officeDocument/2006/relationships/hyperlink" Target="https://dev.azure.com/accenturecio08/AutomationProcess_29697/_workitems/edit/4371529/?view=edit" TargetMode="External"/><Relationship Id="rId327" Type="http://schemas.openxmlformats.org/officeDocument/2006/relationships/hyperlink" Target="https://dev.azure.com/accenturecio08/AutomationProcess_29697/_workitems/edit/4436894" TargetMode="External"/><Relationship Id="rId152" Type="http://schemas.openxmlformats.org/officeDocument/2006/relationships/hyperlink" Target="https://dev.azure.com/accenturecio08/AutomationProcess_29697/_workitems/edit/4364565/?view=edit" TargetMode="External"/><Relationship Id="rId173" Type="http://schemas.openxmlformats.org/officeDocument/2006/relationships/hyperlink" Target="https://dev.azure.com/accenturecio08/AutomationProcess_29697/_workitems/edit/4266989" TargetMode="External"/><Relationship Id="rId194" Type="http://schemas.openxmlformats.org/officeDocument/2006/relationships/hyperlink" Target="https://dev.azure.com/accenturecio08/AutomationProcess_29697/_workitems/edit/4319762" TargetMode="External"/><Relationship Id="rId208" Type="http://schemas.openxmlformats.org/officeDocument/2006/relationships/hyperlink" Target="https://dev.azure.com/accenturecio08/AutomationProcess_29697/_workitems/edit/4174533/?view=edit" TargetMode="External"/><Relationship Id="rId229" Type="http://schemas.openxmlformats.org/officeDocument/2006/relationships/hyperlink" Target="https://dev.azure.com/accenturecio08/AutomationProcess_29697/_workitems/edit/4391344/?view=edit" TargetMode="External"/><Relationship Id="rId240" Type="http://schemas.openxmlformats.org/officeDocument/2006/relationships/hyperlink" Target="https://dev.azure.com/accenturecio08/AutomationProcess_29697/_workitems/edit/4369602/?view=edit" TargetMode="External"/><Relationship Id="rId261" Type="http://schemas.openxmlformats.org/officeDocument/2006/relationships/hyperlink" Target="https://dev.azure.com/accenturecio08/AutomationProcess_29697/_workitems/edit/4373026/?view=edit" TargetMode="External"/><Relationship Id="rId14" Type="http://schemas.openxmlformats.org/officeDocument/2006/relationships/hyperlink" Target="https://dev.azure.com/accenturecio08/AutomationProcess_29697/_workitems/edit/4361806/?view=edit" TargetMode="External"/><Relationship Id="rId35" Type="http://schemas.openxmlformats.org/officeDocument/2006/relationships/hyperlink" Target="https://dev.azure.com/accenturecio08/AutomationProcess_29697/_workitems/edit/4260379/?view=edit" TargetMode="External"/><Relationship Id="rId56" Type="http://schemas.openxmlformats.org/officeDocument/2006/relationships/hyperlink" Target="https://dev.azure.com/accenturecio08/AutomationProcess_29697/_workitems/edit/4240158/?view=edit" TargetMode="External"/><Relationship Id="rId77" Type="http://schemas.openxmlformats.org/officeDocument/2006/relationships/hyperlink" Target="https://dev.azure.com/accenturecio08/AutomationProcess_29697/_workitems/edit/4381594/?view=edit" TargetMode="External"/><Relationship Id="rId100" Type="http://schemas.openxmlformats.org/officeDocument/2006/relationships/hyperlink" Target="https://dev.azure.com/accenturecio08/AutomationProcess_29697/_workitems/edit/4345110/?view=edit" TargetMode="External"/><Relationship Id="rId282" Type="http://schemas.openxmlformats.org/officeDocument/2006/relationships/hyperlink" Target="https://dev.azure.com/accenturecio08/AutomationProcess_29697/_workitems/edit/4390222" TargetMode="External"/><Relationship Id="rId317" Type="http://schemas.openxmlformats.org/officeDocument/2006/relationships/hyperlink" Target="https://dev.azure.com/accenturecio08/AutomationProcess_29697/_workitems/edit/4351271" TargetMode="External"/><Relationship Id="rId8" Type="http://schemas.openxmlformats.org/officeDocument/2006/relationships/hyperlink" Target="https://dev.azure.com/accenturecio08/AutomationProcess_29697/_workitems/edit/4361795/?view=edit" TargetMode="External"/><Relationship Id="rId98" Type="http://schemas.openxmlformats.org/officeDocument/2006/relationships/hyperlink" Target="https://dev.azure.com/accenturecio08/AutomationProcess_29697/_workitems/edit/4373716/?view=edit" TargetMode="External"/><Relationship Id="rId121" Type="http://schemas.openxmlformats.org/officeDocument/2006/relationships/hyperlink" Target="https://dev.azure.com/accenturecio08/AutomationProcess_29697/_workitems/edit/4240153/?view=edit" TargetMode="External"/><Relationship Id="rId142" Type="http://schemas.openxmlformats.org/officeDocument/2006/relationships/hyperlink" Target="https://dev.azure.com/accenturecio08/AutomationProcess_29697/_workitems/edit/4387310/?view=edit" TargetMode="External"/><Relationship Id="rId163" Type="http://schemas.openxmlformats.org/officeDocument/2006/relationships/hyperlink" Target="https://dev.azure.com/accenturecio08/AutomationProcess_29697/_workitems/edit/4362959" TargetMode="External"/><Relationship Id="rId184" Type="http://schemas.openxmlformats.org/officeDocument/2006/relationships/hyperlink" Target="https://dev.azure.com/accenturecio08/AutomationProcess_29697/_workitems/edit/4390789/?view=edit" TargetMode="External"/><Relationship Id="rId219" Type="http://schemas.openxmlformats.org/officeDocument/2006/relationships/hyperlink" Target="https://dev.azure.com/accenturecio08/AutomationProcess_29697/_workitems/edit/4318918/?view=edit" TargetMode="External"/><Relationship Id="rId230" Type="http://schemas.openxmlformats.org/officeDocument/2006/relationships/hyperlink" Target="https://dev.azure.com/accenturecio08/AutomationProcess_29697/_workitems/edit/4373065/?view=edit" TargetMode="External"/><Relationship Id="rId251" Type="http://schemas.openxmlformats.org/officeDocument/2006/relationships/hyperlink" Target="https://dev.azure.com/accenturecio08/AutomationProcess_29697/_workitems/edit/4371933/?view=edit" TargetMode="External"/><Relationship Id="rId25" Type="http://schemas.openxmlformats.org/officeDocument/2006/relationships/hyperlink" Target="https://dev.azure.com/accenturecio08/AutomationProcess_29697/_workitems/edit/4378608/?view=edit" TargetMode="External"/><Relationship Id="rId46" Type="http://schemas.openxmlformats.org/officeDocument/2006/relationships/hyperlink" Target="https://dev.azure.com/accenturecio08/AutomationProcess_29697/_workitems/edit/4271339/?view=edit" TargetMode="External"/><Relationship Id="rId67" Type="http://schemas.openxmlformats.org/officeDocument/2006/relationships/hyperlink" Target="https://dev.azure.com/accenturecio08/AutomationProcess_29697/_workitems/edit/4368021/?view=edit" TargetMode="External"/><Relationship Id="rId272" Type="http://schemas.openxmlformats.org/officeDocument/2006/relationships/hyperlink" Target="https://dev.azure.com/accenturecio08/AutomationProcess_29697/_workitems/edit/4349408/?view=edit" TargetMode="External"/><Relationship Id="rId293" Type="http://schemas.openxmlformats.org/officeDocument/2006/relationships/hyperlink" Target="https://dev.azure.com/accenturecio08/AutomationProcess_29697/_workitems/edit/4395039/?view=edit" TargetMode="External"/><Relationship Id="rId307" Type="http://schemas.openxmlformats.org/officeDocument/2006/relationships/hyperlink" Target="https://dev.azure.com/accenturecio08/AutomationProcess_29697/_workitems/edit/4407571" TargetMode="External"/><Relationship Id="rId328" Type="http://schemas.openxmlformats.org/officeDocument/2006/relationships/hyperlink" Target="https://dev.azure.com/accenturecio08/AutomationProcess_29697/_workitems/edit/4436203" TargetMode="External"/><Relationship Id="rId88" Type="http://schemas.openxmlformats.org/officeDocument/2006/relationships/hyperlink" Target="https://dev.azure.com/accenturecio08/AutomationProcess_29697/_workitems/edit/4373650/?view=edit" TargetMode="External"/><Relationship Id="rId111" Type="http://schemas.openxmlformats.org/officeDocument/2006/relationships/hyperlink" Target="https://dev.azure.com/accenturecio08/AutomationProcess_29697/_workitems/edit/4270617/?view=edit" TargetMode="External"/><Relationship Id="rId132" Type="http://schemas.openxmlformats.org/officeDocument/2006/relationships/hyperlink" Target="https://dev.azure.com/accenturecio08/AutomationProcess_29697/_workitems/edit/4371574/?view=edit" TargetMode="External"/><Relationship Id="rId153" Type="http://schemas.openxmlformats.org/officeDocument/2006/relationships/hyperlink" Target="https://dev.azure.com/accenturecio08/AutomationProcess_29697/_workitems/edit/4371466/?view=edit" TargetMode="External"/><Relationship Id="rId174" Type="http://schemas.openxmlformats.org/officeDocument/2006/relationships/hyperlink" Target="https://dev.azure.com/accenturecio08/AutomationProcess_29697/_workitems/edit/4364545" TargetMode="External"/><Relationship Id="rId195" Type="http://schemas.openxmlformats.org/officeDocument/2006/relationships/hyperlink" Target="https://dev.azure.com/accenturecio08/AutomationProcess_29697/_workitems/edit/4378867" TargetMode="External"/><Relationship Id="rId209" Type="http://schemas.openxmlformats.org/officeDocument/2006/relationships/hyperlink" Target="https://dev.azure.com/accenturecio08/AutomationProcess_29697/_workitems/edit/4364563/?view=edit" TargetMode="External"/><Relationship Id="rId220" Type="http://schemas.openxmlformats.org/officeDocument/2006/relationships/hyperlink" Target="https://dev.azure.com/accenturecio08/AutomationProcess_29697/_workitems/edit/4328732/?view=edit" TargetMode="External"/><Relationship Id="rId241" Type="http://schemas.openxmlformats.org/officeDocument/2006/relationships/hyperlink" Target="https://dev.azure.com/accenturecio08/AutomationProcess_29697/_workitems/edit/4360851/?view=edit" TargetMode="External"/><Relationship Id="rId15" Type="http://schemas.openxmlformats.org/officeDocument/2006/relationships/hyperlink" Target="https://dev.azure.com/accenturecio08/AutomationProcess_29697/_workitems/edit/4361807/?view=edit" TargetMode="External"/><Relationship Id="rId36" Type="http://schemas.openxmlformats.org/officeDocument/2006/relationships/hyperlink" Target="https://dev.azure.com/accenturecio08/AutomationProcess_29697/_workitems/edit/4265988/?view=edit" TargetMode="External"/><Relationship Id="rId57" Type="http://schemas.openxmlformats.org/officeDocument/2006/relationships/hyperlink" Target="https://dev.azure.com/accenturecio08/AutomationProcess_29697/_workitems/edit/4278524/?view=edit" TargetMode="External"/><Relationship Id="rId262" Type="http://schemas.openxmlformats.org/officeDocument/2006/relationships/hyperlink" Target="https://dev.azure.com/accenturecio08/AutomationProcess_29697/_workitems/edit/4389974/?view=edit" TargetMode="External"/><Relationship Id="rId283" Type="http://schemas.openxmlformats.org/officeDocument/2006/relationships/hyperlink" Target="https://dev.azure.com/accenturecio08/AutomationProcess_29697/_workitems/edit/4391661/?view=edit" TargetMode="External"/><Relationship Id="rId318" Type="http://schemas.openxmlformats.org/officeDocument/2006/relationships/hyperlink" Target="https://dev.azure.com/accenturecio08/AutomationProcess_29697/_workitems/edit/4421995" TargetMode="External"/><Relationship Id="rId78" Type="http://schemas.openxmlformats.org/officeDocument/2006/relationships/hyperlink" Target="https://dev.azure.com/accenturecio08/AutomationProcess_29697/_workitems/edit/4339301/?view=edit" TargetMode="External"/><Relationship Id="rId99" Type="http://schemas.openxmlformats.org/officeDocument/2006/relationships/hyperlink" Target="https://dev.azure.com/accenturecio08/AutomationProcess_29697/_workitems/edit/4345085/?view=edit" TargetMode="External"/><Relationship Id="rId101" Type="http://schemas.openxmlformats.org/officeDocument/2006/relationships/hyperlink" Target="https://dev.azure.com/accenturecio08/AutomationProcess_29697/_workitems/edit/4240159/?view=edit" TargetMode="External"/><Relationship Id="rId122" Type="http://schemas.openxmlformats.org/officeDocument/2006/relationships/hyperlink" Target="https://dev.azure.com/accenturecio08/AutomationProcess_29697/_workitems/edit/4136042/?view=edit" TargetMode="External"/><Relationship Id="rId143" Type="http://schemas.openxmlformats.org/officeDocument/2006/relationships/hyperlink" Target="https://dev.azure.com/accenturecio08/AutomationProcess_29697/_workitems/edit/4387348/?view=edit" TargetMode="External"/><Relationship Id="rId164" Type="http://schemas.openxmlformats.org/officeDocument/2006/relationships/hyperlink" Target="https://dev.azure.com/accenturecio08/AutomationProcess_29697/_workitems/edit/4359607" TargetMode="External"/><Relationship Id="rId185" Type="http://schemas.openxmlformats.org/officeDocument/2006/relationships/hyperlink" Target="https://dev.azure.com/accenturecio08/AutomationProcess_29697/_workitems/edit/4351206" TargetMode="External"/><Relationship Id="rId9" Type="http://schemas.openxmlformats.org/officeDocument/2006/relationships/hyperlink" Target="https://dev.azure.com/accenturecio08/AutomationProcess_29697/_workitems/edit/4361796/?view=edit" TargetMode="External"/><Relationship Id="rId210" Type="http://schemas.openxmlformats.org/officeDocument/2006/relationships/hyperlink" Target="https://dev.azure.com/accenturecio08/AutomationProcess_29697/_workitems/edit/4364929/?view=edit" TargetMode="External"/><Relationship Id="rId26" Type="http://schemas.openxmlformats.org/officeDocument/2006/relationships/hyperlink" Target="https://dev.azure.com/accenturecio08/AutomationProcess_29697/_workitems/edit/4378933/?view=edit" TargetMode="External"/><Relationship Id="rId231" Type="http://schemas.openxmlformats.org/officeDocument/2006/relationships/hyperlink" Target="https://dev.azure.com/accenturecio08/AutomationProcess_29697/_workitems/edit/4343705/?view=edit" TargetMode="External"/><Relationship Id="rId252" Type="http://schemas.openxmlformats.org/officeDocument/2006/relationships/hyperlink" Target="https://dev.azure.com/accenturecio08/AutomationProcess_29697/_workitems/edit/4389863/?view=edit" TargetMode="External"/><Relationship Id="rId273" Type="http://schemas.openxmlformats.org/officeDocument/2006/relationships/hyperlink" Target="https://dev.azure.com/accenturecio08/AutomationProcess_29697/_workitems/edit/4358329/?view=edit" TargetMode="External"/><Relationship Id="rId294" Type="http://schemas.openxmlformats.org/officeDocument/2006/relationships/hyperlink" Target="https://dev.azure.com/accenturecio08/AutomationProcess_29697/_workitems/edit/4391360/?view=edit" TargetMode="External"/><Relationship Id="rId308" Type="http://schemas.openxmlformats.org/officeDocument/2006/relationships/hyperlink" Target="https://dev.azure.com/accenturecio08/AutomationProcess_29697/_workitems/edit/4409429" TargetMode="External"/><Relationship Id="rId329" Type="http://schemas.openxmlformats.org/officeDocument/2006/relationships/hyperlink" Target="https://dev.azure.com/accenturecio08/AutomationProcess_29697/_workitems/edit/4389859/?view=edit" TargetMode="External"/><Relationship Id="rId47" Type="http://schemas.openxmlformats.org/officeDocument/2006/relationships/hyperlink" Target="https://dev.azure.com/accenturecio08/AutomationProcess_29697/_workitems/edit/4358867/?view=edit" TargetMode="External"/><Relationship Id="rId68" Type="http://schemas.openxmlformats.org/officeDocument/2006/relationships/hyperlink" Target="https://dev.azure.com/accenturecio08/AutomationProcess_29697/_workitems/edit/4368032/?view=edit" TargetMode="External"/><Relationship Id="rId89" Type="http://schemas.openxmlformats.org/officeDocument/2006/relationships/hyperlink" Target="https://dev.azure.com/accenturecio08/AutomationProcess_29697/_workitems/edit/4373711/?view=edit" TargetMode="External"/><Relationship Id="rId112" Type="http://schemas.openxmlformats.org/officeDocument/2006/relationships/hyperlink" Target="https://dev.azure.com/accenturecio08/AutomationProcess_29697/_workitems/edit/4147645/?view=edit" TargetMode="External"/><Relationship Id="rId133" Type="http://schemas.openxmlformats.org/officeDocument/2006/relationships/hyperlink" Target="https://dev.azure.com/accenturecio08/AutomationProcess_29697/_workitems/edit/4371614/?view=edit" TargetMode="External"/><Relationship Id="rId154" Type="http://schemas.openxmlformats.org/officeDocument/2006/relationships/hyperlink" Target="https://dev.azure.com/accenturecio08/AutomationProcess_29697/_workitems/edit/4344835" TargetMode="External"/><Relationship Id="rId175" Type="http://schemas.openxmlformats.org/officeDocument/2006/relationships/hyperlink" Target="https://dev.azure.com/accenturecio08/AutomationProcess_29697/_workitems/edit/4354180" TargetMode="External"/><Relationship Id="rId196" Type="http://schemas.openxmlformats.org/officeDocument/2006/relationships/hyperlink" Target="https://dev.azure.com/accenturecio08/AutomationProcess_29697/_workitems/edit/4393563/?view=edit" TargetMode="External"/><Relationship Id="rId200" Type="http://schemas.openxmlformats.org/officeDocument/2006/relationships/hyperlink" Target="https://dev.azure.com/accenturecio08/AutomationProcess_29697/_workitems/edit/4343706/?view=edit" TargetMode="External"/><Relationship Id="rId16" Type="http://schemas.openxmlformats.org/officeDocument/2006/relationships/hyperlink" Target="https://dev.azure.com/accenturecio08/AutomationProcess_29697/_workitems/edit/4361808/?view=edit" TargetMode="External"/><Relationship Id="rId221" Type="http://schemas.openxmlformats.org/officeDocument/2006/relationships/hyperlink" Target="https://dev.azure.com/accenturecio08/AutomationProcess_29697/_workitems/edit/4100102/?view=edit" TargetMode="External"/><Relationship Id="rId242" Type="http://schemas.openxmlformats.org/officeDocument/2006/relationships/hyperlink" Target="https://dev.azure.com/accenturecio08/AutomationProcess_29697/_workitems/edit/4362567/?view=edit" TargetMode="External"/><Relationship Id="rId263" Type="http://schemas.openxmlformats.org/officeDocument/2006/relationships/hyperlink" Target="https://dev.azure.com/accenturecio08/AutomationProcess_29697/_workitems/edit/4389979/?view=edit" TargetMode="External"/><Relationship Id="rId284" Type="http://schemas.openxmlformats.org/officeDocument/2006/relationships/hyperlink" Target="https://dev.azure.com/accenturecio08/AutomationProcess_29697/_workitems/edit/4393837/?view=edit" TargetMode="External"/><Relationship Id="rId319" Type="http://schemas.openxmlformats.org/officeDocument/2006/relationships/hyperlink" Target="https://dev.azure.com/accenturecio08/AutomationProcess_29697/_workitems/edit/4423055" TargetMode="External"/><Relationship Id="rId37" Type="http://schemas.openxmlformats.org/officeDocument/2006/relationships/hyperlink" Target="https://dev.azure.com/accenturecio08/AutomationProcess_29697/_workitems/edit/4265998/?view=edit" TargetMode="External"/><Relationship Id="rId58" Type="http://schemas.openxmlformats.org/officeDocument/2006/relationships/hyperlink" Target="https://dev.azure.com/accenturecio08/AutomationProcess_29697/_workitems/edit/4372293/?view=edit" TargetMode="External"/><Relationship Id="rId79" Type="http://schemas.openxmlformats.org/officeDocument/2006/relationships/hyperlink" Target="https://dev.azure.com/accenturecio08/AutomationProcess_29697/_workitems/edit/4311478/?view=edit" TargetMode="External"/><Relationship Id="rId102" Type="http://schemas.openxmlformats.org/officeDocument/2006/relationships/hyperlink" Target="https://dev.azure.com/accenturecio08/AutomationProcess_29697/_workitems/edit/4240156/?view=edit" TargetMode="External"/><Relationship Id="rId123" Type="http://schemas.openxmlformats.org/officeDocument/2006/relationships/hyperlink" Target="https://dev.azure.com/accenturecio08/AutomationProcess_29697/_workitems/edit/4136044/?view=edit" TargetMode="External"/><Relationship Id="rId144" Type="http://schemas.openxmlformats.org/officeDocument/2006/relationships/hyperlink" Target="https://dev.azure.com/accenturecio08/AutomationProcess_29697/_workitems/edit/4387360/?view=edit" TargetMode="External"/><Relationship Id="rId330" Type="http://schemas.openxmlformats.org/officeDocument/2006/relationships/hyperlink" Target="https://dev.azure.com/accenturecio08/AutomationProcess_29697/_workitems/edit/4433979" TargetMode="External"/><Relationship Id="rId90" Type="http://schemas.openxmlformats.org/officeDocument/2006/relationships/hyperlink" Target="https://dev.azure.com/accenturecio08/AutomationProcess_29697/_workitems/edit/4373661/?view=edit" TargetMode="External"/><Relationship Id="rId165" Type="http://schemas.openxmlformats.org/officeDocument/2006/relationships/hyperlink" Target="https://dev.azure.com/accenturecio08/AutomationProcess_29697/_workitems/edit/4361790" TargetMode="External"/><Relationship Id="rId186" Type="http://schemas.openxmlformats.org/officeDocument/2006/relationships/hyperlink" Target="https://dev.azure.com/accenturecio08/AutomationProcess_29697/_workitems/edit/4351207" TargetMode="External"/><Relationship Id="rId211" Type="http://schemas.openxmlformats.org/officeDocument/2006/relationships/hyperlink" Target="https://dev.azure.com/accenturecio08/AutomationProcess_29697/_workitems/edit/4364996/?view=edit" TargetMode="External"/><Relationship Id="rId232" Type="http://schemas.openxmlformats.org/officeDocument/2006/relationships/hyperlink" Target="https://dev.azure.com/accenturecio08/AutomationProcess_29697/_workitems/edit/4358784/?view=edit" TargetMode="External"/><Relationship Id="rId253" Type="http://schemas.openxmlformats.org/officeDocument/2006/relationships/hyperlink" Target="https://dev.azure.com/accenturecio08/AutomationProcess_29697/_workitems/edit/4390101/?view=edit" TargetMode="External"/><Relationship Id="rId274" Type="http://schemas.openxmlformats.org/officeDocument/2006/relationships/hyperlink" Target="https://dev.azure.com/accenturecio08/AutomationProcess_29697/_workitems/edit/4392689/?view=edit" TargetMode="External"/><Relationship Id="rId295" Type="http://schemas.openxmlformats.org/officeDocument/2006/relationships/hyperlink" Target="https://dev.azure.com/accenturecio08/AutomationProcess_29697/_workitems/edit/4395035/?view=edit" TargetMode="External"/><Relationship Id="rId309" Type="http://schemas.openxmlformats.org/officeDocument/2006/relationships/hyperlink" Target="https://dev.azure.com/accenturecio08/AutomationProcess_29697/_workitems/edit/4393713/?view=edit" TargetMode="External"/><Relationship Id="rId27" Type="http://schemas.openxmlformats.org/officeDocument/2006/relationships/hyperlink" Target="https://dev.azure.com/accenturecio08/AutomationProcess_29697/_workitems/edit/4381777/?view=edit" TargetMode="External"/><Relationship Id="rId48" Type="http://schemas.openxmlformats.org/officeDocument/2006/relationships/hyperlink" Target="https://dev.azure.com/accenturecio08/AutomationProcess_29697/_workitems/edit/4363949/?view=edit" TargetMode="External"/><Relationship Id="rId69" Type="http://schemas.openxmlformats.org/officeDocument/2006/relationships/hyperlink" Target="https://dev.azure.com/accenturecio08/AutomationProcess_29697/_workitems/edit/4368033/?view=edit" TargetMode="External"/><Relationship Id="rId113" Type="http://schemas.openxmlformats.org/officeDocument/2006/relationships/hyperlink" Target="https://dev.azure.com/accenturecio08/AutomationProcess_29697/_workitems/edit/4147648/?view=edit" TargetMode="External"/><Relationship Id="rId134" Type="http://schemas.openxmlformats.org/officeDocument/2006/relationships/hyperlink" Target="https://dev.azure.com/accenturecio08/AutomationProcess_29697/_workitems/edit/4371751/?view=edit" TargetMode="External"/><Relationship Id="rId320" Type="http://schemas.openxmlformats.org/officeDocument/2006/relationships/hyperlink" Target="https://dev.azure.com/accenturecio08/AutomationProcess_29697/_workitems/edit/4423775" TargetMode="External"/><Relationship Id="rId80" Type="http://schemas.openxmlformats.org/officeDocument/2006/relationships/hyperlink" Target="https://dev.azure.com/accenturecio08/AutomationProcess_29697/_workitems/edit/4311483/?view=edit" TargetMode="External"/><Relationship Id="rId155" Type="http://schemas.openxmlformats.org/officeDocument/2006/relationships/hyperlink" Target="https://dev.azure.com/accenturecio08/AutomationProcess_29697/_workitems/edit/4351345" TargetMode="External"/><Relationship Id="rId176" Type="http://schemas.openxmlformats.org/officeDocument/2006/relationships/hyperlink" Target="https://dev.azure.com/accenturecio08/AutomationProcess_29697/_workitems/edit/4330638/?view=edit" TargetMode="External"/><Relationship Id="rId197" Type="http://schemas.openxmlformats.org/officeDocument/2006/relationships/hyperlink" Target="https://dev.azure.com/accenturecio08/AutomationProcess_29697/_workitems/edit/4343700/?view=edit" TargetMode="External"/><Relationship Id="rId201" Type="http://schemas.openxmlformats.org/officeDocument/2006/relationships/hyperlink" Target="https://dev.azure.com/accenturecio08/AutomationProcess_29697/_workitems/edit/4361207/?view=edit" TargetMode="External"/><Relationship Id="rId222" Type="http://schemas.openxmlformats.org/officeDocument/2006/relationships/hyperlink" Target="https://dev.azure.com/accenturecio08/AutomationProcess_29697/_workitems/edit/4368404/?view=edit" TargetMode="External"/><Relationship Id="rId243" Type="http://schemas.openxmlformats.org/officeDocument/2006/relationships/hyperlink" Target="https://dev.azure.com/accenturecio08/AutomationProcess_29697/_workitems/edit/4346705/?view=edit" TargetMode="External"/><Relationship Id="rId264" Type="http://schemas.openxmlformats.org/officeDocument/2006/relationships/hyperlink" Target="https://dev.azure.com/accenturecio08/AutomationProcess_29697/_workitems/edit/4349409/?view=edit" TargetMode="External"/><Relationship Id="rId285" Type="http://schemas.openxmlformats.org/officeDocument/2006/relationships/hyperlink" Target="https://dev.azure.com/accenturecio08/AutomationProcess_29697/_workitems/edit/4393840/?view=edit" TargetMode="External"/><Relationship Id="rId17" Type="http://schemas.openxmlformats.org/officeDocument/2006/relationships/hyperlink" Target="https://dev.azure.com/accenturecio08/AutomationProcess_29697/_workitems/edit/4367505/?view=edit" TargetMode="External"/><Relationship Id="rId38" Type="http://schemas.openxmlformats.org/officeDocument/2006/relationships/hyperlink" Target="https://dev.azure.com/accenturecio08/AutomationProcess_29697/_workitems/edit/4266022/?view=edit" TargetMode="External"/><Relationship Id="rId59" Type="http://schemas.openxmlformats.org/officeDocument/2006/relationships/hyperlink" Target="https://dev.azure.com/accenturecio08/AutomationProcess_29697/_workitems/edit/4373745/?view=edit" TargetMode="External"/><Relationship Id="rId103" Type="http://schemas.openxmlformats.org/officeDocument/2006/relationships/hyperlink" Target="https://dev.azure.com/accenturecio08/AutomationProcess_29697/_workitems/edit/4105351/?view=edit" TargetMode="External"/><Relationship Id="rId124" Type="http://schemas.openxmlformats.org/officeDocument/2006/relationships/hyperlink" Target="https://dev.azure.com/accenturecio08/AutomationProcess_29697/_workitems/edit/4136068/?view=edit" TargetMode="External"/><Relationship Id="rId310" Type="http://schemas.openxmlformats.org/officeDocument/2006/relationships/hyperlink" Target="mailto:namrata.g.umardand@accenture.com" TargetMode="External"/><Relationship Id="rId70" Type="http://schemas.openxmlformats.org/officeDocument/2006/relationships/hyperlink" Target="https://dev.azure.com/accenturecio08/AutomationProcess_29697/_workitems/edit/4368053/?view=edit" TargetMode="External"/><Relationship Id="rId91" Type="http://schemas.openxmlformats.org/officeDocument/2006/relationships/hyperlink" Target="https://dev.azure.com/accenturecio08/AutomationProcess_29697/_workitems/edit/4373654/?view=edit" TargetMode="External"/><Relationship Id="rId145" Type="http://schemas.openxmlformats.org/officeDocument/2006/relationships/hyperlink" Target="https://dev.azure.com/accenturecio08/AutomationProcess_29697/_workitems/edit/4387679/?view=edit" TargetMode="External"/><Relationship Id="rId166" Type="http://schemas.openxmlformats.org/officeDocument/2006/relationships/hyperlink" Target="https://dev.azure.com/accenturecio08/AutomationProcess_29697/_workitems/edit/4371838" TargetMode="External"/><Relationship Id="rId187" Type="http://schemas.openxmlformats.org/officeDocument/2006/relationships/hyperlink" Target="https://dev.azure.com/accenturecio08/AutomationProcess_29697/_workitems/edit/4351286" TargetMode="External"/><Relationship Id="rId331" Type="http://schemas.openxmlformats.org/officeDocument/2006/relationships/hyperlink" Target="https://dev.azure.com/accenturecio08/AutomationProcess_29697/_workitems/edit/4445978" TargetMode="External"/><Relationship Id="rId1" Type="http://schemas.openxmlformats.org/officeDocument/2006/relationships/hyperlink" Target="https://dev.azure.com/accenturecio08/AutomationProcess_29697/_workitems/edit/4174505/?view=edit" TargetMode="External"/><Relationship Id="rId212" Type="http://schemas.openxmlformats.org/officeDocument/2006/relationships/hyperlink" Target="https://dev.azure.com/accenturecio08/AutomationProcess_29697/_workitems/edit/4373517/?view=edit" TargetMode="External"/><Relationship Id="rId233" Type="http://schemas.openxmlformats.org/officeDocument/2006/relationships/hyperlink" Target="https://dev.azure.com/accenturecio08/AutomationProcess_29697/_workitems/edit/4366137/?view=edit" TargetMode="External"/><Relationship Id="rId254" Type="http://schemas.openxmlformats.org/officeDocument/2006/relationships/hyperlink" Target="https://dev.azure.com/accenturecio08/AutomationProcess_29697/_workitems/edit/4391662/?view=edit" TargetMode="External"/><Relationship Id="rId28" Type="http://schemas.openxmlformats.org/officeDocument/2006/relationships/hyperlink" Target="https://dev.azure.com/accenturecio08/AutomationProcess_29697/_workitems/edit/4387497/?view=edit" TargetMode="External"/><Relationship Id="rId49" Type="http://schemas.openxmlformats.org/officeDocument/2006/relationships/hyperlink" Target="https://dev.azure.com/accenturecio08/AutomationProcess_29697/_workitems/edit/4366164/?view=edit" TargetMode="External"/><Relationship Id="rId114" Type="http://schemas.openxmlformats.org/officeDocument/2006/relationships/hyperlink" Target="https://dev.azure.com/accenturecio08/AutomationProcess_29697/_workitems/edit/4147649/?view=edit" TargetMode="External"/><Relationship Id="rId275" Type="http://schemas.openxmlformats.org/officeDocument/2006/relationships/hyperlink" Target="https://dev.azure.com/accenturecio08/AutomationProcess_29697/_workitems/edit/4392716/?view=edit" TargetMode="External"/><Relationship Id="rId296" Type="http://schemas.openxmlformats.org/officeDocument/2006/relationships/hyperlink" Target="https://dev.azure.com/accenturecio08/AutomationProcess_29697/_workitems/edit/4395041/?view=edit" TargetMode="External"/><Relationship Id="rId300" Type="http://schemas.openxmlformats.org/officeDocument/2006/relationships/hyperlink" Target="https://dev.azure.com/accenturecio08/AutomationProcess_29697/_workitems/edit/4391370" TargetMode="External"/><Relationship Id="rId60" Type="http://schemas.openxmlformats.org/officeDocument/2006/relationships/hyperlink" Target="https://dev.azure.com/accenturecio08/AutomationProcess_29697/_workitems/edit/4357665/?view=edit" TargetMode="External"/><Relationship Id="rId81" Type="http://schemas.openxmlformats.org/officeDocument/2006/relationships/hyperlink" Target="https://dev.azure.com/accenturecio08/AutomationProcess_29697/_workitems/edit/4311485/?view=edit" TargetMode="External"/><Relationship Id="rId135" Type="http://schemas.openxmlformats.org/officeDocument/2006/relationships/hyperlink" Target="https://dev.azure.com/accenturecio08/AutomationProcess_29697/_workitems/edit/4371760/?view=edit" TargetMode="External"/><Relationship Id="rId156" Type="http://schemas.openxmlformats.org/officeDocument/2006/relationships/hyperlink" Target="https://dev.azure.com/accenturecio08/AutomationProcess_29697/_workitems/edit/4361171" TargetMode="External"/><Relationship Id="rId177" Type="http://schemas.openxmlformats.org/officeDocument/2006/relationships/hyperlink" Target="https://dev.azure.com/accenturecio08/AutomationProcess_29697/_workitems/edit/4361594/?view=edit" TargetMode="External"/><Relationship Id="rId198" Type="http://schemas.openxmlformats.org/officeDocument/2006/relationships/hyperlink" Target="https://dev.azure.com/accenturecio08/AutomationProcess_29697/_workitems/edit/4343702/?view=edit" TargetMode="External"/><Relationship Id="rId321" Type="http://schemas.openxmlformats.org/officeDocument/2006/relationships/hyperlink" Target="https://dev.azure.com/accenturecio08/AutomationProcess_29697/_workitems/edit/4423775" TargetMode="External"/><Relationship Id="rId202" Type="http://schemas.openxmlformats.org/officeDocument/2006/relationships/hyperlink" Target="https://dev.azure.com/accenturecio08/AutomationProcess_29697/_workitems/edit/4361788/?view=edit" TargetMode="External"/><Relationship Id="rId223" Type="http://schemas.openxmlformats.org/officeDocument/2006/relationships/hyperlink" Target="https://dev.azure.com/accenturecio08/AutomationProcess_29697/_workitems/edit/4368405/?view=edit" TargetMode="External"/><Relationship Id="rId244" Type="http://schemas.openxmlformats.org/officeDocument/2006/relationships/hyperlink" Target="https://dev.azure.com/accenturecio08/AutomationProcess_29697/_workitems/edit/4308725/?view=edit" TargetMode="External"/><Relationship Id="rId18" Type="http://schemas.openxmlformats.org/officeDocument/2006/relationships/hyperlink" Target="https://dev.azure.com/accenturecio08/AutomationProcess_29697/_workitems/edit/4371749/?view=edit" TargetMode="External"/><Relationship Id="rId39" Type="http://schemas.openxmlformats.org/officeDocument/2006/relationships/hyperlink" Target="https://dev.azure.com/accenturecio08/AutomationProcess_29697/_workitems/edit/4266024/?view=edit" TargetMode="External"/><Relationship Id="rId265" Type="http://schemas.openxmlformats.org/officeDocument/2006/relationships/hyperlink" Target="https://dev.azure.com/accenturecio08/AutomationProcess_29697/_workitems/edit/4349500/?view=edit" TargetMode="External"/><Relationship Id="rId286" Type="http://schemas.openxmlformats.org/officeDocument/2006/relationships/hyperlink" Target="https://dev.azure.com/accenturecio08/AutomationProcess_29697/_workitems/edit/4393847/?view=edit" TargetMode="External"/><Relationship Id="rId50" Type="http://schemas.openxmlformats.org/officeDocument/2006/relationships/hyperlink" Target="https://dev.azure.com/accenturecio08/AutomationProcess_29697/_workitems/edit/4330981/?view=edit" TargetMode="External"/><Relationship Id="rId104" Type="http://schemas.openxmlformats.org/officeDocument/2006/relationships/hyperlink" Target="https://dev.azure.com/accenturecio08/AutomationProcess_29697/_workitems/edit/4105353/?view=edit" TargetMode="External"/><Relationship Id="rId125" Type="http://schemas.openxmlformats.org/officeDocument/2006/relationships/hyperlink" Target="https://dev.azure.com/accenturecio08/AutomationProcess_29697/_workitems/edit/4136084/?view=edit" TargetMode="External"/><Relationship Id="rId146" Type="http://schemas.openxmlformats.org/officeDocument/2006/relationships/hyperlink" Target="https://dev.azure.com/accenturecio08/AutomationProcess_29697/_workitems/edit/4389820/?view=edit" TargetMode="External"/><Relationship Id="rId167" Type="http://schemas.openxmlformats.org/officeDocument/2006/relationships/hyperlink" Target="https://dev.azure.com/accenturecio08/AutomationProcess_29697/_workitems/edit/4316297" TargetMode="External"/><Relationship Id="rId188" Type="http://schemas.openxmlformats.org/officeDocument/2006/relationships/hyperlink" Target="https://dev.azure.com/accenturecio08/AutomationProcess_29697/_workitems/edit/4351288" TargetMode="External"/><Relationship Id="rId311" Type="http://schemas.openxmlformats.org/officeDocument/2006/relationships/hyperlink" Target="mailto:namrata.g.umardand@accenture.com" TargetMode="External"/><Relationship Id="rId332" Type="http://schemas.openxmlformats.org/officeDocument/2006/relationships/hyperlink" Target="https://dev.azure.com/accenturecio08/AutomationProcess_29697/_workitems/edit/4444288" TargetMode="External"/><Relationship Id="rId71" Type="http://schemas.openxmlformats.org/officeDocument/2006/relationships/hyperlink" Target="https://dev.azure.com/accenturecio08/AutomationProcess_29697/_workitems/edit/4368070/?view=edit" TargetMode="External"/><Relationship Id="rId92" Type="http://schemas.openxmlformats.org/officeDocument/2006/relationships/hyperlink" Target="https://dev.azure.com/accenturecio08/AutomationProcess_29697/_workitems/edit/4373656/?view=edit" TargetMode="External"/><Relationship Id="rId213" Type="http://schemas.openxmlformats.org/officeDocument/2006/relationships/hyperlink" Target="https://dev.azure.com/accenturecio08/AutomationProcess_29697/_workitems/edit/4373570/?view=edit" TargetMode="External"/><Relationship Id="rId234" Type="http://schemas.openxmlformats.org/officeDocument/2006/relationships/hyperlink" Target="https://dev.azure.com/accenturecio08/AutomationProcess_29697/_workitems/edit/4367327/?view=edit" TargetMode="External"/><Relationship Id="rId2" Type="http://schemas.openxmlformats.org/officeDocument/2006/relationships/hyperlink" Target="https://dev.azure.com/accenturecio08/AutomationProcess_29697/_workitems/edit/4266636/?view=edit" TargetMode="External"/><Relationship Id="rId29" Type="http://schemas.openxmlformats.org/officeDocument/2006/relationships/hyperlink" Target="https://dev.azure.com/accenturecio08/AutomationProcess_29697/_workitems/edit/4387505/?view=edit" TargetMode="External"/><Relationship Id="rId255" Type="http://schemas.openxmlformats.org/officeDocument/2006/relationships/hyperlink" Target="https://dev.azure.com/accenturecio08/AutomationProcess_29697/_workitems/edit/4392669/?view=edit" TargetMode="External"/><Relationship Id="rId276" Type="http://schemas.openxmlformats.org/officeDocument/2006/relationships/hyperlink" Target="https://dev.azure.com/accenturecio08/AutomationProcess_29697/_workitems/edit/4373916/?view=edit" TargetMode="External"/><Relationship Id="rId297" Type="http://schemas.openxmlformats.org/officeDocument/2006/relationships/hyperlink" Target="https://dev.azure.com/accenturecio08/AutomationProcess_29697/_workitems/edit/4395033/?view=edit" TargetMode="External"/><Relationship Id="rId40" Type="http://schemas.openxmlformats.org/officeDocument/2006/relationships/hyperlink" Target="https://dev.azure.com/accenturecio08/AutomationProcess_29697/_workitems/edit/4267005/?view=edit" TargetMode="External"/><Relationship Id="rId115" Type="http://schemas.openxmlformats.org/officeDocument/2006/relationships/hyperlink" Target="https://dev.azure.com/accenturecio08/AutomationProcess_29697/_workitems/edit/4177442/?view=edit" TargetMode="External"/><Relationship Id="rId136" Type="http://schemas.openxmlformats.org/officeDocument/2006/relationships/hyperlink" Target="https://dev.azure.com/accenturecio08/AutomationProcess_29697/_workitems/edit/4368209/?view=edit" TargetMode="External"/><Relationship Id="rId157" Type="http://schemas.openxmlformats.org/officeDocument/2006/relationships/hyperlink" Target="https://dev.azure.com/accenturecio08/AutomationProcess_29697/_workitems/edit/4378856" TargetMode="External"/><Relationship Id="rId178" Type="http://schemas.openxmlformats.org/officeDocument/2006/relationships/hyperlink" Target="https://dev.azure.com/accenturecio08/AutomationProcess_29697/_workitems/edit/4381785/?view=edit" TargetMode="External"/><Relationship Id="rId301" Type="http://schemas.openxmlformats.org/officeDocument/2006/relationships/hyperlink" Target="https://dev.azure.com/accenturecio08/AutomationProcess_29697/_workitems/edit/4399219" TargetMode="External"/><Relationship Id="rId322" Type="http://schemas.openxmlformats.org/officeDocument/2006/relationships/hyperlink" Target="https://dev.azure.com/accenturecio08/AutomationProcess_29697/_workitems/edit/4393585" TargetMode="External"/><Relationship Id="rId61" Type="http://schemas.openxmlformats.org/officeDocument/2006/relationships/hyperlink" Target="https://dev.azure.com/accenturecio08/AutomationProcess_29697/_workitems/edit/4372156/?view=edit" TargetMode="External"/><Relationship Id="rId82" Type="http://schemas.openxmlformats.org/officeDocument/2006/relationships/hyperlink" Target="https://dev.azure.com/accenturecio08/AutomationProcess_29697/_workitems/edit/4370867/?view=edit" TargetMode="External"/><Relationship Id="rId199" Type="http://schemas.openxmlformats.org/officeDocument/2006/relationships/hyperlink" Target="https://dev.azure.com/accenturecio08/AutomationProcess_29697/_workitems/edit/4343704/?view=edit" TargetMode="External"/><Relationship Id="rId203" Type="http://schemas.openxmlformats.org/officeDocument/2006/relationships/hyperlink" Target="https://dev.azure.com/accenturecio08/AutomationProcess_29697/_workitems/edit/4365015/?view=edit" TargetMode="External"/><Relationship Id="rId19" Type="http://schemas.openxmlformats.org/officeDocument/2006/relationships/hyperlink" Target="https://dev.azure.com/accenturecio08/AutomationProcess_29697/_workitems/edit/4372653/?view=edit" TargetMode="External"/><Relationship Id="rId224" Type="http://schemas.openxmlformats.org/officeDocument/2006/relationships/hyperlink" Target="https://dev.azure.com/accenturecio08/AutomationProcess_29697/_workitems/edit/4368508/?view=edit" TargetMode="External"/><Relationship Id="rId245" Type="http://schemas.openxmlformats.org/officeDocument/2006/relationships/hyperlink" Target="https://dev.azure.com/accenturecio08/AutomationProcess_29697/_workitems/edit/4368141/?view=edit" TargetMode="External"/><Relationship Id="rId266" Type="http://schemas.openxmlformats.org/officeDocument/2006/relationships/hyperlink" Target="https://dev.azure.com/accenturecio08/AutomationProcess_29697/_workitems/edit/4349598/?view=edit" TargetMode="External"/><Relationship Id="rId287" Type="http://schemas.openxmlformats.org/officeDocument/2006/relationships/hyperlink" Target="https://dev.azure.com/accenturecio08/AutomationProcess_29697/_workitems/edit/4395043/?view=edit" TargetMode="External"/><Relationship Id="rId30" Type="http://schemas.openxmlformats.org/officeDocument/2006/relationships/hyperlink" Target="https://dev.azure.com/accenturecio08/AutomationProcess_29697/_workitems/edit/4387512/?view=edit" TargetMode="External"/><Relationship Id="rId105" Type="http://schemas.openxmlformats.org/officeDocument/2006/relationships/hyperlink" Target="https://dev.azure.com/accenturecio08/AutomationProcess_29697/_workitems/edit/4330982/?view=edit" TargetMode="External"/><Relationship Id="rId126" Type="http://schemas.openxmlformats.org/officeDocument/2006/relationships/hyperlink" Target="https://dev.azure.com/accenturecio08/AutomationProcess_29697/_workitems/edit/4136086/?view=edit" TargetMode="External"/><Relationship Id="rId147" Type="http://schemas.openxmlformats.org/officeDocument/2006/relationships/hyperlink" Target="https://dev.azure.com/accenturecio08/AutomationProcess_29697/_workitems/edit/4387511/?view=edit" TargetMode="External"/><Relationship Id="rId168" Type="http://schemas.openxmlformats.org/officeDocument/2006/relationships/hyperlink" Target="https://dev.azure.com/accenturecio08/AutomationProcess_29697/_workitems/edit/4316299" TargetMode="External"/><Relationship Id="rId312" Type="http://schemas.openxmlformats.org/officeDocument/2006/relationships/hyperlink" Target="mailto:namrata.g.umardand@accenture.com" TargetMode="External"/><Relationship Id="rId333" Type="http://schemas.openxmlformats.org/officeDocument/2006/relationships/hyperlink" Target="https://dev.azure.com/accenturecio08/AutomationProcess_29697/_workitems/edit/4445982" TargetMode="External"/><Relationship Id="rId51" Type="http://schemas.openxmlformats.org/officeDocument/2006/relationships/hyperlink" Target="https://dev.azure.com/accenturecio08/AutomationProcess_29697/_workitems/edit/4337147/?view=edit" TargetMode="External"/><Relationship Id="rId72" Type="http://schemas.openxmlformats.org/officeDocument/2006/relationships/hyperlink" Target="https://dev.azure.com/accenturecio08/AutomationProcess_29697/_workitems/edit/4372288/?view=edit" TargetMode="External"/><Relationship Id="rId93" Type="http://schemas.openxmlformats.org/officeDocument/2006/relationships/hyperlink" Target="https://dev.azure.com/accenturecio08/AutomationProcess_29697/_workitems/edit/4373657/?view=edit" TargetMode="External"/><Relationship Id="rId189" Type="http://schemas.openxmlformats.org/officeDocument/2006/relationships/hyperlink" Target="https://dev.azure.com/accenturecio08/AutomationProcess_29697/_workitems/edit/4353128" TargetMode="External"/><Relationship Id="rId3" Type="http://schemas.openxmlformats.org/officeDocument/2006/relationships/hyperlink" Target="https://dev.azure.com/accenturecio08/AutomationProcess_29697/_workitems/edit/4316367/?view=edit" TargetMode="External"/><Relationship Id="rId214" Type="http://schemas.openxmlformats.org/officeDocument/2006/relationships/hyperlink" Target="https://dev.azure.com/accenturecio08/AutomationProcess_29697/_workitems/edit/4376380/?view=edit" TargetMode="External"/><Relationship Id="rId235" Type="http://schemas.openxmlformats.org/officeDocument/2006/relationships/hyperlink" Target="https://dev.azure.com/accenturecio08/AutomationProcess_29697/_workitems/edit/4371950/?view=edit" TargetMode="External"/><Relationship Id="rId256" Type="http://schemas.openxmlformats.org/officeDocument/2006/relationships/hyperlink" Target="https://dev.azure.com/accenturecio08/AutomationProcess_29697/_workitems/edit/4392736/?view=edit" TargetMode="External"/><Relationship Id="rId277" Type="http://schemas.openxmlformats.org/officeDocument/2006/relationships/hyperlink" Target="https://dev.azure.com/accenturecio08/AutomationProcess_29697/_workitems/edit/4373918/?view=edit" TargetMode="External"/><Relationship Id="rId298" Type="http://schemas.openxmlformats.org/officeDocument/2006/relationships/hyperlink" Target="https://dev.azure.com/accenturecio08/AutomationProcess_29697/_workitems/edit/4395034/?view=edit" TargetMode="External"/><Relationship Id="rId116" Type="http://schemas.openxmlformats.org/officeDocument/2006/relationships/hyperlink" Target="https://dev.azure.com/accenturecio08/AutomationProcess_29697/_workitems/edit/4177443/?view=edit" TargetMode="External"/><Relationship Id="rId137" Type="http://schemas.openxmlformats.org/officeDocument/2006/relationships/hyperlink" Target="https://dev.azure.com/accenturecio08/AutomationProcess_29697/_workitems/edit/4368225/?view=edit" TargetMode="External"/><Relationship Id="rId158" Type="http://schemas.openxmlformats.org/officeDocument/2006/relationships/hyperlink" Target="https://dev.azure.com/accenturecio08/AutomationProcess_29697/_workitems/edit/4271903" TargetMode="External"/><Relationship Id="rId302" Type="http://schemas.openxmlformats.org/officeDocument/2006/relationships/hyperlink" Target="https://dev.azure.com/accenturecio08/AutomationProcess_29697/_workitems/edit/4381766" TargetMode="External"/><Relationship Id="rId323" Type="http://schemas.openxmlformats.org/officeDocument/2006/relationships/hyperlink" Target="https://dev.azure.com/accenturecio08/AutomationProcess_29697/_workitems/edit/4426302" TargetMode="External"/><Relationship Id="rId20" Type="http://schemas.openxmlformats.org/officeDocument/2006/relationships/hyperlink" Target="https://dev.azure.com/accenturecio08/AutomationProcess_29697/_workitems/edit/4372897/?view=edit" TargetMode="External"/><Relationship Id="rId41" Type="http://schemas.openxmlformats.org/officeDocument/2006/relationships/hyperlink" Target="https://dev.azure.com/accenturecio08/AutomationProcess_29697/_workitems/edit/4267410/?view=edit" TargetMode="External"/><Relationship Id="rId62" Type="http://schemas.openxmlformats.org/officeDocument/2006/relationships/hyperlink" Target="https://dev.azure.com/accenturecio08/AutomationProcess_29697/_workitems/edit/4368371/?view=edit" TargetMode="External"/><Relationship Id="rId83" Type="http://schemas.openxmlformats.org/officeDocument/2006/relationships/hyperlink" Target="https://dev.azure.com/accenturecio08/AutomationProcess_29697/_workitems/edit/4371050/?view=edit" TargetMode="External"/><Relationship Id="rId179" Type="http://schemas.openxmlformats.org/officeDocument/2006/relationships/hyperlink" Target="https://dev.azure.com/accenturecio08/AutomationProcess_29697/_workitems/edit/4385949/?view=edit" TargetMode="External"/><Relationship Id="rId190" Type="http://schemas.openxmlformats.org/officeDocument/2006/relationships/hyperlink" Target="https://dev.azure.com/accenturecio08/AutomationProcess_29697/_workitems/edit/4354556" TargetMode="External"/><Relationship Id="rId204" Type="http://schemas.openxmlformats.org/officeDocument/2006/relationships/hyperlink" Target="https://dev.azure.com/accenturecio08/AutomationProcess_29697/_workitems/edit/4367218/?view=edit" TargetMode="External"/><Relationship Id="rId225" Type="http://schemas.openxmlformats.org/officeDocument/2006/relationships/hyperlink" Target="https://dev.azure.com/accenturecio08/AutomationProcess_29697/_workitems/edit/4372603/?view=edit" TargetMode="External"/><Relationship Id="rId246" Type="http://schemas.openxmlformats.org/officeDocument/2006/relationships/hyperlink" Target="https://dev.azure.com/accenturecio08/AutomationProcess_29697/_workitems/edit/4368158/?view=edit" TargetMode="External"/><Relationship Id="rId267" Type="http://schemas.openxmlformats.org/officeDocument/2006/relationships/hyperlink" Target="https://dev.azure.com/accenturecio08/AutomationProcess_29697/_workitems/edit/4355655/?view=edit" TargetMode="External"/><Relationship Id="rId288" Type="http://schemas.openxmlformats.org/officeDocument/2006/relationships/hyperlink" Target="https://dev.azure.com/accenturecio08/AutomationProcess_29697/_workitems/edit/4395049/?view=edit" TargetMode="External"/><Relationship Id="rId106" Type="http://schemas.openxmlformats.org/officeDocument/2006/relationships/hyperlink" Target="https://dev.azure.com/accenturecio08/AutomationProcess_29697/_workitems/edit/4330983/?view=edit" TargetMode="External"/><Relationship Id="rId127" Type="http://schemas.openxmlformats.org/officeDocument/2006/relationships/hyperlink" Target="https://dev.azure.com/accenturecio08/AutomationProcess_29697/_workitems/edit/4136089/?view=edit" TargetMode="External"/><Relationship Id="rId313" Type="http://schemas.openxmlformats.org/officeDocument/2006/relationships/hyperlink" Target="https://dev.azure.com/accenturecio08/AutomationProcess_29697/_workitems/edit/4387618" TargetMode="External"/><Relationship Id="rId10" Type="http://schemas.openxmlformats.org/officeDocument/2006/relationships/hyperlink" Target="https://dev.azure.com/accenturecio08/AutomationProcess_29697/_workitems/edit/4361798/?view=edit" TargetMode="External"/><Relationship Id="rId31" Type="http://schemas.openxmlformats.org/officeDocument/2006/relationships/hyperlink" Target="https://dev.azure.com/accenturecio08/AutomationProcess_29697/_workitems/edit/4385147/?view=edit" TargetMode="External"/><Relationship Id="rId52" Type="http://schemas.openxmlformats.org/officeDocument/2006/relationships/hyperlink" Target="https://dev.azure.com/accenturecio08/AutomationProcess_29697/_workitems/edit/4341515/?view=edit" TargetMode="External"/><Relationship Id="rId73" Type="http://schemas.openxmlformats.org/officeDocument/2006/relationships/hyperlink" Target="https://dev.azure.com/accenturecio08/AutomationProcess_29697/_workitems/edit/4367411/?view=edit" TargetMode="External"/><Relationship Id="rId94" Type="http://schemas.openxmlformats.org/officeDocument/2006/relationships/hyperlink" Target="https://dev.azure.com/accenturecio08/AutomationProcess_29697/_workitems/edit/4381589/?view=edit" TargetMode="External"/><Relationship Id="rId148" Type="http://schemas.openxmlformats.org/officeDocument/2006/relationships/hyperlink" Target="https://dev.azure.com/accenturecio08/AutomationProcess_29697/_workitems/edit/4387513/?view=edit" TargetMode="External"/><Relationship Id="rId169" Type="http://schemas.openxmlformats.org/officeDocument/2006/relationships/hyperlink" Target="https://dev.azure.com/accenturecio08/AutomationProcess_29697/_workitems/edit/4094562" TargetMode="External"/><Relationship Id="rId334" Type="http://schemas.openxmlformats.org/officeDocument/2006/relationships/drawing" Target="../drawings/drawing1.xml"/><Relationship Id="rId4" Type="http://schemas.openxmlformats.org/officeDocument/2006/relationships/hyperlink" Target="https://dev.azure.com/accenturecio08/AutomationProcess_29697/_workitems/edit/4328943/?view=edit" TargetMode="External"/><Relationship Id="rId180" Type="http://schemas.openxmlformats.org/officeDocument/2006/relationships/hyperlink" Target="https://dev.azure.com/accenturecio08/AutomationProcess_29697/_workitems/edit/4390250/?view=edit" TargetMode="External"/><Relationship Id="rId215" Type="http://schemas.openxmlformats.org/officeDocument/2006/relationships/hyperlink" Target="https://dev.azure.com/accenturecio08/AutomationProcess_29697/_workitems/edit/4362465/?view=edit" TargetMode="External"/><Relationship Id="rId236" Type="http://schemas.openxmlformats.org/officeDocument/2006/relationships/hyperlink" Target="https://dev.azure.com/accenturecio08/AutomationProcess_29697/_workitems/edit/4371951/?view=edit" TargetMode="External"/><Relationship Id="rId257" Type="http://schemas.openxmlformats.org/officeDocument/2006/relationships/hyperlink" Target="https://dev.azure.com/accenturecio08/AutomationProcess_29697/_workitems/edit/4392742/?view=edit" TargetMode="External"/><Relationship Id="rId278" Type="http://schemas.openxmlformats.org/officeDocument/2006/relationships/hyperlink" Target="https://dev.azure.com/accenturecio08/AutomationProcess_29697/_workitems/edit/4373922/?view=edit" TargetMode="External"/><Relationship Id="rId303" Type="http://schemas.openxmlformats.org/officeDocument/2006/relationships/hyperlink" Target="https://dev.azure.com/accenturecio08/AutomationProcess_29697/_workitems/edit/4398531/?view=edit" TargetMode="External"/><Relationship Id="rId42" Type="http://schemas.openxmlformats.org/officeDocument/2006/relationships/hyperlink" Target="https://dev.azure.com/accenturecio08/AutomationProcess_29697/_workitems/edit/4267715/?view=edit" TargetMode="External"/><Relationship Id="rId84" Type="http://schemas.openxmlformats.org/officeDocument/2006/relationships/hyperlink" Target="https://dev.azure.com/accenturecio08/AutomationProcess_29697/_workitems/edit/4373686/?view=edit" TargetMode="External"/><Relationship Id="rId138" Type="http://schemas.openxmlformats.org/officeDocument/2006/relationships/hyperlink" Target="https://dev.azure.com/accenturecio08/AutomationProcess_29697/_workitems/edit/4368226/?view=edit" TargetMode="External"/><Relationship Id="rId191" Type="http://schemas.openxmlformats.org/officeDocument/2006/relationships/hyperlink" Target="https://dev.azure.com/accenturecio08/AutomationProcess_29697/_workitems/edit/4355494" TargetMode="External"/><Relationship Id="rId205" Type="http://schemas.openxmlformats.org/officeDocument/2006/relationships/hyperlink" Target="https://dev.azure.com/accenturecio08/AutomationProcess_29697/_workitems/edit/4385961/?view=edit" TargetMode="External"/><Relationship Id="rId247" Type="http://schemas.openxmlformats.org/officeDocument/2006/relationships/hyperlink" Target="https://dev.azure.com/accenturecio08/AutomationProcess_29697/_workitems/edit/4368160/?view=edit" TargetMode="External"/><Relationship Id="rId107" Type="http://schemas.openxmlformats.org/officeDocument/2006/relationships/hyperlink" Target="https://dev.azure.com/accenturecio08/AutomationProcess_29697/_workitems/edit/4278575/?view=edit" TargetMode="External"/><Relationship Id="rId289" Type="http://schemas.openxmlformats.org/officeDocument/2006/relationships/hyperlink" Target="https://dev.azure.com/accenturecio08/AutomationProcess_29697/_workitems/edit/4395050/?view=edit" TargetMode="External"/><Relationship Id="rId11" Type="http://schemas.openxmlformats.org/officeDocument/2006/relationships/hyperlink" Target="https://dev.azure.com/accenturecio08/AutomationProcess_29697/_workitems/edit/4361800/?view=edit" TargetMode="External"/><Relationship Id="rId53" Type="http://schemas.openxmlformats.org/officeDocument/2006/relationships/hyperlink" Target="https://dev.azure.com/accenturecio08/AutomationProcess_29697/_workitems/edit/4344830/?view=edit" TargetMode="External"/><Relationship Id="rId149" Type="http://schemas.openxmlformats.org/officeDocument/2006/relationships/hyperlink" Target="https://dev.azure.com/accenturecio08/AutomationProcess_29697/_workitems/edit/4319914/?view=edit" TargetMode="External"/><Relationship Id="rId314" Type="http://schemas.openxmlformats.org/officeDocument/2006/relationships/hyperlink" Target="https://dev.azure.com/accenturecio08/AutomationProcess_29697/_workitems/edit/4416088" TargetMode="External"/><Relationship Id="rId95" Type="http://schemas.openxmlformats.org/officeDocument/2006/relationships/hyperlink" Target="https://dev.azure.com/accenturecio08/AutomationProcess_29697/_workitems/edit/4381591/?view=edit" TargetMode="External"/><Relationship Id="rId160" Type="http://schemas.openxmlformats.org/officeDocument/2006/relationships/hyperlink" Target="https://dev.azure.com/accenturecio08/AutomationProcess_29697/_workitems/edit/4288220" TargetMode="External"/><Relationship Id="rId216" Type="http://schemas.openxmlformats.org/officeDocument/2006/relationships/hyperlink" Target="https://dev.azure.com/accenturecio08/AutomationProcess_29697/_workitems/edit/4363958/?view=edit" TargetMode="External"/><Relationship Id="rId258" Type="http://schemas.openxmlformats.org/officeDocument/2006/relationships/hyperlink" Target="https://dev.azure.com/accenturecio08/AutomationProcess_29697/_workitems/edit/4356747/?view=edit" TargetMode="External"/><Relationship Id="rId22" Type="http://schemas.openxmlformats.org/officeDocument/2006/relationships/hyperlink" Target="https://dev.azure.com/accenturecio08/AutomationProcess_29697/_workitems/edit/4373585/?view=edit" TargetMode="External"/><Relationship Id="rId64" Type="http://schemas.openxmlformats.org/officeDocument/2006/relationships/hyperlink" Target="https://dev.azure.com/accenturecio08/AutomationProcess_29697/_workitems/edit/4368402/?view=edit" TargetMode="External"/><Relationship Id="rId118" Type="http://schemas.openxmlformats.org/officeDocument/2006/relationships/hyperlink" Target="https://dev.azure.com/accenturecio08/AutomationProcess_29697/_workitems/edit/4183207/?view=edit" TargetMode="External"/><Relationship Id="rId325" Type="http://schemas.openxmlformats.org/officeDocument/2006/relationships/hyperlink" Target="https://dev.azure.com/accenturecio08/AutomationProcess_29697/_workitems/edit/4391961" TargetMode="External"/><Relationship Id="rId171" Type="http://schemas.openxmlformats.org/officeDocument/2006/relationships/hyperlink" Target="https://dev.azure.com/accenturecio08/AutomationProcess_29697/_workitems/edit/4364983" TargetMode="External"/><Relationship Id="rId227" Type="http://schemas.openxmlformats.org/officeDocument/2006/relationships/hyperlink" Target="https://dev.azure.com/accenturecio08/AutomationProcess_29697/_workitems/edit/4381608/?view=edit" TargetMode="External"/><Relationship Id="rId269" Type="http://schemas.openxmlformats.org/officeDocument/2006/relationships/hyperlink" Target="https://dev.azure.com/accenturecio08/AutomationProcess_29697/_workitems/edit/4315742/?view=edit" TargetMode="External"/><Relationship Id="rId33" Type="http://schemas.openxmlformats.org/officeDocument/2006/relationships/hyperlink" Target="https://dev.azure.com/accenturecio08/AutomationProcess_29697/_workitems/edit/4387669/?view=edit" TargetMode="External"/><Relationship Id="rId129" Type="http://schemas.openxmlformats.org/officeDocument/2006/relationships/hyperlink" Target="https://dev.azure.com/accenturecio08/AutomationProcess_29697/_workitems/edit/4136098/?view=edit" TargetMode="External"/><Relationship Id="rId280" Type="http://schemas.openxmlformats.org/officeDocument/2006/relationships/hyperlink" Target="https://dev.azure.com/accenturecio08/AutomationProcess_29697/_workitems/edit/4391372/?view=edit" TargetMode="External"/><Relationship Id="rId75" Type="http://schemas.openxmlformats.org/officeDocument/2006/relationships/hyperlink" Target="https://dev.azure.com/accenturecio08/AutomationProcess_29697/_workitems/edit/4367450/?view=edit" TargetMode="External"/><Relationship Id="rId140" Type="http://schemas.openxmlformats.org/officeDocument/2006/relationships/hyperlink" Target="https://dev.azure.com/accenturecio08/AutomationProcess_29697/_workitems/edit/4314722/?view=edit" TargetMode="External"/><Relationship Id="rId182" Type="http://schemas.openxmlformats.org/officeDocument/2006/relationships/hyperlink" Target="https://dev.azure.com/accenturecio08/AutomationProcess_29697/_workitems/edit/4390312/?view=edit" TargetMode="External"/><Relationship Id="rId6" Type="http://schemas.openxmlformats.org/officeDocument/2006/relationships/hyperlink" Target="https://dev.azure.com/accenturecio08/AutomationProcess_29697/_workitems/edit/4350042/?view=edit" TargetMode="External"/><Relationship Id="rId238" Type="http://schemas.openxmlformats.org/officeDocument/2006/relationships/hyperlink" Target="https://dev.azure.com/accenturecio08/AutomationProcess_29697/_workitems/edit/4371955/?view=edit" TargetMode="External"/><Relationship Id="rId291" Type="http://schemas.openxmlformats.org/officeDocument/2006/relationships/hyperlink" Target="https://dev.azure.com/accenturecio08/AutomationProcess_29697/_workitems/edit/4395037/?view=edit" TargetMode="External"/><Relationship Id="rId305" Type="http://schemas.openxmlformats.org/officeDocument/2006/relationships/hyperlink" Target="mailto:sathya.senthilkumar@accenture.com" TargetMode="External"/><Relationship Id="rId44" Type="http://schemas.openxmlformats.org/officeDocument/2006/relationships/hyperlink" Target="https://dev.azure.com/accenturecio08/AutomationProcess_29697/_workitems/edit/4147643/?view=edit" TargetMode="External"/><Relationship Id="rId86" Type="http://schemas.openxmlformats.org/officeDocument/2006/relationships/hyperlink" Target="https://dev.azure.com/accenturecio08/AutomationProcess_29697/_workitems/edit/4371414/?view=edit" TargetMode="External"/><Relationship Id="rId151" Type="http://schemas.openxmlformats.org/officeDocument/2006/relationships/hyperlink" Target="https://dev.azure.com/accenturecio08/AutomationProcess_29697/_workitems/edit/4364540/?view=edit" TargetMode="External"/><Relationship Id="rId193" Type="http://schemas.openxmlformats.org/officeDocument/2006/relationships/hyperlink" Target="https://dev.azure.com/accenturecio08/AutomationProcess_29697/_workitems/edit/4390192" TargetMode="External"/><Relationship Id="rId207" Type="http://schemas.openxmlformats.org/officeDocument/2006/relationships/hyperlink" Target="https://dev.azure.com/accenturecio08/AutomationProcess_29697/_workitems/edit/4315785/?view=edit" TargetMode="External"/><Relationship Id="rId249" Type="http://schemas.openxmlformats.org/officeDocument/2006/relationships/hyperlink" Target="https://dev.azure.com/accenturecio08/AutomationProcess_29697/_workitems/edit/4368210/?view=edit" TargetMode="External"/><Relationship Id="rId13" Type="http://schemas.openxmlformats.org/officeDocument/2006/relationships/hyperlink" Target="https://dev.azure.com/accenturecio08/AutomationProcess_29697/_workitems/edit/4361805/?view=edit" TargetMode="External"/><Relationship Id="rId109" Type="http://schemas.openxmlformats.org/officeDocument/2006/relationships/hyperlink" Target="https://dev.azure.com/accenturecio08/AutomationProcess_29697/_workitems/edit/4240162/?view=edit" TargetMode="External"/><Relationship Id="rId260" Type="http://schemas.openxmlformats.org/officeDocument/2006/relationships/hyperlink" Target="https://dev.azure.com/accenturecio08/AutomationProcess_29697/_workitems/edit/4391349/?view=edit" TargetMode="External"/><Relationship Id="rId316" Type="http://schemas.openxmlformats.org/officeDocument/2006/relationships/hyperlink" Target="https://dev.azure.com/accenturecio08/AutomationProcess_29697/_workitems/edit/4341541/?view=edit" TargetMode="External"/><Relationship Id="rId55" Type="http://schemas.openxmlformats.org/officeDocument/2006/relationships/hyperlink" Target="https://dev.azure.com/accenturecio08/AutomationProcess_29697/_workitems/edit/4240155/?view=edit" TargetMode="External"/><Relationship Id="rId97" Type="http://schemas.openxmlformats.org/officeDocument/2006/relationships/hyperlink" Target="https://dev.azure.com/accenturecio08/AutomationProcess_29697/_workitems/edit/4373713/?view=edit" TargetMode="External"/><Relationship Id="rId120" Type="http://schemas.openxmlformats.org/officeDocument/2006/relationships/hyperlink" Target="https://dev.azure.com/accenturecio08/AutomationProcess_29697/_workitems/edit/4240152/?view=edit" TargetMode="External"/><Relationship Id="rId162" Type="http://schemas.openxmlformats.org/officeDocument/2006/relationships/hyperlink" Target="https://dev.azure.com/accenturecio08/AutomationProcess_29697/_workitems/edit/4381661" TargetMode="External"/><Relationship Id="rId218" Type="http://schemas.openxmlformats.org/officeDocument/2006/relationships/hyperlink" Target="https://dev.azure.com/accenturecio08/AutomationProcess_29697/_workitems/edit/4361791/?view=edit" TargetMode="External"/><Relationship Id="rId271" Type="http://schemas.openxmlformats.org/officeDocument/2006/relationships/hyperlink" Target="https://dev.azure.com/accenturecio08/AutomationProcess_29697/_workitems/edit/4167987/?view=edit"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hyperlink" Target="https://accenture--apragltst.sandbox.my.salesforce.com/" TargetMode="External"/><Relationship Id="rId3" Type="http://schemas.openxmlformats.org/officeDocument/2006/relationships/hyperlink" Target="https://mysolutionplannernextgen.ciostage.accenture.com/" TargetMode="External"/><Relationship Id="rId7" Type="http://schemas.openxmlformats.org/officeDocument/2006/relationships/hyperlink" Target="https://bpmssolutionestimator.uat.accenture.com/" TargetMode="External"/><Relationship Id="rId2" Type="http://schemas.openxmlformats.org/officeDocument/2006/relationships/hyperlink" Target="https://myispnextgen2-uat.ciotest.accenture.com/" TargetMode="External"/><Relationship Id="rId1" Type="http://schemas.openxmlformats.org/officeDocument/2006/relationships/hyperlink" Target="https://mysolutionplannernextgen.ciostage.accenture.com/" TargetMode="External"/><Relationship Id="rId6" Type="http://schemas.openxmlformats.org/officeDocument/2006/relationships/hyperlink" Target="https://myisp-imsuat1.ciostage.accenture.com/" TargetMode="External"/><Relationship Id="rId5" Type="http://schemas.openxmlformats.org/officeDocument/2006/relationships/hyperlink" Target="https://myispimsstage1-services.ciostage.accenture.com/" TargetMode="External"/><Relationship Id="rId4" Type="http://schemas.openxmlformats.org/officeDocument/2006/relationships/hyperlink" Target="https://myispnextgen2-uat.ciotest.accenture.com/" TargetMode="External"/><Relationship Id="rId9" Type="http://schemas.openxmlformats.org/officeDocument/2006/relationships/hyperlink" Target="https://accenture--q2stg.sandbox.my.salesforce.com/" TargetMode="Externa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E352-EE73-4CE7-B2EA-FE3EA18EDEBD}">
  <dimension ref="A1:T83"/>
  <sheetViews>
    <sheetView topLeftCell="M1" workbookViewId="0">
      <selection activeCell="S10" sqref="S10"/>
    </sheetView>
  </sheetViews>
  <sheetFormatPr defaultColWidth="8.85546875" defaultRowHeight="15"/>
  <cols>
    <col min="1" max="1" width="19.42578125" bestFit="1" customWidth="1"/>
    <col min="2" max="2" width="17.7109375" bestFit="1" customWidth="1"/>
    <col min="3" max="3" width="4.42578125" bestFit="1" customWidth="1"/>
    <col min="4" max="5" width="11.42578125" bestFit="1" customWidth="1"/>
    <col min="7" max="7" width="12.85546875" customWidth="1"/>
    <col min="8" max="8" width="21" bestFit="1" customWidth="1"/>
    <col min="9" max="9" width="19.42578125" style="34" bestFit="1" customWidth="1"/>
    <col min="10" max="10" width="39.7109375" bestFit="1" customWidth="1"/>
    <col min="11" max="11" width="13.140625" customWidth="1"/>
    <col min="12" max="12" width="76" bestFit="1" customWidth="1"/>
    <col min="13" max="13" width="19.42578125" bestFit="1" customWidth="1"/>
    <col min="15" max="15" width="24.42578125" customWidth="1"/>
    <col min="16" max="16" width="17.85546875" bestFit="1" customWidth="1"/>
    <col min="17" max="17" width="4.42578125" bestFit="1" customWidth="1"/>
    <col min="18" max="18" width="25.28515625" customWidth="1"/>
    <col min="19" max="19" width="35.42578125" customWidth="1"/>
    <col min="20" max="20" width="29.42578125" customWidth="1"/>
  </cols>
  <sheetData>
    <row r="1" spans="1:20">
      <c r="H1" s="38" t="s">
        <v>0</v>
      </c>
      <c r="I1" s="36" t="s">
        <v>1</v>
      </c>
      <c r="L1" s="167" t="s">
        <v>0</v>
      </c>
      <c r="M1" s="151" t="s">
        <v>2</v>
      </c>
      <c r="O1" s="261" t="s">
        <v>3</v>
      </c>
      <c r="P1" s="262"/>
      <c r="Q1" s="262"/>
      <c r="R1" s="262"/>
      <c r="S1" s="263"/>
    </row>
    <row r="2" spans="1:20">
      <c r="H2" s="38" t="s">
        <v>4</v>
      </c>
      <c r="I2" s="36" t="s">
        <v>5</v>
      </c>
      <c r="O2" s="36" t="s">
        <v>6</v>
      </c>
      <c r="P2" s="36" t="s">
        <v>7</v>
      </c>
      <c r="Q2" s="36" t="s">
        <v>8</v>
      </c>
      <c r="R2" s="36" t="s">
        <v>9</v>
      </c>
      <c r="S2" s="36" t="s">
        <v>10</v>
      </c>
      <c r="T2" t="s">
        <v>11</v>
      </c>
    </row>
    <row r="3" spans="1:20">
      <c r="A3" s="146" t="s">
        <v>12</v>
      </c>
      <c r="B3" s="146" t="s">
        <v>13</v>
      </c>
      <c r="L3" s="38" t="s">
        <v>14</v>
      </c>
      <c r="M3" s="145" t="s">
        <v>12</v>
      </c>
      <c r="O3" s="220" t="s">
        <v>15</v>
      </c>
      <c r="P3" s="221">
        <v>20</v>
      </c>
      <c r="Q3" s="221">
        <v>11</v>
      </c>
      <c r="R3" s="222" t="s">
        <v>16</v>
      </c>
      <c r="S3" s="145" t="s">
        <v>17</v>
      </c>
    </row>
    <row r="4" spans="1:20">
      <c r="A4" s="147" t="s">
        <v>14</v>
      </c>
      <c r="B4" s="150" t="s">
        <v>18</v>
      </c>
      <c r="C4" s="151" t="s">
        <v>1</v>
      </c>
      <c r="D4" s="145" t="s">
        <v>19</v>
      </c>
      <c r="H4" s="36"/>
      <c r="I4" s="38" t="s">
        <v>20</v>
      </c>
      <c r="J4" s="36"/>
      <c r="L4" s="39" t="s">
        <v>21</v>
      </c>
      <c r="M4" s="145">
        <v>86</v>
      </c>
      <c r="O4" s="220" t="s">
        <v>22</v>
      </c>
      <c r="P4" s="221">
        <v>9</v>
      </c>
      <c r="Q4" s="221">
        <v>1</v>
      </c>
      <c r="R4" s="222" t="s">
        <v>23</v>
      </c>
      <c r="S4" s="145"/>
      <c r="T4" t="s">
        <v>24</v>
      </c>
    </row>
    <row r="5" spans="1:20">
      <c r="A5" s="148" t="s">
        <v>25</v>
      </c>
      <c r="B5" s="145">
        <v>5</v>
      </c>
      <c r="C5" s="145">
        <v>4</v>
      </c>
      <c r="D5" s="145">
        <v>9</v>
      </c>
      <c r="H5" s="38" t="s">
        <v>26</v>
      </c>
      <c r="I5" s="36" t="s">
        <v>12</v>
      </c>
      <c r="J5" s="36" t="s">
        <v>27</v>
      </c>
      <c r="L5" s="39" t="s">
        <v>28</v>
      </c>
      <c r="M5" s="145">
        <v>43</v>
      </c>
      <c r="O5" s="220" t="s">
        <v>29</v>
      </c>
      <c r="P5" s="221">
        <v>46</v>
      </c>
      <c r="Q5" s="221">
        <v>2</v>
      </c>
      <c r="R5" s="222" t="s">
        <v>30</v>
      </c>
      <c r="S5" s="145" t="s">
        <v>31</v>
      </c>
      <c r="T5" t="s">
        <v>24</v>
      </c>
    </row>
    <row r="6" spans="1:20">
      <c r="A6" s="148" t="s">
        <v>32</v>
      </c>
      <c r="B6" s="145">
        <v>26</v>
      </c>
      <c r="C6" s="145"/>
      <c r="D6" s="145">
        <v>26</v>
      </c>
      <c r="H6" s="36" t="s">
        <v>33</v>
      </c>
      <c r="I6" s="138">
        <v>2</v>
      </c>
      <c r="J6" s="139">
        <v>1</v>
      </c>
      <c r="K6" s="233"/>
      <c r="L6" s="39" t="s">
        <v>34</v>
      </c>
      <c r="M6" s="145">
        <v>36</v>
      </c>
      <c r="O6" s="220" t="s">
        <v>25</v>
      </c>
      <c r="P6" s="221">
        <v>4</v>
      </c>
      <c r="Q6" s="221">
        <v>1</v>
      </c>
      <c r="R6" s="222" t="s">
        <v>35</v>
      </c>
      <c r="S6" s="145" t="s">
        <v>17</v>
      </c>
    </row>
    <row r="7" spans="1:20">
      <c r="A7" s="148" t="s">
        <v>36</v>
      </c>
      <c r="B7" s="145">
        <v>79</v>
      </c>
      <c r="C7" s="145">
        <v>8</v>
      </c>
      <c r="D7" s="145">
        <v>87</v>
      </c>
      <c r="H7" s="36" t="s">
        <v>37</v>
      </c>
      <c r="I7" s="138">
        <v>6</v>
      </c>
      <c r="J7" s="139">
        <v>1</v>
      </c>
      <c r="K7" s="233"/>
      <c r="L7" s="39" t="s">
        <v>38</v>
      </c>
      <c r="M7" s="145">
        <v>28</v>
      </c>
      <c r="O7" s="220" t="s">
        <v>39</v>
      </c>
      <c r="P7" s="221">
        <v>10</v>
      </c>
      <c r="Q7" s="221">
        <v>4</v>
      </c>
      <c r="R7" s="223" t="s">
        <v>40</v>
      </c>
      <c r="S7" s="145" t="s">
        <v>41</v>
      </c>
    </row>
    <row r="8" spans="1:20">
      <c r="A8" s="148" t="s">
        <v>22</v>
      </c>
      <c r="B8" s="145">
        <v>28</v>
      </c>
      <c r="C8" s="145">
        <v>9</v>
      </c>
      <c r="D8" s="145">
        <v>37</v>
      </c>
      <c r="H8" s="36" t="s">
        <v>42</v>
      </c>
      <c r="I8" s="138">
        <v>2</v>
      </c>
      <c r="J8" s="139">
        <v>1</v>
      </c>
      <c r="K8" s="233"/>
      <c r="L8" s="39" t="s">
        <v>43</v>
      </c>
      <c r="M8" s="145">
        <v>27</v>
      </c>
      <c r="O8" s="220" t="s">
        <v>36</v>
      </c>
      <c r="P8" s="221">
        <v>11</v>
      </c>
      <c r="Q8" s="221">
        <v>1</v>
      </c>
      <c r="R8" s="222" t="s">
        <v>44</v>
      </c>
      <c r="S8" s="145" t="s">
        <v>45</v>
      </c>
    </row>
    <row r="9" spans="1:20">
      <c r="A9" s="148" t="s">
        <v>46</v>
      </c>
      <c r="B9" s="145">
        <v>34</v>
      </c>
      <c r="C9" s="145">
        <v>8</v>
      </c>
      <c r="D9" s="145">
        <v>42</v>
      </c>
      <c r="H9" s="36" t="s">
        <v>47</v>
      </c>
      <c r="I9" s="138">
        <v>1</v>
      </c>
      <c r="J9" s="139">
        <v>1</v>
      </c>
      <c r="K9" s="233"/>
      <c r="L9" s="39" t="s">
        <v>48</v>
      </c>
      <c r="M9" s="145">
        <v>25</v>
      </c>
      <c r="O9" s="220" t="s">
        <v>49</v>
      </c>
      <c r="P9" s="221">
        <v>21</v>
      </c>
      <c r="Q9" s="221">
        <v>1</v>
      </c>
      <c r="R9" s="222" t="s">
        <v>50</v>
      </c>
      <c r="S9" s="145" t="s">
        <v>51</v>
      </c>
    </row>
    <row r="10" spans="1:20">
      <c r="A10" s="148" t="s">
        <v>52</v>
      </c>
      <c r="B10" s="145">
        <v>11</v>
      </c>
      <c r="C10" s="145">
        <v>3</v>
      </c>
      <c r="D10" s="145">
        <v>14</v>
      </c>
      <c r="H10" s="36" t="s">
        <v>53</v>
      </c>
      <c r="I10" s="138">
        <v>2</v>
      </c>
      <c r="J10" s="139">
        <v>1</v>
      </c>
      <c r="K10" s="233"/>
      <c r="L10" s="39" t="s">
        <v>54</v>
      </c>
      <c r="M10" s="145">
        <v>21</v>
      </c>
      <c r="O10" s="220" t="s">
        <v>46</v>
      </c>
      <c r="P10" s="221">
        <v>6</v>
      </c>
      <c r="Q10" s="221">
        <v>1</v>
      </c>
      <c r="R10" s="222" t="s">
        <v>55</v>
      </c>
      <c r="S10" s="145" t="s">
        <v>17</v>
      </c>
    </row>
    <row r="11" spans="1:20">
      <c r="A11" s="148" t="s">
        <v>49</v>
      </c>
      <c r="B11" s="145">
        <v>53</v>
      </c>
      <c r="C11" s="145">
        <v>21</v>
      </c>
      <c r="D11" s="145">
        <v>74</v>
      </c>
      <c r="H11" s="36" t="s">
        <v>56</v>
      </c>
      <c r="I11" s="138">
        <v>1</v>
      </c>
      <c r="J11" s="139">
        <v>1</v>
      </c>
      <c r="K11" s="233"/>
      <c r="L11" s="39" t="s">
        <v>57</v>
      </c>
      <c r="M11" s="145">
        <v>21</v>
      </c>
      <c r="O11" s="220" t="s">
        <v>52</v>
      </c>
      <c r="P11" s="221">
        <v>3</v>
      </c>
      <c r="Q11" s="221">
        <v>2</v>
      </c>
      <c r="R11" s="222" t="s">
        <v>58</v>
      </c>
      <c r="S11" s="145" t="s">
        <v>17</v>
      </c>
      <c r="T11" t="s">
        <v>59</v>
      </c>
    </row>
    <row r="12" spans="1:20">
      <c r="A12" s="148" t="s">
        <v>39</v>
      </c>
      <c r="B12" s="145">
        <v>15</v>
      </c>
      <c r="C12" s="145">
        <v>10</v>
      </c>
      <c r="D12" s="145">
        <v>25</v>
      </c>
      <c r="H12" s="36" t="s">
        <v>60</v>
      </c>
      <c r="I12" s="138">
        <v>4</v>
      </c>
      <c r="J12" s="139">
        <v>1</v>
      </c>
      <c r="K12" s="233"/>
      <c r="L12" s="39" t="s">
        <v>61</v>
      </c>
      <c r="M12" s="145">
        <v>18</v>
      </c>
      <c r="O12" s="36" t="s">
        <v>32</v>
      </c>
      <c r="P12" s="145">
        <v>0</v>
      </c>
      <c r="Q12" s="145">
        <v>0</v>
      </c>
      <c r="R12" s="39"/>
      <c r="S12" s="145"/>
    </row>
    <row r="13" spans="1:20">
      <c r="A13" s="148" t="s">
        <v>62</v>
      </c>
      <c r="B13" s="145">
        <v>1</v>
      </c>
      <c r="C13" s="145"/>
      <c r="D13" s="145">
        <v>1</v>
      </c>
      <c r="H13" s="36" t="s">
        <v>63</v>
      </c>
      <c r="I13" s="138">
        <v>3</v>
      </c>
      <c r="J13" s="139">
        <v>1</v>
      </c>
      <c r="K13" s="233"/>
      <c r="L13" s="39" t="s">
        <v>64</v>
      </c>
      <c r="M13" s="145">
        <v>15</v>
      </c>
      <c r="O13" s="36" t="s">
        <v>65</v>
      </c>
      <c r="P13" s="145">
        <v>0</v>
      </c>
      <c r="Q13" s="145">
        <v>0</v>
      </c>
      <c r="R13" s="39"/>
      <c r="S13" s="145"/>
    </row>
    <row r="14" spans="1:20">
      <c r="A14" s="148" t="s">
        <v>15</v>
      </c>
      <c r="B14" s="145">
        <v>25</v>
      </c>
      <c r="C14" s="145">
        <v>18</v>
      </c>
      <c r="D14" s="145">
        <v>43</v>
      </c>
      <c r="H14" s="36" t="s">
        <v>66</v>
      </c>
      <c r="I14" s="138">
        <v>1</v>
      </c>
      <c r="J14" s="139">
        <v>1</v>
      </c>
      <c r="K14" s="233"/>
      <c r="L14" s="39" t="s">
        <v>67</v>
      </c>
      <c r="M14" s="145">
        <v>13</v>
      </c>
    </row>
    <row r="15" spans="1:20">
      <c r="A15" s="148" t="s">
        <v>68</v>
      </c>
      <c r="B15" s="145">
        <v>18</v>
      </c>
      <c r="C15" s="145"/>
      <c r="D15" s="145">
        <v>18</v>
      </c>
      <c r="H15" s="36" t="s">
        <v>69</v>
      </c>
      <c r="I15" s="138">
        <v>1</v>
      </c>
      <c r="J15" s="139">
        <v>1</v>
      </c>
      <c r="K15" s="233"/>
      <c r="L15" s="39" t="s">
        <v>70</v>
      </c>
      <c r="M15" s="145">
        <v>9</v>
      </c>
    </row>
    <row r="16" spans="1:20">
      <c r="A16" s="148" t="s">
        <v>29</v>
      </c>
      <c r="B16" s="145">
        <v>18</v>
      </c>
      <c r="C16" s="145">
        <v>41</v>
      </c>
      <c r="D16" s="145">
        <v>59</v>
      </c>
      <c r="H16" s="36" t="s">
        <v>71</v>
      </c>
      <c r="I16" s="138">
        <v>1</v>
      </c>
      <c r="J16" s="139">
        <v>1</v>
      </c>
      <c r="K16" s="233"/>
      <c r="L16" s="39" t="s">
        <v>72</v>
      </c>
      <c r="M16" s="145">
        <v>6</v>
      </c>
    </row>
    <row r="17" spans="1:13">
      <c r="A17" s="148" t="s">
        <v>73</v>
      </c>
      <c r="B17" s="145">
        <v>12</v>
      </c>
      <c r="C17" s="145"/>
      <c r="D17" s="145">
        <v>12</v>
      </c>
      <c r="H17" s="36" t="s">
        <v>74</v>
      </c>
      <c r="I17" s="138">
        <v>4</v>
      </c>
      <c r="J17" s="139">
        <v>1</v>
      </c>
      <c r="K17" s="233"/>
      <c r="L17" s="39" t="s">
        <v>75</v>
      </c>
      <c r="M17" s="145">
        <v>5</v>
      </c>
    </row>
    <row r="18" spans="1:13">
      <c r="A18" s="149" t="s">
        <v>76</v>
      </c>
      <c r="B18" s="145">
        <v>28</v>
      </c>
      <c r="C18" s="145"/>
      <c r="D18" s="145">
        <v>28</v>
      </c>
      <c r="H18" s="36" t="s">
        <v>77</v>
      </c>
      <c r="I18" s="138">
        <v>1</v>
      </c>
      <c r="J18" s="139">
        <v>1</v>
      </c>
      <c r="K18" s="233"/>
      <c r="L18" s="39" t="s">
        <v>78</v>
      </c>
      <c r="M18" s="145"/>
    </row>
    <row r="19" spans="1:13">
      <c r="A19" s="145" t="s">
        <v>19</v>
      </c>
      <c r="B19" s="145">
        <v>353</v>
      </c>
      <c r="C19" s="145">
        <v>122</v>
      </c>
      <c r="D19" s="145">
        <v>475</v>
      </c>
      <c r="H19" s="36" t="s">
        <v>79</v>
      </c>
      <c r="I19" s="138">
        <v>1</v>
      </c>
      <c r="J19" s="139">
        <v>1</v>
      </c>
      <c r="K19" s="233"/>
      <c r="L19" s="145" t="s">
        <v>19</v>
      </c>
      <c r="M19" s="145">
        <v>353</v>
      </c>
    </row>
    <row r="20" spans="1:13">
      <c r="H20" s="36" t="s">
        <v>80</v>
      </c>
      <c r="I20" s="138">
        <v>1</v>
      </c>
      <c r="J20" s="139">
        <v>1</v>
      </c>
      <c r="K20" s="233"/>
    </row>
    <row r="21" spans="1:13">
      <c r="H21" s="36" t="s">
        <v>81</v>
      </c>
      <c r="I21" s="138">
        <v>1</v>
      </c>
      <c r="J21" s="139">
        <v>1</v>
      </c>
      <c r="K21" s="233"/>
    </row>
    <row r="22" spans="1:13">
      <c r="H22" s="36" t="s">
        <v>82</v>
      </c>
      <c r="I22" s="138">
        <v>6</v>
      </c>
      <c r="J22" s="139">
        <v>1</v>
      </c>
      <c r="K22" s="233"/>
    </row>
    <row r="23" spans="1:13">
      <c r="H23" s="36" t="s">
        <v>83</v>
      </c>
      <c r="I23" s="138">
        <v>2</v>
      </c>
      <c r="J23" s="139">
        <v>1</v>
      </c>
      <c r="K23" s="233"/>
    </row>
    <row r="24" spans="1:13">
      <c r="H24" s="36" t="s">
        <v>84</v>
      </c>
      <c r="I24" s="138">
        <v>1</v>
      </c>
      <c r="J24" s="139">
        <v>1</v>
      </c>
      <c r="K24" s="233"/>
    </row>
    <row r="25" spans="1:13">
      <c r="H25" s="36" t="s">
        <v>85</v>
      </c>
      <c r="I25" s="138">
        <v>2</v>
      </c>
      <c r="J25" s="139">
        <v>1</v>
      </c>
      <c r="K25" s="233"/>
    </row>
    <row r="26" spans="1:13">
      <c r="H26" s="36" t="s">
        <v>86</v>
      </c>
      <c r="I26" s="138">
        <v>3</v>
      </c>
      <c r="J26" s="139">
        <v>1</v>
      </c>
      <c r="K26" s="233"/>
    </row>
    <row r="27" spans="1:13">
      <c r="H27" s="36" t="s">
        <v>87</v>
      </c>
      <c r="I27" s="138">
        <v>1</v>
      </c>
      <c r="J27" s="139">
        <v>1</v>
      </c>
      <c r="K27" s="233"/>
    </row>
    <row r="28" spans="1:13">
      <c r="H28" s="36" t="s">
        <v>88</v>
      </c>
      <c r="I28" s="138">
        <v>1</v>
      </c>
      <c r="J28" s="139">
        <v>1</v>
      </c>
      <c r="K28" s="233"/>
    </row>
    <row r="29" spans="1:13">
      <c r="H29" s="36" t="s">
        <v>89</v>
      </c>
      <c r="I29" s="138">
        <v>4</v>
      </c>
      <c r="J29" s="139">
        <v>1</v>
      </c>
      <c r="K29" s="233"/>
    </row>
    <row r="30" spans="1:13">
      <c r="H30" s="36" t="s">
        <v>90</v>
      </c>
      <c r="I30" s="138">
        <v>3</v>
      </c>
      <c r="J30" s="139">
        <v>1</v>
      </c>
      <c r="K30" s="233"/>
    </row>
    <row r="31" spans="1:13">
      <c r="H31" s="36" t="s">
        <v>91</v>
      </c>
      <c r="I31" s="138">
        <v>3</v>
      </c>
      <c r="J31" s="139">
        <v>1</v>
      </c>
      <c r="K31" s="233"/>
    </row>
    <row r="32" spans="1:13">
      <c r="H32" s="36" t="s">
        <v>92</v>
      </c>
      <c r="I32" s="138">
        <v>1</v>
      </c>
      <c r="J32" s="139">
        <v>1</v>
      </c>
      <c r="K32" s="233"/>
    </row>
    <row r="33" spans="8:11">
      <c r="H33" s="36" t="s">
        <v>93</v>
      </c>
      <c r="I33" s="138">
        <v>2</v>
      </c>
      <c r="J33" s="139">
        <v>1</v>
      </c>
      <c r="K33" s="233"/>
    </row>
    <row r="34" spans="8:11">
      <c r="H34" s="36" t="s">
        <v>94</v>
      </c>
      <c r="I34" s="138">
        <v>2</v>
      </c>
      <c r="J34" s="139">
        <v>1</v>
      </c>
      <c r="K34" s="233"/>
    </row>
    <row r="35" spans="8:11">
      <c r="H35" s="36" t="s">
        <v>95</v>
      </c>
      <c r="I35" s="138">
        <v>3</v>
      </c>
      <c r="J35" s="139">
        <v>1</v>
      </c>
      <c r="K35" s="233"/>
    </row>
    <row r="36" spans="8:11">
      <c r="H36" s="36" t="s">
        <v>96</v>
      </c>
      <c r="I36" s="138">
        <v>1</v>
      </c>
      <c r="J36" s="139">
        <v>1</v>
      </c>
      <c r="K36" s="233"/>
    </row>
    <row r="37" spans="8:11">
      <c r="H37" s="36" t="s">
        <v>97</v>
      </c>
      <c r="I37" s="138">
        <v>2</v>
      </c>
      <c r="J37" s="139">
        <v>1</v>
      </c>
      <c r="K37" s="233"/>
    </row>
    <row r="38" spans="8:11">
      <c r="H38" s="36" t="s">
        <v>98</v>
      </c>
      <c r="I38" s="138">
        <v>3</v>
      </c>
      <c r="J38" s="139">
        <v>1</v>
      </c>
      <c r="K38" s="233"/>
    </row>
    <row r="39" spans="8:11">
      <c r="H39" s="36" t="s">
        <v>99</v>
      </c>
      <c r="I39" s="138">
        <v>2</v>
      </c>
      <c r="J39" s="139">
        <v>1</v>
      </c>
      <c r="K39" s="233"/>
    </row>
    <row r="40" spans="8:11">
      <c r="H40" s="36" t="s">
        <v>100</v>
      </c>
      <c r="I40" s="138">
        <v>2</v>
      </c>
      <c r="J40" s="139">
        <v>1</v>
      </c>
      <c r="K40" s="233"/>
    </row>
    <row r="41" spans="8:11">
      <c r="H41" s="36" t="s">
        <v>101</v>
      </c>
      <c r="I41" s="138">
        <v>3</v>
      </c>
      <c r="J41" s="139">
        <v>1</v>
      </c>
      <c r="K41" s="233"/>
    </row>
    <row r="42" spans="8:11">
      <c r="H42" s="36" t="s">
        <v>102</v>
      </c>
      <c r="I42" s="138">
        <v>1</v>
      </c>
      <c r="J42" s="139">
        <v>1</v>
      </c>
      <c r="K42" s="233"/>
    </row>
    <row r="43" spans="8:11">
      <c r="H43" s="36" t="s">
        <v>103</v>
      </c>
      <c r="I43" s="138">
        <v>2</v>
      </c>
      <c r="J43" s="139">
        <v>1</v>
      </c>
      <c r="K43" s="233"/>
    </row>
    <row r="44" spans="8:11">
      <c r="H44" s="36" t="s">
        <v>104</v>
      </c>
      <c r="I44" s="138">
        <v>1</v>
      </c>
      <c r="J44" s="139">
        <v>1</v>
      </c>
      <c r="K44" s="233"/>
    </row>
    <row r="45" spans="8:11">
      <c r="H45" s="36" t="s">
        <v>105</v>
      </c>
      <c r="I45" s="138">
        <v>1</v>
      </c>
      <c r="J45" s="139">
        <v>1</v>
      </c>
      <c r="K45" s="233"/>
    </row>
    <row r="46" spans="8:11">
      <c r="H46" s="36" t="s">
        <v>106</v>
      </c>
      <c r="I46" s="138">
        <v>1</v>
      </c>
      <c r="J46" s="139">
        <v>1</v>
      </c>
      <c r="K46" s="233"/>
    </row>
    <row r="47" spans="8:11">
      <c r="H47" s="36" t="s">
        <v>107</v>
      </c>
      <c r="I47" s="138">
        <v>1</v>
      </c>
      <c r="J47" s="139">
        <v>1</v>
      </c>
      <c r="K47" s="233"/>
    </row>
    <row r="48" spans="8:11">
      <c r="H48" s="36" t="s">
        <v>108</v>
      </c>
      <c r="I48" s="138">
        <v>1</v>
      </c>
      <c r="J48" s="139">
        <v>1</v>
      </c>
      <c r="K48" s="233"/>
    </row>
    <row r="49" spans="8:11">
      <c r="H49" s="36" t="s">
        <v>109</v>
      </c>
      <c r="I49" s="138">
        <v>1</v>
      </c>
      <c r="J49" s="139">
        <v>1</v>
      </c>
      <c r="K49" s="233"/>
    </row>
    <row r="50" spans="8:11">
      <c r="H50" s="36" t="s">
        <v>110</v>
      </c>
      <c r="I50" s="138">
        <v>2</v>
      </c>
      <c r="J50" s="139">
        <v>1</v>
      </c>
      <c r="K50" s="233"/>
    </row>
    <row r="51" spans="8:11">
      <c r="H51" s="36" t="s">
        <v>111</v>
      </c>
      <c r="I51" s="138">
        <v>1</v>
      </c>
      <c r="J51" s="139">
        <v>1</v>
      </c>
      <c r="K51" s="233"/>
    </row>
    <row r="52" spans="8:11">
      <c r="H52" s="36" t="s">
        <v>112</v>
      </c>
      <c r="I52" s="138">
        <v>1</v>
      </c>
      <c r="J52" s="139">
        <v>1</v>
      </c>
      <c r="K52" s="233"/>
    </row>
    <row r="53" spans="8:11">
      <c r="H53" s="36" t="s">
        <v>113</v>
      </c>
      <c r="I53" s="138">
        <v>1</v>
      </c>
      <c r="J53" s="139">
        <v>1</v>
      </c>
      <c r="K53" s="233"/>
    </row>
    <row r="54" spans="8:11">
      <c r="H54" s="36" t="s">
        <v>114</v>
      </c>
      <c r="I54" s="138">
        <v>3</v>
      </c>
      <c r="J54" s="139">
        <v>1</v>
      </c>
      <c r="K54" s="233"/>
    </row>
    <row r="55" spans="8:11">
      <c r="H55" s="36" t="s">
        <v>115</v>
      </c>
      <c r="I55" s="138">
        <v>1</v>
      </c>
      <c r="J55" s="139">
        <v>1</v>
      </c>
      <c r="K55" s="233"/>
    </row>
    <row r="56" spans="8:11">
      <c r="H56" s="36" t="s">
        <v>116</v>
      </c>
      <c r="I56" s="138">
        <v>2</v>
      </c>
      <c r="J56" s="139">
        <v>1</v>
      </c>
      <c r="K56" s="233"/>
    </row>
    <row r="57" spans="8:11">
      <c r="H57" s="36" t="s">
        <v>117</v>
      </c>
      <c r="I57" s="138">
        <v>6</v>
      </c>
      <c r="J57" s="139">
        <v>1</v>
      </c>
      <c r="K57" s="233"/>
    </row>
    <row r="58" spans="8:11">
      <c r="H58" s="36" t="s">
        <v>118</v>
      </c>
      <c r="I58" s="138">
        <v>4</v>
      </c>
      <c r="J58" s="139">
        <v>1</v>
      </c>
      <c r="K58" s="233"/>
    </row>
    <row r="59" spans="8:11">
      <c r="H59" s="36" t="s">
        <v>119</v>
      </c>
      <c r="I59" s="138">
        <v>1</v>
      </c>
      <c r="J59" s="139">
        <v>1</v>
      </c>
      <c r="K59" s="233"/>
    </row>
    <row r="60" spans="8:11">
      <c r="H60" s="36" t="s">
        <v>120</v>
      </c>
      <c r="I60" s="138">
        <v>1</v>
      </c>
      <c r="J60" s="139">
        <v>1</v>
      </c>
      <c r="K60" s="233"/>
    </row>
    <row r="61" spans="8:11">
      <c r="H61" s="36" t="s">
        <v>121</v>
      </c>
      <c r="I61" s="138">
        <v>1</v>
      </c>
      <c r="J61" s="139">
        <v>1</v>
      </c>
      <c r="K61" s="233"/>
    </row>
    <row r="62" spans="8:11">
      <c r="H62" s="36" t="s">
        <v>122</v>
      </c>
      <c r="I62" s="138">
        <v>3</v>
      </c>
      <c r="J62" s="139">
        <v>1</v>
      </c>
      <c r="K62" s="233"/>
    </row>
    <row r="63" spans="8:11">
      <c r="H63" s="36" t="s">
        <v>123</v>
      </c>
      <c r="I63" s="138">
        <v>2</v>
      </c>
      <c r="J63" s="139">
        <v>1</v>
      </c>
      <c r="K63" s="233"/>
    </row>
    <row r="64" spans="8:11">
      <c r="H64" s="36" t="s">
        <v>124</v>
      </c>
      <c r="I64" s="138">
        <v>2</v>
      </c>
      <c r="J64" s="139">
        <v>1</v>
      </c>
      <c r="K64" s="233"/>
    </row>
    <row r="65" spans="8:11">
      <c r="H65" s="36" t="s">
        <v>125</v>
      </c>
      <c r="I65" s="138">
        <v>1</v>
      </c>
      <c r="J65" s="139">
        <v>0.9</v>
      </c>
      <c r="K65" s="233"/>
    </row>
    <row r="66" spans="8:11">
      <c r="H66" s="36" t="s">
        <v>126</v>
      </c>
      <c r="I66" s="138">
        <v>1</v>
      </c>
      <c r="J66" s="139">
        <v>0.8</v>
      </c>
      <c r="K66" s="233"/>
    </row>
    <row r="67" spans="8:11">
      <c r="H67" s="36" t="s">
        <v>127</v>
      </c>
      <c r="I67" s="138">
        <v>1</v>
      </c>
      <c r="J67" s="139">
        <v>0.8</v>
      </c>
      <c r="K67" s="233"/>
    </row>
    <row r="68" spans="8:11">
      <c r="H68" s="36" t="s">
        <v>19</v>
      </c>
      <c r="I68" s="138">
        <v>122</v>
      </c>
      <c r="J68" s="139">
        <v>0.99590163934426235</v>
      </c>
      <c r="K68" s="233"/>
    </row>
    <row r="69" spans="8:11">
      <c r="I69"/>
    </row>
    <row r="70" spans="8:11">
      <c r="I70"/>
    </row>
    <row r="71" spans="8:11">
      <c r="I71"/>
    </row>
    <row r="72" spans="8:11">
      <c r="I72"/>
    </row>
    <row r="73" spans="8:11">
      <c r="I73"/>
    </row>
    <row r="74" spans="8:11">
      <c r="I74"/>
    </row>
    <row r="75" spans="8:11">
      <c r="I75"/>
    </row>
    <row r="76" spans="8:11">
      <c r="I76"/>
    </row>
    <row r="77" spans="8:11">
      <c r="I77"/>
    </row>
    <row r="78" spans="8:11">
      <c r="I78"/>
    </row>
    <row r="79" spans="8:11">
      <c r="I79"/>
    </row>
    <row r="80" spans="8:11">
      <c r="I80"/>
    </row>
    <row r="81" spans="9:9">
      <c r="I81"/>
    </row>
    <row r="82" spans="9:9">
      <c r="I82"/>
    </row>
    <row r="83" spans="9:9">
      <c r="I83"/>
    </row>
  </sheetData>
  <mergeCells count="1">
    <mergeCell ref="O1: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AD040-5E80-4FCE-895F-67D1063A3201}">
  <dimension ref="A1:K2"/>
  <sheetViews>
    <sheetView workbookViewId="0"/>
  </sheetViews>
  <sheetFormatPr defaultColWidth="8.85546875" defaultRowHeight="15"/>
  <cols>
    <col min="6" max="6" width="16.42578125" customWidth="1"/>
  </cols>
  <sheetData>
    <row r="1" spans="1:11" ht="39.950000000000003" thickBot="1">
      <c r="A1" s="1" t="s">
        <v>128</v>
      </c>
      <c r="B1" s="2" t="s">
        <v>129</v>
      </c>
      <c r="C1" s="2" t="s">
        <v>130</v>
      </c>
      <c r="D1" s="3" t="s">
        <v>131</v>
      </c>
      <c r="E1" s="3" t="s">
        <v>132</v>
      </c>
      <c r="F1" s="3" t="s">
        <v>133</v>
      </c>
      <c r="G1" s="3" t="s">
        <v>134</v>
      </c>
      <c r="H1" s="3" t="s">
        <v>135</v>
      </c>
      <c r="I1" s="3" t="s">
        <v>136</v>
      </c>
      <c r="J1" s="3" t="s">
        <v>137</v>
      </c>
      <c r="K1" s="4" t="s">
        <v>138</v>
      </c>
    </row>
    <row r="2" spans="1:11">
      <c r="A2" s="5">
        <v>46078</v>
      </c>
      <c r="B2" s="5">
        <v>46092</v>
      </c>
      <c r="C2" s="5">
        <v>46098</v>
      </c>
      <c r="D2" s="5">
        <v>46105</v>
      </c>
      <c r="E2" s="5">
        <v>46105</v>
      </c>
      <c r="F2" s="6" t="s">
        <v>139</v>
      </c>
      <c r="G2" s="5">
        <v>46106</v>
      </c>
      <c r="H2" s="5">
        <v>46107</v>
      </c>
      <c r="I2" s="5">
        <v>46105</v>
      </c>
      <c r="J2" s="5">
        <v>46108</v>
      </c>
      <c r="K2" s="5">
        <v>46109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50070-D89D-45C4-9B95-2EC2400183B0}">
  <sheetPr>
    <tabColor rgb="FF00B050"/>
  </sheetPr>
  <dimension ref="A1:AR495"/>
  <sheetViews>
    <sheetView tabSelected="1" topLeftCell="U1" zoomScale="80" zoomScaleNormal="80" workbookViewId="0">
      <pane ySplit="1" topLeftCell="C341" activePane="bottomLeft" state="frozen"/>
      <selection pane="bottomLeft" activeCell="F341" activeCellId="1" sqref="G1:G1048576 F341"/>
      <selection activeCell="E1" sqref="E1"/>
    </sheetView>
  </sheetViews>
  <sheetFormatPr defaultColWidth="9.140625" defaultRowHeight="12.95"/>
  <cols>
    <col min="1" max="1" width="24.85546875" style="17" customWidth="1"/>
    <col min="2" max="2" width="39.42578125" style="17" customWidth="1"/>
    <col min="3" max="3" width="10" style="17" customWidth="1"/>
    <col min="4" max="4" width="10.140625" style="17" customWidth="1"/>
    <col min="5" max="5" width="66.7109375" style="19" customWidth="1"/>
    <col min="6" max="6" width="12.85546875" style="32" bestFit="1" customWidth="1"/>
    <col min="7" max="7" width="20.140625" style="18" customWidth="1"/>
    <col min="8" max="9" width="14.42578125" style="17" customWidth="1"/>
    <col min="10" max="10" width="21.140625" style="21" customWidth="1"/>
    <col min="11" max="11" width="20.85546875" style="17" bestFit="1" customWidth="1"/>
    <col min="12" max="12" width="47" style="82" customWidth="1"/>
    <col min="13" max="13" width="31.42578125" style="16" customWidth="1"/>
    <col min="14" max="14" width="14.42578125" style="20" customWidth="1"/>
    <col min="15" max="15" width="14.42578125" style="50" customWidth="1"/>
    <col min="16" max="16" width="22.42578125" style="33" customWidth="1"/>
    <col min="17" max="17" width="30.85546875" style="33" customWidth="1"/>
    <col min="18" max="18" width="22.42578125" style="33" customWidth="1"/>
    <col min="19" max="19" width="42.42578125" style="33" customWidth="1"/>
    <col min="20" max="20" width="37" style="33" customWidth="1"/>
    <col min="21" max="22" width="22.42578125" style="33" customWidth="1"/>
    <col min="23" max="23" width="9.140625" style="17" customWidth="1"/>
    <col min="24" max="24" width="9.140625" style="17" bestFit="1" customWidth="1"/>
    <col min="25" max="25" width="10.42578125" style="17" customWidth="1"/>
    <col min="26" max="26" width="10.42578125" style="17" bestFit="1" customWidth="1"/>
    <col min="27" max="27" width="31.85546875" style="109" bestFit="1" customWidth="1"/>
    <col min="28" max="28" width="29.140625" style="109" bestFit="1" customWidth="1"/>
    <col min="29" max="29" width="29.140625" style="109" customWidth="1"/>
    <col min="30" max="30" width="22.42578125" style="109" customWidth="1"/>
    <col min="31" max="32" width="22.42578125" style="107" customWidth="1"/>
    <col min="33" max="33" width="17.140625" style="17" customWidth="1"/>
    <col min="34" max="37" width="9.140625" style="17" bestFit="1" customWidth="1"/>
    <col min="38" max="40" width="9.140625" style="17"/>
    <col min="41" max="41" width="43.42578125" style="17" customWidth="1"/>
    <col min="42" max="42" width="24.42578125" style="17" customWidth="1"/>
    <col min="43" max="43" width="18.42578125" style="17" customWidth="1"/>
    <col min="44" max="16384" width="9.140625" style="17"/>
  </cols>
  <sheetData>
    <row r="1" spans="1:44" s="16" customFormat="1">
      <c r="A1" s="51" t="s">
        <v>140</v>
      </c>
      <c r="B1" s="51" t="s">
        <v>141</v>
      </c>
      <c r="C1" s="51" t="s">
        <v>142</v>
      </c>
      <c r="D1" s="52" t="s">
        <v>4</v>
      </c>
      <c r="E1" s="172" t="s">
        <v>143</v>
      </c>
      <c r="F1" s="224" t="s">
        <v>144</v>
      </c>
      <c r="G1" s="52" t="s">
        <v>145</v>
      </c>
      <c r="H1" s="52" t="s">
        <v>146</v>
      </c>
      <c r="I1" s="52"/>
      <c r="J1" s="53" t="s">
        <v>26</v>
      </c>
      <c r="K1" s="63" t="s">
        <v>0</v>
      </c>
      <c r="L1" s="54" t="s">
        <v>147</v>
      </c>
      <c r="M1" s="63" t="s">
        <v>148</v>
      </c>
      <c r="N1" s="54" t="s">
        <v>149</v>
      </c>
      <c r="O1" s="55" t="s">
        <v>150</v>
      </c>
      <c r="P1" s="56" t="s">
        <v>151</v>
      </c>
      <c r="Q1" s="106" t="s">
        <v>152</v>
      </c>
      <c r="R1" s="106" t="s">
        <v>153</v>
      </c>
      <c r="S1" s="106" t="s">
        <v>154</v>
      </c>
      <c r="T1" s="106" t="s">
        <v>155</v>
      </c>
      <c r="U1" s="106" t="s">
        <v>156</v>
      </c>
      <c r="V1" s="106" t="s">
        <v>157</v>
      </c>
      <c r="W1" s="57" t="s">
        <v>158</v>
      </c>
      <c r="X1" s="57" t="s">
        <v>159</v>
      </c>
      <c r="Y1" s="57" t="s">
        <v>160</v>
      </c>
      <c r="Z1" s="57" t="s">
        <v>161</v>
      </c>
      <c r="AA1" s="161" t="s">
        <v>162</v>
      </c>
      <c r="AB1" s="161" t="s">
        <v>163</v>
      </c>
      <c r="AC1" s="161" t="s">
        <v>164</v>
      </c>
      <c r="AD1" s="161" t="s">
        <v>165</v>
      </c>
      <c r="AE1" s="106" t="s">
        <v>166</v>
      </c>
      <c r="AF1" s="106" t="s">
        <v>167</v>
      </c>
      <c r="AG1" s="58" t="s">
        <v>168</v>
      </c>
      <c r="AH1" s="59" t="s">
        <v>169</v>
      </c>
      <c r="AI1" s="59" t="s">
        <v>170</v>
      </c>
      <c r="AJ1" s="59" t="s">
        <v>171</v>
      </c>
      <c r="AK1" s="59" t="s">
        <v>172</v>
      </c>
      <c r="AL1" s="60" t="s">
        <v>173</v>
      </c>
      <c r="AM1" s="61" t="s">
        <v>174</v>
      </c>
      <c r="AN1" s="61" t="s">
        <v>175</v>
      </c>
      <c r="AO1" s="57" t="s">
        <v>176</v>
      </c>
      <c r="AP1" s="62" t="s">
        <v>177</v>
      </c>
      <c r="AQ1" s="62" t="s">
        <v>178</v>
      </c>
      <c r="AR1" s="23"/>
    </row>
    <row r="2" spans="1:44">
      <c r="A2" s="24" t="str">
        <f>_xlfn.XLOOKUP(F2,'TFS Details'!F:F,'TFS Details'!D:D)</f>
        <v>Value Shaping</v>
      </c>
      <c r="B2" s="24" t="str">
        <f>_xlfn.XLOOKUP(F2,'TFS Details'!F:F,'TFS Details'!A:A)</f>
        <v>Value Shaping –Enhancements</v>
      </c>
      <c r="C2" s="64">
        <f>_xlfn.XLOOKUP(F2,'TFS Details'!F:F,'TFS Details'!E:E)</f>
        <v>4330994</v>
      </c>
      <c r="D2" s="173" t="s">
        <v>39</v>
      </c>
      <c r="E2" s="174" t="s">
        <v>179</v>
      </c>
      <c r="F2" s="112">
        <v>4315785</v>
      </c>
      <c r="G2" s="175" t="s">
        <v>180</v>
      </c>
      <c r="H2" s="175" t="s">
        <v>181</v>
      </c>
      <c r="I2" s="175"/>
      <c r="J2" s="175" t="s">
        <v>104</v>
      </c>
      <c r="K2" s="175" t="s">
        <v>1</v>
      </c>
      <c r="L2" s="175"/>
      <c r="M2" s="175"/>
      <c r="N2" s="175" t="s">
        <v>182</v>
      </c>
      <c r="O2" s="140"/>
      <c r="P2" s="123">
        <v>1</v>
      </c>
      <c r="Q2" s="176">
        <v>11</v>
      </c>
      <c r="R2" s="176">
        <v>3</v>
      </c>
      <c r="S2" s="176">
        <v>0</v>
      </c>
      <c r="T2" s="176">
        <v>3</v>
      </c>
      <c r="U2" s="123">
        <v>1</v>
      </c>
      <c r="V2" s="123">
        <v>0.77</v>
      </c>
      <c r="W2" s="17" t="s">
        <v>183</v>
      </c>
      <c r="X2" s="17" t="s">
        <v>183</v>
      </c>
      <c r="Y2" s="17" t="s">
        <v>183</v>
      </c>
      <c r="Z2" s="17" t="s">
        <v>183</v>
      </c>
      <c r="AA2" s="176">
        <v>27</v>
      </c>
      <c r="AB2" s="176">
        <v>21</v>
      </c>
      <c r="AC2" s="176">
        <v>0</v>
      </c>
      <c r="AD2" s="176">
        <v>21</v>
      </c>
      <c r="AE2" s="123">
        <v>1</v>
      </c>
      <c r="AF2" s="123">
        <v>0.85</v>
      </c>
      <c r="AG2" s="25" t="str">
        <f>_xlfn.XLOOKUP(F2,'TFS Details'!F:F,'TFS Details'!H:H)</f>
        <v>Test Complete</v>
      </c>
      <c r="AH2" s="44">
        <v>21</v>
      </c>
      <c r="AI2" s="44">
        <v>0</v>
      </c>
      <c r="AJ2" s="44">
        <v>0</v>
      </c>
      <c r="AK2" s="44">
        <v>0</v>
      </c>
      <c r="AL2" s="40">
        <f>SUM(AH2:AK2)</f>
        <v>21</v>
      </c>
      <c r="AM2" s="41">
        <f t="shared" ref="AM2:AM65" si="0">IF(AH2+AI2=0,0,SUM(AH2:AI2)/AL2)</f>
        <v>1</v>
      </c>
      <c r="AN2" s="41">
        <f>IF(AH2=0,0,AH2/(SUM(AH2:AJ2)))</f>
        <v>1</v>
      </c>
      <c r="AO2" s="25"/>
      <c r="AP2" s="25" t="str">
        <f>_xlfn.XLOOKUP(F2,'TFS Details'!F:F,'TFS Details'!I:I)</f>
        <v>NGTransformers</v>
      </c>
      <c r="AQ2" s="25" t="str">
        <f>_xlfn.XLOOKUP(AP2,'TFS Details'!I:I,'TFS Details'!AE:AE)</f>
        <v>sowjanya.kari</v>
      </c>
      <c r="AR2" s="18"/>
    </row>
    <row r="3" spans="1:44">
      <c r="A3" s="24" t="str">
        <f>_xlfn.XLOOKUP(F3,'TFS Details'!F:F,'TFS Details'!D:D)</f>
        <v>Estimator and Calculator</v>
      </c>
      <c r="B3" s="24" t="str">
        <f>_xlfn.XLOOKUP(F3,'TFS Details'!F:F,'TFS Details'!A:A)</f>
        <v>Estimator/Calculator - Expand-Collapse icon Type and Position</v>
      </c>
      <c r="C3" s="64">
        <f>_xlfn.XLOOKUP(F3,'TFS Details'!F:F,'TFS Details'!E:E)</f>
        <v>4174547</v>
      </c>
      <c r="D3" s="177" t="s">
        <v>39</v>
      </c>
      <c r="E3" s="178" t="s">
        <v>184</v>
      </c>
      <c r="F3" s="113">
        <v>4174533</v>
      </c>
      <c r="G3" s="97" t="s">
        <v>185</v>
      </c>
      <c r="H3" s="97" t="s">
        <v>186</v>
      </c>
      <c r="I3" s="97"/>
      <c r="J3" s="97" t="s">
        <v>81</v>
      </c>
      <c r="K3" s="97" t="s">
        <v>1</v>
      </c>
      <c r="L3" s="175"/>
      <c r="M3" s="97"/>
      <c r="N3" s="97" t="s">
        <v>182</v>
      </c>
      <c r="O3" s="176"/>
      <c r="P3" s="141">
        <v>1</v>
      </c>
      <c r="Q3" s="176">
        <v>10</v>
      </c>
      <c r="R3" s="176">
        <v>1</v>
      </c>
      <c r="S3" s="176">
        <v>0</v>
      </c>
      <c r="T3" s="176">
        <v>1</v>
      </c>
      <c r="U3" s="141">
        <v>0.7</v>
      </c>
      <c r="V3" s="141">
        <v>1</v>
      </c>
      <c r="W3" s="17" t="s">
        <v>183</v>
      </c>
      <c r="X3" s="17" t="s">
        <v>183</v>
      </c>
      <c r="Y3" s="17" t="s">
        <v>183</v>
      </c>
      <c r="Z3" s="17" t="s">
        <v>183</v>
      </c>
      <c r="AA3" s="176">
        <v>50</v>
      </c>
      <c r="AB3" s="176">
        <v>15</v>
      </c>
      <c r="AC3" s="176">
        <v>0</v>
      </c>
      <c r="AD3" s="176">
        <v>15</v>
      </c>
      <c r="AE3" s="141">
        <v>1</v>
      </c>
      <c r="AF3" s="137">
        <v>1</v>
      </c>
      <c r="AG3" s="25" t="str">
        <f>_xlfn.XLOOKUP(F3,'TFS Details'!F:F,'TFS Details'!H:H)</f>
        <v>Test Complete</v>
      </c>
      <c r="AH3" s="44">
        <v>15</v>
      </c>
      <c r="AI3" s="44">
        <v>0</v>
      </c>
      <c r="AJ3" s="44">
        <v>0</v>
      </c>
      <c r="AK3" s="44">
        <v>0</v>
      </c>
      <c r="AL3" s="40">
        <v>15</v>
      </c>
      <c r="AM3" s="41">
        <f t="shared" si="0"/>
        <v>1</v>
      </c>
      <c r="AN3" s="41">
        <f t="shared" ref="AN3:AN5" si="1">IF(AH3=0,0,AH3/(SUM(AH3:AJ3)))</f>
        <v>1</v>
      </c>
      <c r="AO3" s="25" t="s">
        <v>187</v>
      </c>
      <c r="AP3" s="25" t="str">
        <f>_xlfn.XLOOKUP(F3,'TFS Details'!F:F,'TFS Details'!I:I)</f>
        <v>TechWarriors</v>
      </c>
      <c r="AQ3" s="25" t="str">
        <f>_xlfn.XLOOKUP(AP3,'TFS Details'!I:I,'TFS Details'!AE:AE)</f>
        <v>sowjanya.kari</v>
      </c>
    </row>
    <row r="4" spans="1:44">
      <c r="A4" s="24" t="str">
        <f>_xlfn.XLOOKUP(F4,'TFS Details'!F:F,'TFS Details'!D:D)</f>
        <v>Value Shaping</v>
      </c>
      <c r="B4" s="24" t="str">
        <f>_xlfn.XLOOKUP(F4,'TFS Details'!F:F,'TFS Details'!A:A)</f>
        <v>Value Shaping –Enhancements</v>
      </c>
      <c r="C4" s="64">
        <f>_xlfn.XLOOKUP(F4,'TFS Details'!F:F,'TFS Details'!E:E)</f>
        <v>4330994</v>
      </c>
      <c r="D4" s="177" t="s">
        <v>39</v>
      </c>
      <c r="E4" s="178" t="s">
        <v>188</v>
      </c>
      <c r="F4" s="113">
        <v>4364563</v>
      </c>
      <c r="G4" s="97" t="s">
        <v>189</v>
      </c>
      <c r="H4" s="97" t="s">
        <v>190</v>
      </c>
      <c r="I4" s="97"/>
      <c r="J4" s="97" t="s">
        <v>93</v>
      </c>
      <c r="K4" s="97" t="s">
        <v>1</v>
      </c>
      <c r="L4" s="97"/>
      <c r="M4" s="97"/>
      <c r="N4" s="97" t="s">
        <v>191</v>
      </c>
      <c r="O4" s="176"/>
      <c r="P4" s="141">
        <v>1</v>
      </c>
      <c r="Q4" s="176">
        <v>22</v>
      </c>
      <c r="R4" s="176">
        <v>5</v>
      </c>
      <c r="S4" s="176">
        <v>0</v>
      </c>
      <c r="T4" s="176">
        <v>5</v>
      </c>
      <c r="U4" s="141">
        <v>1</v>
      </c>
      <c r="V4" s="141">
        <v>0.7</v>
      </c>
      <c r="W4" s="17" t="s">
        <v>183</v>
      </c>
      <c r="X4" s="17" t="s">
        <v>183</v>
      </c>
      <c r="Y4" s="17" t="s">
        <v>183</v>
      </c>
      <c r="Z4" s="17" t="s">
        <v>183</v>
      </c>
      <c r="AA4" s="176">
        <v>50</v>
      </c>
      <c r="AB4" s="176">
        <v>19</v>
      </c>
      <c r="AC4" s="176">
        <v>0</v>
      </c>
      <c r="AD4" s="176">
        <v>19</v>
      </c>
      <c r="AE4" s="141">
        <v>1</v>
      </c>
      <c r="AF4" s="141">
        <v>0.7</v>
      </c>
      <c r="AG4" s="25" t="str">
        <f>_xlfn.XLOOKUP(F4,'TFS Details'!F:F,'TFS Details'!H:H)</f>
        <v>Test Complete</v>
      </c>
      <c r="AH4" s="44">
        <v>19</v>
      </c>
      <c r="AI4" s="44">
        <v>0</v>
      </c>
      <c r="AJ4" s="44">
        <v>0</v>
      </c>
      <c r="AK4" s="44">
        <v>0</v>
      </c>
      <c r="AL4" s="40">
        <f>SUM(AH4:AK4)</f>
        <v>19</v>
      </c>
      <c r="AM4" s="41">
        <f t="shared" si="0"/>
        <v>1</v>
      </c>
      <c r="AN4" s="41">
        <f t="shared" si="1"/>
        <v>1</v>
      </c>
      <c r="AO4" s="25"/>
      <c r="AP4" s="25" t="str">
        <f>_xlfn.XLOOKUP(F4,'TFS Details'!F:F,'TFS Details'!I:I)</f>
        <v>TechWarriors</v>
      </c>
      <c r="AQ4" s="25" t="str">
        <f>_xlfn.XLOOKUP(AP4,'TFS Details'!I:I,'TFS Details'!AE:AE)</f>
        <v>sowjanya.kari</v>
      </c>
    </row>
    <row r="5" spans="1:44">
      <c r="A5" s="24" t="str">
        <f>_xlfn.XLOOKUP(F5,'TFS Details'!F:F,'TFS Details'!D:D)</f>
        <v>Automation Calculator</v>
      </c>
      <c r="B5" s="24" t="str">
        <f>_xlfn.XLOOKUP(F5,'TFS Details'!F:F,'TFS Details'!A:A)</f>
        <v>ROI - Automation Calculator - Default Logic</v>
      </c>
      <c r="C5" s="64">
        <f>_xlfn.XLOOKUP(F5,'TFS Details'!F:F,'TFS Details'!E:E)</f>
        <v>4366165</v>
      </c>
      <c r="D5" s="177" t="s">
        <v>39</v>
      </c>
      <c r="E5" s="178" t="s">
        <v>192</v>
      </c>
      <c r="F5" s="113">
        <v>4364929</v>
      </c>
      <c r="G5" s="97" t="s">
        <v>193</v>
      </c>
      <c r="H5" s="97" t="s">
        <v>194</v>
      </c>
      <c r="I5" s="97"/>
      <c r="J5" s="97"/>
      <c r="K5" s="97" t="s">
        <v>18</v>
      </c>
      <c r="L5" s="97" t="s">
        <v>195</v>
      </c>
      <c r="M5" s="97" t="s">
        <v>57</v>
      </c>
      <c r="N5" s="97"/>
      <c r="O5" s="176"/>
      <c r="Q5" s="176"/>
      <c r="R5" s="176"/>
      <c r="S5" s="176"/>
      <c r="T5" s="176"/>
      <c r="U5" s="141"/>
      <c r="V5" s="141"/>
      <c r="W5" s="17" t="s">
        <v>183</v>
      </c>
      <c r="X5" s="17" t="s">
        <v>183</v>
      </c>
      <c r="Y5" s="17" t="s">
        <v>183</v>
      </c>
      <c r="Z5" s="17" t="s">
        <v>183</v>
      </c>
      <c r="AA5" s="176">
        <v>50</v>
      </c>
      <c r="AB5" s="176">
        <v>28</v>
      </c>
      <c r="AC5" s="176">
        <v>0</v>
      </c>
      <c r="AD5" s="176">
        <v>28</v>
      </c>
      <c r="AE5" s="141">
        <f>AB5/AD5</f>
        <v>1</v>
      </c>
      <c r="AF5" s="141">
        <v>1</v>
      </c>
      <c r="AG5" s="25" t="str">
        <f>_xlfn.XLOOKUP(F5,'TFS Details'!F:F,'TFS Details'!H:H)</f>
        <v>Test Complete</v>
      </c>
      <c r="AH5" s="44">
        <v>28</v>
      </c>
      <c r="AI5" s="44">
        <v>0</v>
      </c>
      <c r="AJ5" s="44">
        <v>0</v>
      </c>
      <c r="AK5" s="44">
        <v>0</v>
      </c>
      <c r="AL5" s="40">
        <f t="shared" ref="AL5" si="2">SUM(AH5:AK5)</f>
        <v>28</v>
      </c>
      <c r="AM5" s="41">
        <f t="shared" si="0"/>
        <v>1</v>
      </c>
      <c r="AN5" s="41">
        <f t="shared" si="1"/>
        <v>1</v>
      </c>
      <c r="AO5" s="126"/>
      <c r="AP5" s="25" t="str">
        <f>_xlfn.XLOOKUP(F5,'TFS Details'!F:F,'TFS Details'!I:I)</f>
        <v>CrazyCoders</v>
      </c>
      <c r="AQ5" s="25" t="str">
        <f>_xlfn.XLOOKUP(AP5,'TFS Details'!I:I,'TFS Details'!AE:AE)</f>
        <v>nityanand.giri</v>
      </c>
    </row>
    <row r="6" spans="1:44">
      <c r="A6" s="24" t="str">
        <f>_xlfn.XLOOKUP(F6,'TFS Details'!F:F,'TFS Details'!D:D)</f>
        <v>Automation Calculator</v>
      </c>
      <c r="B6" s="24" t="str">
        <f>_xlfn.XLOOKUP(F6,'TFS Details'!F:F,'TFS Details'!A:A)</f>
        <v>ROI &amp; Summary (Tab 8) will be as is in automation calculator with Split of GEN AI, Opera and Agentic and Ux upgrade</v>
      </c>
      <c r="C6" s="64">
        <f>_xlfn.XLOOKUP(F6,'TFS Details'!F:F,'TFS Details'!E:E)</f>
        <v>4405953</v>
      </c>
      <c r="D6" s="177" t="s">
        <v>39</v>
      </c>
      <c r="E6" s="178" t="s">
        <v>196</v>
      </c>
      <c r="F6" s="160">
        <v>4364996</v>
      </c>
      <c r="G6" s="97" t="s">
        <v>193</v>
      </c>
      <c r="H6" s="97" t="s">
        <v>194</v>
      </c>
      <c r="I6" s="97"/>
      <c r="J6" s="97" t="s">
        <v>66</v>
      </c>
      <c r="K6" s="97" t="s">
        <v>1</v>
      </c>
      <c r="L6" s="97"/>
      <c r="M6" s="97"/>
      <c r="N6" s="97" t="s">
        <v>182</v>
      </c>
      <c r="O6" s="176"/>
      <c r="P6" s="141">
        <v>1</v>
      </c>
      <c r="Q6" s="176">
        <v>6</v>
      </c>
      <c r="R6" s="176">
        <v>1</v>
      </c>
      <c r="S6" s="176">
        <v>0</v>
      </c>
      <c r="T6" s="176">
        <v>1</v>
      </c>
      <c r="U6" s="141">
        <v>0.7</v>
      </c>
      <c r="V6" s="141">
        <v>0.7</v>
      </c>
      <c r="W6" s="17" t="s">
        <v>183</v>
      </c>
      <c r="X6" s="17" t="s">
        <v>183</v>
      </c>
      <c r="Y6" s="17" t="s">
        <v>183</v>
      </c>
      <c r="Z6" s="17" t="s">
        <v>183</v>
      </c>
      <c r="AA6" s="176">
        <v>60</v>
      </c>
      <c r="AB6" s="176">
        <v>29</v>
      </c>
      <c r="AC6" s="176">
        <v>0</v>
      </c>
      <c r="AD6" s="176">
        <v>29</v>
      </c>
      <c r="AE6" s="141">
        <f>AB6/AA6</f>
        <v>0.48333333333333334</v>
      </c>
      <c r="AF6" s="141">
        <v>0.48330000000000001</v>
      </c>
      <c r="AG6" s="25" t="str">
        <f>_xlfn.XLOOKUP(F6,'TFS Details'!F:F,'TFS Details'!H:H)</f>
        <v>Test Complete</v>
      </c>
      <c r="AH6" s="44">
        <v>29</v>
      </c>
      <c r="AI6" s="44">
        <v>0</v>
      </c>
      <c r="AJ6" s="44">
        <v>0</v>
      </c>
      <c r="AK6" s="44">
        <v>0</v>
      </c>
      <c r="AL6" s="40">
        <f t="shared" ref="AL6:AL26" si="3">SUM(AH6:AK6)</f>
        <v>29</v>
      </c>
      <c r="AM6" s="41">
        <f t="shared" si="0"/>
        <v>1</v>
      </c>
      <c r="AN6" s="41">
        <f t="shared" ref="AN6:AN26" si="4">IF(AH6=0,0,AH6/(SUM(AH6:AJ6)))</f>
        <v>1</v>
      </c>
      <c r="AO6" s="126"/>
      <c r="AP6" s="25" t="str">
        <f>_xlfn.XLOOKUP(F6,'TFS Details'!F:F,'TFS Details'!I:I)</f>
        <v>Codeplayers</v>
      </c>
      <c r="AQ6" s="25" t="str">
        <f>_xlfn.XLOOKUP(AP6,'TFS Details'!I:I,'TFS Details'!AE:AE)</f>
        <v>nityanand.giri</v>
      </c>
    </row>
    <row r="7" spans="1:44">
      <c r="A7" s="24" t="str">
        <f>_xlfn.XLOOKUP(F7,'TFS Details'!F:F,'TFS Details'!D:D)</f>
        <v>Value Shaping</v>
      </c>
      <c r="B7" s="24" t="str">
        <f>_xlfn.XLOOKUP(F7,'TFS Details'!F:F,'TFS Details'!A:A)</f>
        <v>Value Shaping –Enhancements</v>
      </c>
      <c r="C7" s="64">
        <f>_xlfn.XLOOKUP(F7,'TFS Details'!F:F,'TFS Details'!E:E)</f>
        <v>4330994</v>
      </c>
      <c r="D7" s="177" t="s">
        <v>39</v>
      </c>
      <c r="E7" s="178" t="s">
        <v>197</v>
      </c>
      <c r="F7" s="113">
        <v>4373517</v>
      </c>
      <c r="G7" s="97" t="s">
        <v>198</v>
      </c>
      <c r="H7" s="97" t="s">
        <v>181</v>
      </c>
      <c r="I7" s="97"/>
      <c r="J7" s="97" t="s">
        <v>106</v>
      </c>
      <c r="K7" s="97" t="s">
        <v>1</v>
      </c>
      <c r="L7" s="97"/>
      <c r="M7" s="97"/>
      <c r="N7" s="97" t="s">
        <v>182</v>
      </c>
      <c r="O7" s="176"/>
      <c r="P7" s="141">
        <v>1</v>
      </c>
      <c r="Q7" s="176">
        <v>10</v>
      </c>
      <c r="R7" s="176">
        <v>1</v>
      </c>
      <c r="S7" s="176">
        <v>0</v>
      </c>
      <c r="T7" s="176">
        <v>1</v>
      </c>
      <c r="U7" s="141">
        <v>0.7</v>
      </c>
      <c r="V7" s="141">
        <v>0.7</v>
      </c>
      <c r="W7" s="17" t="s">
        <v>183</v>
      </c>
      <c r="X7" s="17" t="s">
        <v>183</v>
      </c>
      <c r="Y7" s="17" t="s">
        <v>183</v>
      </c>
      <c r="Z7" s="17" t="s">
        <v>183</v>
      </c>
      <c r="AA7" s="176">
        <v>63</v>
      </c>
      <c r="AB7" s="176">
        <v>14</v>
      </c>
      <c r="AC7" s="176">
        <v>0</v>
      </c>
      <c r="AD7" s="176">
        <v>14</v>
      </c>
      <c r="AE7" s="141">
        <v>1</v>
      </c>
      <c r="AF7" s="141">
        <v>0.8</v>
      </c>
      <c r="AG7" s="25" t="str">
        <f>_xlfn.XLOOKUP(F7,'TFS Details'!F:F,'TFS Details'!H:H)</f>
        <v>Test Complete</v>
      </c>
      <c r="AH7" s="44">
        <v>14</v>
      </c>
      <c r="AI7" s="44">
        <v>0</v>
      </c>
      <c r="AJ7" s="44">
        <v>0</v>
      </c>
      <c r="AK7" s="44">
        <v>0</v>
      </c>
      <c r="AL7" s="40">
        <f t="shared" si="3"/>
        <v>14</v>
      </c>
      <c r="AM7" s="41">
        <f t="shared" si="0"/>
        <v>1</v>
      </c>
      <c r="AN7" s="41">
        <f t="shared" si="4"/>
        <v>1</v>
      </c>
      <c r="AO7" s="25"/>
      <c r="AP7" s="25" t="str">
        <f>_xlfn.XLOOKUP(F7,'TFS Details'!F:F,'TFS Details'!I:I)</f>
        <v>Spartans</v>
      </c>
      <c r="AQ7" s="25" t="str">
        <f>_xlfn.XLOOKUP(AP7,'TFS Details'!I:I,'TFS Details'!AE:AE)</f>
        <v>nityanand.giri</v>
      </c>
    </row>
    <row r="8" spans="1:44">
      <c r="A8" s="24" t="str">
        <f>_xlfn.XLOOKUP(F8,'TFS Details'!F:F,'TFS Details'!D:D)</f>
        <v>Automation Calculator</v>
      </c>
      <c r="B8" s="24" t="str">
        <f>_xlfn.XLOOKUP(F8,'TFS Details'!F:F,'TFS Details'!A:A)</f>
        <v>ROI &amp; Summary (Tab 8) will be as is in automation calculator with Split of GEN AI, Opera and Agentic and Ux upgrade</v>
      </c>
      <c r="C8" s="64">
        <f>_xlfn.XLOOKUP(F8,'TFS Details'!F:F,'TFS Details'!E:E)</f>
        <v>4405953</v>
      </c>
      <c r="D8" s="177" t="s">
        <v>39</v>
      </c>
      <c r="E8" s="178" t="s">
        <v>199</v>
      </c>
      <c r="F8" s="113">
        <v>4373570</v>
      </c>
      <c r="G8" s="97" t="s">
        <v>186</v>
      </c>
      <c r="H8" s="97" t="s">
        <v>185</v>
      </c>
      <c r="I8" s="97"/>
      <c r="J8" s="97"/>
      <c r="K8" s="97" t="s">
        <v>18</v>
      </c>
      <c r="L8" s="97" t="s">
        <v>195</v>
      </c>
      <c r="M8" s="97" t="s">
        <v>57</v>
      </c>
      <c r="N8" s="97"/>
      <c r="O8" s="176"/>
      <c r="Q8" s="176"/>
      <c r="R8" s="176"/>
      <c r="S8" s="176"/>
      <c r="T8" s="176"/>
      <c r="U8" s="141"/>
      <c r="V8" s="141"/>
      <c r="W8" s="17" t="s">
        <v>183</v>
      </c>
      <c r="X8" s="17" t="s">
        <v>183</v>
      </c>
      <c r="Y8" s="17" t="s">
        <v>183</v>
      </c>
      <c r="Z8" s="17" t="s">
        <v>183</v>
      </c>
      <c r="AA8" s="176">
        <v>8</v>
      </c>
      <c r="AB8" s="176">
        <v>8</v>
      </c>
      <c r="AC8" s="176">
        <v>3</v>
      </c>
      <c r="AD8" s="176">
        <v>11</v>
      </c>
      <c r="AE8" s="141">
        <v>0.72</v>
      </c>
      <c r="AF8" s="136">
        <v>1</v>
      </c>
      <c r="AG8" s="25" t="str">
        <f>_xlfn.XLOOKUP(F8,'TFS Details'!F:F,'TFS Details'!H:H)</f>
        <v>Test Complete</v>
      </c>
      <c r="AH8" s="44">
        <v>11</v>
      </c>
      <c r="AI8" s="44">
        <v>0</v>
      </c>
      <c r="AJ8" s="44">
        <v>0</v>
      </c>
      <c r="AK8" s="44">
        <v>0</v>
      </c>
      <c r="AL8" s="40">
        <f t="shared" si="3"/>
        <v>11</v>
      </c>
      <c r="AM8" s="41">
        <f t="shared" si="0"/>
        <v>1</v>
      </c>
      <c r="AN8" s="41">
        <f t="shared" si="4"/>
        <v>1</v>
      </c>
      <c r="AO8" s="126"/>
      <c r="AP8" s="25" t="str">
        <f>_xlfn.XLOOKUP(F8,'TFS Details'!F:F,'TFS Details'!I:I)</f>
        <v>Codeplayers</v>
      </c>
      <c r="AQ8" s="25" t="str">
        <f>_xlfn.XLOOKUP(AP8,'TFS Details'!I:I,'TFS Details'!AE:AE)</f>
        <v>nityanand.giri</v>
      </c>
    </row>
    <row r="9" spans="1:44">
      <c r="A9" s="24" t="str">
        <f>_xlfn.XLOOKUP(F9,'TFS Details'!F:F,'TFS Details'!D:D)</f>
        <v>Value Shaping</v>
      </c>
      <c r="B9" s="24" t="str">
        <f>_xlfn.XLOOKUP(F9,'TFS Details'!F:F,'TFS Details'!A:A)</f>
        <v>Value Shaping –Enhancements</v>
      </c>
      <c r="C9" s="64">
        <f>_xlfn.XLOOKUP(F9,'TFS Details'!F:F,'TFS Details'!E:E)</f>
        <v>4330994</v>
      </c>
      <c r="D9" s="177" t="s">
        <v>39</v>
      </c>
      <c r="E9" s="178" t="s">
        <v>200</v>
      </c>
      <c r="F9" s="113">
        <v>4376380</v>
      </c>
      <c r="G9" s="97" t="s">
        <v>181</v>
      </c>
      <c r="H9" s="97" t="s">
        <v>198</v>
      </c>
      <c r="I9" s="97"/>
      <c r="J9" s="97" t="s">
        <v>116</v>
      </c>
      <c r="K9" s="97" t="s">
        <v>1</v>
      </c>
      <c r="L9" s="97"/>
      <c r="M9" s="97"/>
      <c r="N9" s="97" t="s">
        <v>191</v>
      </c>
      <c r="O9" s="176"/>
      <c r="P9" s="141">
        <v>1</v>
      </c>
      <c r="Q9" s="176">
        <v>11</v>
      </c>
      <c r="R9" s="176">
        <v>5</v>
      </c>
      <c r="S9" s="176"/>
      <c r="T9" s="176"/>
      <c r="U9" s="141"/>
      <c r="V9" s="141"/>
      <c r="W9" s="17" t="s">
        <v>183</v>
      </c>
      <c r="X9" s="17" t="s">
        <v>183</v>
      </c>
      <c r="Y9" s="17" t="s">
        <v>183</v>
      </c>
      <c r="Z9" s="17" t="s">
        <v>201</v>
      </c>
      <c r="AA9" s="176">
        <v>10</v>
      </c>
      <c r="AB9" s="176">
        <v>7</v>
      </c>
      <c r="AC9" s="176">
        <v>4</v>
      </c>
      <c r="AD9" s="176">
        <v>11</v>
      </c>
      <c r="AE9" s="141">
        <v>0.65</v>
      </c>
      <c r="AF9" s="141">
        <v>0.7</v>
      </c>
      <c r="AG9" s="25" t="str">
        <f>_xlfn.XLOOKUP(F9,'TFS Details'!F:F,'TFS Details'!H:H)</f>
        <v>UAT In Test</v>
      </c>
      <c r="AH9" s="44">
        <v>10</v>
      </c>
      <c r="AI9" s="44">
        <v>1</v>
      </c>
      <c r="AJ9" s="44">
        <v>0</v>
      </c>
      <c r="AK9" s="44">
        <v>0</v>
      </c>
      <c r="AL9" s="40">
        <f t="shared" si="3"/>
        <v>11</v>
      </c>
      <c r="AM9" s="41">
        <f t="shared" si="0"/>
        <v>1</v>
      </c>
      <c r="AN9" s="41">
        <f t="shared" si="4"/>
        <v>0.90909090909090906</v>
      </c>
      <c r="AO9" s="25"/>
      <c r="AP9" s="25" t="str">
        <f>_xlfn.XLOOKUP(F9,'TFS Details'!F:F,'TFS Details'!I:I)</f>
        <v>Spartans</v>
      </c>
      <c r="AQ9" s="25" t="str">
        <f>_xlfn.XLOOKUP(AP9,'TFS Details'!I:I,'TFS Details'!AE:AE)</f>
        <v>nityanand.giri</v>
      </c>
    </row>
    <row r="10" spans="1:44">
      <c r="A10" s="24" t="str">
        <f>_xlfn.XLOOKUP(F10,'TFS Details'!F:F,'TFS Details'!D:D)</f>
        <v>Automation Calculator</v>
      </c>
      <c r="B10" s="24" t="str">
        <f>_xlfn.XLOOKUP(F10,'TFS Details'!F:F,'TFS Details'!A:A)</f>
        <v>ROI - Automation Calculator - Default Logic</v>
      </c>
      <c r="C10" s="64">
        <f>_xlfn.XLOOKUP(F10,'TFS Details'!F:F,'TFS Details'!E:E)</f>
        <v>4366165</v>
      </c>
      <c r="D10" s="177" t="s">
        <v>39</v>
      </c>
      <c r="E10" s="178" t="s">
        <v>202</v>
      </c>
      <c r="F10" s="113">
        <v>4362465</v>
      </c>
      <c r="G10" s="97" t="s">
        <v>193</v>
      </c>
      <c r="H10" s="97" t="s">
        <v>186</v>
      </c>
      <c r="I10" s="97"/>
      <c r="J10" s="97"/>
      <c r="K10" s="97" t="s">
        <v>18</v>
      </c>
      <c r="L10" s="97" t="s">
        <v>203</v>
      </c>
      <c r="M10" s="97" t="s">
        <v>57</v>
      </c>
      <c r="N10" s="97"/>
      <c r="O10" s="176"/>
      <c r="Q10" s="176"/>
      <c r="R10" s="176"/>
      <c r="S10" s="176"/>
      <c r="T10" s="176"/>
      <c r="U10" s="141"/>
      <c r="V10" s="141"/>
      <c r="W10" s="17" t="s">
        <v>183</v>
      </c>
      <c r="X10" s="17" t="s">
        <v>183</v>
      </c>
      <c r="Y10" s="17" t="s">
        <v>183</v>
      </c>
      <c r="Z10" s="17" t="s">
        <v>183</v>
      </c>
      <c r="AA10" s="176">
        <v>60</v>
      </c>
      <c r="AB10" s="176">
        <v>32</v>
      </c>
      <c r="AC10" s="176">
        <v>6</v>
      </c>
      <c r="AD10" s="176">
        <v>36</v>
      </c>
      <c r="AE10" s="141">
        <v>0.73</v>
      </c>
      <c r="AF10" s="141">
        <v>0.63</v>
      </c>
      <c r="AG10" s="25" t="str">
        <f>_xlfn.XLOOKUP(F10,'TFS Details'!F:F,'TFS Details'!H:H)</f>
        <v>Test Complete</v>
      </c>
      <c r="AH10" s="44">
        <v>38</v>
      </c>
      <c r="AI10" s="44">
        <v>0</v>
      </c>
      <c r="AJ10" s="44">
        <v>0</v>
      </c>
      <c r="AK10" s="44">
        <v>0</v>
      </c>
      <c r="AL10" s="40">
        <v>38</v>
      </c>
      <c r="AM10" s="41">
        <f t="shared" si="0"/>
        <v>1</v>
      </c>
      <c r="AN10" s="41">
        <f t="shared" si="4"/>
        <v>1</v>
      </c>
      <c r="AO10" s="126"/>
      <c r="AP10" s="25" t="str">
        <f>_xlfn.XLOOKUP(F10,'TFS Details'!F:F,'TFS Details'!I:I)</f>
        <v>CrazyCoders</v>
      </c>
      <c r="AQ10" s="25" t="str">
        <f>_xlfn.XLOOKUP(AP10,'TFS Details'!I:I,'TFS Details'!AE:AE)</f>
        <v>nityanand.giri</v>
      </c>
    </row>
    <row r="11" spans="1:44">
      <c r="A11" s="24" t="str">
        <f>_xlfn.XLOOKUP(F11,'TFS Details'!F:F,'TFS Details'!D:D)</f>
        <v>Automation Calculator</v>
      </c>
      <c r="B11" s="24" t="str">
        <f>_xlfn.XLOOKUP(F11,'TFS Details'!F:F,'TFS Details'!A:A)</f>
        <v>ROI &amp; Summary (Tab 8) will be as is in automation calculator with Split of GEN AI, Opera and Agentic and Ux upgrade</v>
      </c>
      <c r="C11" s="64">
        <f>_xlfn.XLOOKUP(F11,'TFS Details'!F:F,'TFS Details'!E:E)</f>
        <v>4405953</v>
      </c>
      <c r="D11" s="177" t="s">
        <v>39</v>
      </c>
      <c r="E11" s="178" t="s">
        <v>204</v>
      </c>
      <c r="F11" s="113">
        <v>4362711</v>
      </c>
      <c r="G11" s="97" t="s">
        <v>205</v>
      </c>
      <c r="H11" s="97" t="s">
        <v>185</v>
      </c>
      <c r="I11" s="97"/>
      <c r="J11" s="97"/>
      <c r="K11" s="97" t="s">
        <v>18</v>
      </c>
      <c r="L11" s="97" t="s">
        <v>195</v>
      </c>
      <c r="M11" s="97" t="s">
        <v>57</v>
      </c>
      <c r="N11" s="97"/>
      <c r="O11" s="176"/>
      <c r="Q11" s="176"/>
      <c r="R11" s="176"/>
      <c r="S11" s="176"/>
      <c r="T11" s="176"/>
      <c r="U11" s="141"/>
      <c r="V11" s="141"/>
      <c r="W11" s="17" t="s">
        <v>183</v>
      </c>
      <c r="X11" s="17" t="s">
        <v>183</v>
      </c>
      <c r="Y11" s="17" t="s">
        <v>183</v>
      </c>
      <c r="Z11" s="17" t="s">
        <v>183</v>
      </c>
      <c r="AA11" s="176">
        <v>8</v>
      </c>
      <c r="AB11" s="176">
        <v>7</v>
      </c>
      <c r="AC11" s="176">
        <v>4</v>
      </c>
      <c r="AD11" s="176">
        <v>11</v>
      </c>
      <c r="AE11" s="141">
        <v>0.73</v>
      </c>
      <c r="AF11" s="136">
        <v>0.97</v>
      </c>
      <c r="AG11" s="25" t="str">
        <f>_xlfn.XLOOKUP(F11,'TFS Details'!F:F,'TFS Details'!H:H)</f>
        <v>Test Complete</v>
      </c>
      <c r="AH11" s="44">
        <v>11</v>
      </c>
      <c r="AI11" s="44">
        <v>0</v>
      </c>
      <c r="AJ11" s="44">
        <v>0</v>
      </c>
      <c r="AK11" s="44">
        <v>0</v>
      </c>
      <c r="AL11" s="40">
        <f t="shared" si="3"/>
        <v>11</v>
      </c>
      <c r="AM11" s="41">
        <f t="shared" si="0"/>
        <v>1</v>
      </c>
      <c r="AN11" s="41">
        <f t="shared" si="4"/>
        <v>1</v>
      </c>
      <c r="AO11" s="126"/>
      <c r="AP11" s="25" t="str">
        <f>_xlfn.XLOOKUP(F11,'TFS Details'!F:F,'TFS Details'!I:I)</f>
        <v>Codeplayers</v>
      </c>
      <c r="AQ11" s="25" t="str">
        <f>_xlfn.XLOOKUP(AP11,'TFS Details'!I:I,'TFS Details'!AE:AE)</f>
        <v>nityanand.giri</v>
      </c>
    </row>
    <row r="12" spans="1:44">
      <c r="A12" s="24" t="str">
        <f>_xlfn.XLOOKUP(F12,'TFS Details'!F:F,'TFS Details'!D:D)</f>
        <v>Automation Calculator</v>
      </c>
      <c r="B12" s="24" t="str">
        <f>_xlfn.XLOOKUP(F12,'TFS Details'!F:F,'TFS Details'!A:A)</f>
        <v>ROI - Automation Calculator - Default Logic</v>
      </c>
      <c r="C12" s="64">
        <f>_xlfn.XLOOKUP(F12,'TFS Details'!F:F,'TFS Details'!E:E)</f>
        <v>4366165</v>
      </c>
      <c r="D12" s="177" t="s">
        <v>39</v>
      </c>
      <c r="E12" s="178" t="s">
        <v>206</v>
      </c>
      <c r="F12" s="113">
        <v>4363958</v>
      </c>
      <c r="G12" s="97" t="s">
        <v>185</v>
      </c>
      <c r="H12" s="97" t="s">
        <v>186</v>
      </c>
      <c r="I12" s="97"/>
      <c r="J12" s="97"/>
      <c r="K12" s="97" t="s">
        <v>18</v>
      </c>
      <c r="L12" s="97" t="s">
        <v>207</v>
      </c>
      <c r="M12" s="97" t="s">
        <v>57</v>
      </c>
      <c r="N12" s="97"/>
      <c r="O12" s="176"/>
      <c r="Q12" s="176"/>
      <c r="R12" s="176"/>
      <c r="S12" s="176"/>
      <c r="T12" s="176"/>
      <c r="U12" s="141"/>
      <c r="V12" s="141"/>
      <c r="W12" s="17" t="s">
        <v>183</v>
      </c>
      <c r="X12" s="17" t="s">
        <v>183</v>
      </c>
      <c r="Y12" s="17" t="s">
        <v>183</v>
      </c>
      <c r="Z12" s="17" t="s">
        <v>183</v>
      </c>
      <c r="AA12" s="176">
        <v>60</v>
      </c>
      <c r="AB12" s="176">
        <v>27</v>
      </c>
      <c r="AC12" s="176">
        <v>5</v>
      </c>
      <c r="AD12" s="176">
        <v>32</v>
      </c>
      <c r="AE12" s="141">
        <v>0.53</v>
      </c>
      <c r="AF12" s="137">
        <v>0.45</v>
      </c>
      <c r="AG12" s="25" t="str">
        <f>_xlfn.XLOOKUP(F12,'TFS Details'!F:F,'TFS Details'!H:H)</f>
        <v>Test Complete</v>
      </c>
      <c r="AH12" s="44">
        <v>27</v>
      </c>
      <c r="AI12" s="44">
        <v>0</v>
      </c>
      <c r="AJ12" s="44">
        <v>0</v>
      </c>
      <c r="AK12" s="44">
        <v>0</v>
      </c>
      <c r="AL12" s="40">
        <f t="shared" si="3"/>
        <v>27</v>
      </c>
      <c r="AM12" s="41">
        <f t="shared" si="0"/>
        <v>1</v>
      </c>
      <c r="AN12" s="41">
        <f t="shared" si="4"/>
        <v>1</v>
      </c>
      <c r="AO12" s="126"/>
      <c r="AP12" s="25" t="str">
        <f>_xlfn.XLOOKUP(F12,'TFS Details'!F:F,'TFS Details'!I:I)</f>
        <v>CrazyCoders</v>
      </c>
      <c r="AQ12" s="25" t="str">
        <f>_xlfn.XLOOKUP(AP12,'TFS Details'!I:I,'TFS Details'!AE:AE)</f>
        <v>nityanand.giri</v>
      </c>
    </row>
    <row r="13" spans="1:44">
      <c r="A13" s="24" t="str">
        <f>_xlfn.XLOOKUP(F13,'TFS Details'!F:F,'TFS Details'!D:D)</f>
        <v>Value Shaping</v>
      </c>
      <c r="B13" s="24" t="str">
        <f>_xlfn.XLOOKUP(F13,'TFS Details'!F:F,'TFS Details'!A:A)</f>
        <v>Value Shaping –Enhancements</v>
      </c>
      <c r="C13" s="64">
        <f>_xlfn.XLOOKUP(F13,'TFS Details'!F:F,'TFS Details'!E:E)</f>
        <v>4330994</v>
      </c>
      <c r="D13" s="177" t="s">
        <v>39</v>
      </c>
      <c r="E13" s="178" t="s">
        <v>208</v>
      </c>
      <c r="F13" s="113">
        <v>4364558</v>
      </c>
      <c r="G13" s="97" t="s">
        <v>209</v>
      </c>
      <c r="H13" s="97" t="s">
        <v>190</v>
      </c>
      <c r="I13" s="97"/>
      <c r="J13" s="97" t="s">
        <v>96</v>
      </c>
      <c r="K13" s="97" t="s">
        <v>1</v>
      </c>
      <c r="L13" s="97"/>
      <c r="M13" s="97"/>
      <c r="N13" s="97" t="s">
        <v>182</v>
      </c>
      <c r="O13" s="176"/>
      <c r="P13" s="141">
        <v>1</v>
      </c>
      <c r="Q13" s="176">
        <v>17</v>
      </c>
      <c r="R13" s="176">
        <v>10</v>
      </c>
      <c r="S13" s="176">
        <v>0</v>
      </c>
      <c r="T13" s="176">
        <v>10</v>
      </c>
      <c r="U13" s="141">
        <v>1</v>
      </c>
      <c r="V13" s="141">
        <v>0.8</v>
      </c>
      <c r="W13" s="17" t="s">
        <v>183</v>
      </c>
      <c r="X13" s="17" t="s">
        <v>183</v>
      </c>
      <c r="Y13" s="17" t="s">
        <v>183</v>
      </c>
      <c r="Z13" s="17" t="s">
        <v>183</v>
      </c>
      <c r="AA13" s="176">
        <v>50</v>
      </c>
      <c r="AB13" s="176">
        <v>17</v>
      </c>
      <c r="AC13" s="176">
        <v>0</v>
      </c>
      <c r="AD13" s="176">
        <v>17</v>
      </c>
      <c r="AE13" s="141">
        <v>1</v>
      </c>
      <c r="AF13" s="141">
        <v>0.7</v>
      </c>
      <c r="AG13" s="25" t="str">
        <f>_xlfn.XLOOKUP(F13,'TFS Details'!F:F,'TFS Details'!H:H)</f>
        <v>Test Complete</v>
      </c>
      <c r="AH13" s="44">
        <v>17</v>
      </c>
      <c r="AI13" s="44">
        <v>0</v>
      </c>
      <c r="AJ13" s="44">
        <v>0</v>
      </c>
      <c r="AK13" s="44">
        <v>0</v>
      </c>
      <c r="AL13" s="40">
        <f t="shared" si="3"/>
        <v>17</v>
      </c>
      <c r="AM13" s="41">
        <f t="shared" si="0"/>
        <v>1</v>
      </c>
      <c r="AN13" s="41">
        <f t="shared" si="4"/>
        <v>1</v>
      </c>
      <c r="AO13" s="25"/>
      <c r="AP13" s="25" t="str">
        <f>_xlfn.XLOOKUP(F13,'TFS Details'!F:F,'TFS Details'!I:I)</f>
        <v>Spartans</v>
      </c>
      <c r="AQ13" s="25" t="str">
        <f>_xlfn.XLOOKUP(AP13,'TFS Details'!I:I,'TFS Details'!AE:AE)</f>
        <v>nityanand.giri</v>
      </c>
    </row>
    <row r="14" spans="1:44">
      <c r="A14" s="24" t="str">
        <f>_xlfn.XLOOKUP(F14,'TFS Details'!F:F,'TFS Details'!D:D)</f>
        <v>Automation Calculator</v>
      </c>
      <c r="B14" s="24" t="str">
        <f>_xlfn.XLOOKUP(F14,'TFS Details'!F:F,'TFS Details'!A:A)</f>
        <v>ROI - Automation Calculator - Default Logic</v>
      </c>
      <c r="C14" s="64">
        <f>_xlfn.XLOOKUP(F14,'TFS Details'!F:F,'TFS Details'!E:E)</f>
        <v>4366165</v>
      </c>
      <c r="D14" s="177" t="s">
        <v>39</v>
      </c>
      <c r="E14" s="178" t="s">
        <v>210</v>
      </c>
      <c r="F14" s="113">
        <v>4361791</v>
      </c>
      <c r="G14" s="97" t="s">
        <v>186</v>
      </c>
      <c r="H14" s="97" t="s">
        <v>205</v>
      </c>
      <c r="I14" s="97"/>
      <c r="J14" s="97"/>
      <c r="K14" s="97" t="s">
        <v>18</v>
      </c>
      <c r="L14" s="97" t="s">
        <v>207</v>
      </c>
      <c r="M14" s="97" t="s">
        <v>57</v>
      </c>
      <c r="N14" s="97"/>
      <c r="O14" s="176"/>
      <c r="Q14" s="176"/>
      <c r="R14" s="176"/>
      <c r="S14" s="176"/>
      <c r="T14" s="176"/>
      <c r="U14" s="141"/>
      <c r="V14" s="141"/>
      <c r="W14" s="17" t="s">
        <v>183</v>
      </c>
      <c r="X14" s="17" t="s">
        <v>183</v>
      </c>
      <c r="Y14" s="17" t="s">
        <v>183</v>
      </c>
      <c r="Z14" s="17" t="s">
        <v>183</v>
      </c>
      <c r="AA14" s="176">
        <v>22</v>
      </c>
      <c r="AB14" s="176">
        <v>17</v>
      </c>
      <c r="AC14" s="176">
        <v>0</v>
      </c>
      <c r="AD14" s="176">
        <v>17</v>
      </c>
      <c r="AE14" s="141">
        <f>AB14/AA14</f>
        <v>0.77272727272727271</v>
      </c>
      <c r="AF14" s="141">
        <v>0.77</v>
      </c>
      <c r="AG14" s="25" t="str">
        <f>_xlfn.XLOOKUP(F14,'TFS Details'!F:F,'TFS Details'!H:H)</f>
        <v>Test Complete</v>
      </c>
      <c r="AH14" s="44">
        <v>17</v>
      </c>
      <c r="AI14" s="44">
        <v>0</v>
      </c>
      <c r="AJ14" s="44">
        <v>0</v>
      </c>
      <c r="AK14" s="44">
        <v>0</v>
      </c>
      <c r="AL14" s="40">
        <f t="shared" si="3"/>
        <v>17</v>
      </c>
      <c r="AM14" s="41">
        <f t="shared" si="0"/>
        <v>1</v>
      </c>
      <c r="AN14" s="41">
        <f t="shared" si="4"/>
        <v>1</v>
      </c>
      <c r="AO14" s="126"/>
      <c r="AP14" s="25" t="str">
        <f>_xlfn.XLOOKUP(F14,'TFS Details'!F:F,'TFS Details'!I:I)</f>
        <v>CrazyCoders</v>
      </c>
      <c r="AQ14" s="25" t="str">
        <f>_xlfn.XLOOKUP(AP14,'TFS Details'!I:I,'TFS Details'!AE:AE)</f>
        <v>nityanand.giri</v>
      </c>
    </row>
    <row r="15" spans="1:44">
      <c r="A15" s="24" t="str">
        <f>_xlfn.XLOOKUP(F15,'TFS Details'!F:F,'TFS Details'!D:D)</f>
        <v>Value Shaping</v>
      </c>
      <c r="B15" s="24" t="str">
        <f>_xlfn.XLOOKUP(F15,'TFS Details'!F:F,'TFS Details'!A:A)</f>
        <v>Value Shaping –Enhancements</v>
      </c>
      <c r="C15" s="64">
        <f>_xlfn.XLOOKUP(F15,'TFS Details'!F:F,'TFS Details'!E:E)</f>
        <v>4330994</v>
      </c>
      <c r="D15" s="177" t="s">
        <v>39</v>
      </c>
      <c r="E15" s="178" t="s">
        <v>211</v>
      </c>
      <c r="F15" s="113">
        <v>4318918</v>
      </c>
      <c r="G15" s="97" t="s">
        <v>189</v>
      </c>
      <c r="H15" s="97" t="s">
        <v>190</v>
      </c>
      <c r="I15" s="97"/>
      <c r="J15" s="97"/>
      <c r="K15" s="97" t="s">
        <v>18</v>
      </c>
      <c r="L15" s="97" t="s">
        <v>212</v>
      </c>
      <c r="M15" s="97" t="s">
        <v>54</v>
      </c>
      <c r="N15" s="97"/>
      <c r="O15" s="176"/>
      <c r="Q15" s="176"/>
      <c r="R15" s="176"/>
      <c r="S15" s="176"/>
      <c r="T15" s="176"/>
      <c r="U15" s="141"/>
      <c r="V15" s="141"/>
      <c r="W15" s="17" t="s">
        <v>183</v>
      </c>
      <c r="X15" s="17" t="s">
        <v>183</v>
      </c>
      <c r="Y15" s="17" t="s">
        <v>183</v>
      </c>
      <c r="Z15" s="17" t="s">
        <v>183</v>
      </c>
      <c r="AA15" s="176">
        <v>50</v>
      </c>
      <c r="AB15" s="176">
        <v>23</v>
      </c>
      <c r="AC15" s="176">
        <v>0</v>
      </c>
      <c r="AD15" s="176">
        <v>23</v>
      </c>
      <c r="AE15" s="141">
        <v>1</v>
      </c>
      <c r="AF15" s="141">
        <v>0.7</v>
      </c>
      <c r="AG15" s="25" t="str">
        <f>_xlfn.XLOOKUP(F15,'TFS Details'!F:F,'TFS Details'!H:H)</f>
        <v>UAT In Test</v>
      </c>
      <c r="AH15" s="44">
        <v>23</v>
      </c>
      <c r="AI15" s="44">
        <v>0</v>
      </c>
      <c r="AJ15" s="44">
        <v>0</v>
      </c>
      <c r="AK15" s="44">
        <v>0</v>
      </c>
      <c r="AL15" s="40">
        <f t="shared" si="3"/>
        <v>23</v>
      </c>
      <c r="AM15" s="41">
        <f t="shared" si="0"/>
        <v>1</v>
      </c>
      <c r="AN15" s="41">
        <f t="shared" si="4"/>
        <v>1</v>
      </c>
      <c r="AO15" s="25"/>
      <c r="AP15" s="25" t="str">
        <f>_xlfn.XLOOKUP(F15,'TFS Details'!F:F,'TFS Details'!I:I)</f>
        <v>Spartans</v>
      </c>
      <c r="AQ15" s="25" t="str">
        <f>_xlfn.XLOOKUP(AP15,'TFS Details'!I:I,'TFS Details'!AE:AE)</f>
        <v>nityanand.giri</v>
      </c>
    </row>
    <row r="16" spans="1:44">
      <c r="A16" s="24" t="str">
        <f>_xlfn.XLOOKUP(F16,'TFS Details'!F:F,'TFS Details'!D:D)</f>
        <v>Calculator</v>
      </c>
      <c r="B16" s="24" t="str">
        <f>_xlfn.XLOOKUP(F16,'TFS Details'!F:F,'TFS Details'!A:A)</f>
        <v>Asset Calculator -  Asset accordions to be added  in Asset Catalog</v>
      </c>
      <c r="C16" s="64">
        <f>_xlfn.XLOOKUP(F16,'TFS Details'!F:F,'TFS Details'!E:E)</f>
        <v>4331001</v>
      </c>
      <c r="D16" s="177" t="s">
        <v>39</v>
      </c>
      <c r="E16" s="178" t="s">
        <v>213</v>
      </c>
      <c r="F16" s="113">
        <v>4328732</v>
      </c>
      <c r="G16" s="97" t="s">
        <v>185</v>
      </c>
      <c r="H16" s="97" t="s">
        <v>214</v>
      </c>
      <c r="I16" s="97"/>
      <c r="J16" s="97" t="s">
        <v>84</v>
      </c>
      <c r="K16" s="97" t="s">
        <v>1</v>
      </c>
      <c r="L16" s="97"/>
      <c r="M16" s="97"/>
      <c r="N16" s="97" t="s">
        <v>191</v>
      </c>
      <c r="O16" s="176"/>
      <c r="P16" s="141">
        <v>1</v>
      </c>
      <c r="Q16" s="176">
        <v>19</v>
      </c>
      <c r="R16" s="176">
        <v>1</v>
      </c>
      <c r="S16" s="176">
        <v>0</v>
      </c>
      <c r="T16" s="176">
        <v>1</v>
      </c>
      <c r="U16" s="141">
        <v>0.75</v>
      </c>
      <c r="V16" s="141">
        <v>0.75</v>
      </c>
      <c r="W16" s="17" t="s">
        <v>183</v>
      </c>
      <c r="X16" s="17" t="s">
        <v>183</v>
      </c>
      <c r="Y16" s="17" t="s">
        <v>183</v>
      </c>
      <c r="Z16" s="17" t="s">
        <v>183</v>
      </c>
      <c r="AA16" s="176">
        <v>90</v>
      </c>
      <c r="AB16" s="176">
        <v>28</v>
      </c>
      <c r="AC16" s="176">
        <v>3</v>
      </c>
      <c r="AD16" s="176">
        <v>31</v>
      </c>
      <c r="AE16" s="141">
        <f>AB16/AD16</f>
        <v>0.90322580645161288</v>
      </c>
      <c r="AF16" s="137">
        <v>0.95</v>
      </c>
      <c r="AG16" s="25" t="str">
        <f>_xlfn.XLOOKUP(F16,'TFS Details'!F:F,'TFS Details'!H:H)</f>
        <v>Test Complete</v>
      </c>
      <c r="AH16" s="44">
        <v>31</v>
      </c>
      <c r="AI16" s="44">
        <v>0</v>
      </c>
      <c r="AJ16" s="44">
        <v>0</v>
      </c>
      <c r="AK16" s="44">
        <v>0</v>
      </c>
      <c r="AL16" s="40">
        <f t="shared" si="3"/>
        <v>31</v>
      </c>
      <c r="AM16" s="41">
        <f t="shared" si="0"/>
        <v>1</v>
      </c>
      <c r="AN16" s="41">
        <f>IF(AH16=0,0,AH16/(SUM(AH16:AJ16)))</f>
        <v>1</v>
      </c>
      <c r="AO16" s="25"/>
      <c r="AP16" s="25" t="str">
        <f>_xlfn.XLOOKUP(F16,'TFS Details'!F:F,'TFS Details'!I:I)</f>
        <v>TitansPlus</v>
      </c>
      <c r="AQ16" s="25" t="str">
        <f>_xlfn.XLOOKUP(AP16,'TFS Details'!I:I,'TFS Details'!AE:AE)</f>
        <v>nityanand.giri</v>
      </c>
    </row>
    <row r="17" spans="1:43">
      <c r="A17" s="24" t="str">
        <f>_xlfn.XLOOKUP(F17,'TFS Details'!F:F,'TFS Details'!D:D)</f>
        <v>Value Shaping</v>
      </c>
      <c r="B17" s="24" t="str">
        <f>_xlfn.XLOOKUP(F17,'TFS Details'!F:F,'TFS Details'!A:A)</f>
        <v>Value Shaping –Enhancements</v>
      </c>
      <c r="C17" s="64">
        <f>_xlfn.XLOOKUP(F17,'TFS Details'!F:F,'TFS Details'!E:E)</f>
        <v>4330994</v>
      </c>
      <c r="D17" s="177" t="s">
        <v>39</v>
      </c>
      <c r="E17" s="178" t="s">
        <v>215</v>
      </c>
      <c r="F17" s="113">
        <v>4100102</v>
      </c>
      <c r="G17" s="97" t="s">
        <v>198</v>
      </c>
      <c r="H17" s="97" t="s">
        <v>181</v>
      </c>
      <c r="I17" s="97"/>
      <c r="J17" s="97"/>
      <c r="K17" s="97" t="s">
        <v>18</v>
      </c>
      <c r="L17" s="97" t="s">
        <v>216</v>
      </c>
      <c r="M17" s="97" t="s">
        <v>54</v>
      </c>
      <c r="N17" s="97"/>
      <c r="O17" s="176"/>
      <c r="Q17" s="176"/>
      <c r="R17" s="176"/>
      <c r="S17" s="176"/>
      <c r="T17" s="176"/>
      <c r="U17" s="141"/>
      <c r="V17" s="141"/>
      <c r="W17" s="17" t="s">
        <v>183</v>
      </c>
      <c r="X17" s="17" t="s">
        <v>183</v>
      </c>
      <c r="Y17" s="17" t="s">
        <v>183</v>
      </c>
      <c r="Z17" s="17" t="s">
        <v>183</v>
      </c>
      <c r="AA17" s="176">
        <v>97</v>
      </c>
      <c r="AB17" s="176">
        <v>21</v>
      </c>
      <c r="AC17" s="176">
        <v>0</v>
      </c>
      <c r="AD17" s="176">
        <v>21</v>
      </c>
      <c r="AE17" s="141">
        <v>1</v>
      </c>
      <c r="AF17" s="141">
        <v>0.8</v>
      </c>
      <c r="AG17" s="25" t="str">
        <f>_xlfn.XLOOKUP(F17,'TFS Details'!F:F,'TFS Details'!H:H)</f>
        <v>Test Complete</v>
      </c>
      <c r="AH17" s="44">
        <v>21</v>
      </c>
      <c r="AI17" s="44">
        <v>0</v>
      </c>
      <c r="AJ17" s="44">
        <v>0</v>
      </c>
      <c r="AK17" s="44">
        <v>0</v>
      </c>
      <c r="AL17" s="40">
        <f t="shared" si="3"/>
        <v>21</v>
      </c>
      <c r="AM17" s="41">
        <f t="shared" si="0"/>
        <v>1</v>
      </c>
      <c r="AN17" s="41">
        <f t="shared" si="4"/>
        <v>1</v>
      </c>
      <c r="AO17" s="25"/>
      <c r="AP17" s="25" t="str">
        <f>_xlfn.XLOOKUP(F17,'TFS Details'!F:F,'TFS Details'!I:I)</f>
        <v>Spartans</v>
      </c>
      <c r="AQ17" s="25" t="str">
        <f>_xlfn.XLOOKUP(AP17,'TFS Details'!I:I,'TFS Details'!AE:AE)</f>
        <v>nityanand.giri</v>
      </c>
    </row>
    <row r="18" spans="1:43" ht="15">
      <c r="A18" s="24" t="str">
        <f>_xlfn.XLOOKUP(F18,'TFS Details'!F:F,'TFS Details'!D:D)</f>
        <v>Value Shaping</v>
      </c>
      <c r="B18" s="24" t="str">
        <f>_xlfn.XLOOKUP(F18,'TFS Details'!F:F,'TFS Details'!A:A)</f>
        <v>Value Shaping –Enhancements</v>
      </c>
      <c r="C18" s="64">
        <f>_xlfn.XLOOKUP(F18,'TFS Details'!F:F,'TFS Details'!E:E)</f>
        <v>4330994</v>
      </c>
      <c r="D18" s="177" t="s">
        <v>39</v>
      </c>
      <c r="E18" s="178" t="s">
        <v>217</v>
      </c>
      <c r="F18" s="113">
        <v>4368404</v>
      </c>
      <c r="G18" s="97" t="s">
        <v>180</v>
      </c>
      <c r="H18" s="97" t="s">
        <v>190</v>
      </c>
      <c r="I18" s="97"/>
      <c r="J18" s="97"/>
      <c r="K18" s="97" t="s">
        <v>18</v>
      </c>
      <c r="L18" s="97" t="s">
        <v>212</v>
      </c>
      <c r="M18" s="97" t="s">
        <v>54</v>
      </c>
      <c r="N18" s="97"/>
      <c r="O18" s="176"/>
      <c r="Q18" s="176"/>
      <c r="R18" s="176"/>
      <c r="S18" s="176"/>
      <c r="T18" s="176"/>
      <c r="U18" s="141"/>
      <c r="V18" s="141"/>
      <c r="W18" s="17" t="s">
        <v>183</v>
      </c>
      <c r="X18" s="17" t="s">
        <v>183</v>
      </c>
      <c r="Y18" s="17" t="s">
        <v>183</v>
      </c>
      <c r="Z18" s="17" t="s">
        <v>183</v>
      </c>
      <c r="AA18" s="176">
        <v>70</v>
      </c>
      <c r="AB18" s="176">
        <v>48</v>
      </c>
      <c r="AC18" s="176">
        <v>0</v>
      </c>
      <c r="AD18" s="176">
        <v>48</v>
      </c>
      <c r="AE18" s="141">
        <v>1</v>
      </c>
      <c r="AF18" s="141">
        <v>0.85</v>
      </c>
      <c r="AG18" s="25" t="s">
        <v>218</v>
      </c>
      <c r="AH18" s="44">
        <v>48</v>
      </c>
      <c r="AI18" s="44">
        <v>0</v>
      </c>
      <c r="AJ18" s="44">
        <v>0</v>
      </c>
      <c r="AK18" s="44">
        <v>0</v>
      </c>
      <c r="AL18" s="40">
        <v>48</v>
      </c>
      <c r="AM18" s="41">
        <f t="shared" si="0"/>
        <v>1</v>
      </c>
      <c r="AN18" s="41">
        <f t="shared" si="4"/>
        <v>1</v>
      </c>
      <c r="AO18" s="179"/>
      <c r="AP18" s="25" t="str">
        <f>_xlfn.XLOOKUP(F18,'TFS Details'!F:F,'TFS Details'!I:I)</f>
        <v>Spartans</v>
      </c>
      <c r="AQ18" s="25" t="str">
        <f>_xlfn.XLOOKUP(AP18,'TFS Details'!I:I,'TFS Details'!AE:AE)</f>
        <v>nityanand.giri</v>
      </c>
    </row>
    <row r="19" spans="1:43">
      <c r="A19" s="24" t="str">
        <f>_xlfn.XLOOKUP(F19,'TFS Details'!F:F,'TFS Details'!D:D)</f>
        <v>Value Shaping</v>
      </c>
      <c r="B19" s="24" t="str">
        <f>_xlfn.XLOOKUP(F19,'TFS Details'!F:F,'TFS Details'!A:A)</f>
        <v>Value Shaping –Enhancements</v>
      </c>
      <c r="C19" s="64">
        <f>_xlfn.XLOOKUP(F19,'TFS Details'!F:F,'TFS Details'!E:E)</f>
        <v>4330994</v>
      </c>
      <c r="D19" s="177" t="s">
        <v>39</v>
      </c>
      <c r="E19" s="178" t="s">
        <v>219</v>
      </c>
      <c r="F19" s="113">
        <v>4368405</v>
      </c>
      <c r="G19" s="97" t="s">
        <v>181</v>
      </c>
      <c r="H19" s="97" t="s">
        <v>198</v>
      </c>
      <c r="I19" s="97"/>
      <c r="J19" s="97"/>
      <c r="K19" s="97" t="s">
        <v>18</v>
      </c>
      <c r="L19" s="97" t="s">
        <v>220</v>
      </c>
      <c r="M19" s="97" t="s">
        <v>34</v>
      </c>
      <c r="N19" s="97"/>
      <c r="O19" s="176"/>
      <c r="Q19" s="176"/>
      <c r="R19" s="176"/>
      <c r="S19" s="176"/>
      <c r="T19" s="176"/>
      <c r="U19" s="141"/>
      <c r="V19" s="141"/>
      <c r="W19" s="17" t="s">
        <v>183</v>
      </c>
      <c r="X19" s="17" t="s">
        <v>183</v>
      </c>
      <c r="Y19" s="17" t="s">
        <v>183</v>
      </c>
      <c r="Z19" s="17" t="s">
        <v>183</v>
      </c>
      <c r="AA19" s="176">
        <v>10</v>
      </c>
      <c r="AB19" s="176">
        <v>8</v>
      </c>
      <c r="AC19" s="176">
        <v>20</v>
      </c>
      <c r="AD19" s="176">
        <v>28</v>
      </c>
      <c r="AE19" s="141">
        <f>AB19/AD19</f>
        <v>0.2857142857142857</v>
      </c>
      <c r="AF19" s="141">
        <v>0.6</v>
      </c>
      <c r="AG19" s="25" t="str">
        <f>_xlfn.XLOOKUP(F19,'TFS Details'!F:F,'TFS Details'!H:H)</f>
        <v>UAT In Test</v>
      </c>
      <c r="AH19" s="44">
        <v>28</v>
      </c>
      <c r="AI19" s="44">
        <v>0</v>
      </c>
      <c r="AJ19" s="44">
        <v>0</v>
      </c>
      <c r="AK19" s="44">
        <v>0</v>
      </c>
      <c r="AL19" s="40">
        <f t="shared" si="3"/>
        <v>28</v>
      </c>
      <c r="AM19" s="41">
        <f t="shared" si="0"/>
        <v>1</v>
      </c>
      <c r="AN19" s="41">
        <f t="shared" si="4"/>
        <v>1</v>
      </c>
      <c r="AO19" s="25"/>
      <c r="AP19" s="25" t="str">
        <f>_xlfn.XLOOKUP(F19,'TFS Details'!F:F,'TFS Details'!I:I)</f>
        <v>Spartans</v>
      </c>
      <c r="AQ19" s="25" t="str">
        <f>_xlfn.XLOOKUP(AP19,'TFS Details'!I:I,'TFS Details'!AE:AE)</f>
        <v>nityanand.giri</v>
      </c>
    </row>
    <row r="20" spans="1:43">
      <c r="A20" s="24" t="str">
        <f>_xlfn.XLOOKUP(F20,'TFS Details'!F:F,'TFS Details'!D:D)</f>
        <v>Value Shaping</v>
      </c>
      <c r="B20" s="24" t="str">
        <f>_xlfn.XLOOKUP(F20,'TFS Details'!F:F,'TFS Details'!A:A)</f>
        <v>Value Shaping –Enhancements</v>
      </c>
      <c r="C20" s="64">
        <f>_xlfn.XLOOKUP(F20,'TFS Details'!F:F,'TFS Details'!E:E)</f>
        <v>4330994</v>
      </c>
      <c r="D20" s="177" t="s">
        <v>39</v>
      </c>
      <c r="E20" s="178" t="s">
        <v>221</v>
      </c>
      <c r="F20" s="113">
        <v>4368508</v>
      </c>
      <c r="G20" s="97" t="s">
        <v>181</v>
      </c>
      <c r="H20" s="97" t="s">
        <v>198</v>
      </c>
      <c r="I20" s="97"/>
      <c r="J20" s="97" t="s">
        <v>116</v>
      </c>
      <c r="K20" s="97" t="s">
        <v>1</v>
      </c>
      <c r="L20" s="97"/>
      <c r="M20" s="97"/>
      <c r="N20" s="97" t="s">
        <v>182</v>
      </c>
      <c r="O20" s="176"/>
      <c r="P20" s="141">
        <v>1</v>
      </c>
      <c r="Q20" s="176">
        <v>10</v>
      </c>
      <c r="R20" s="176">
        <v>4</v>
      </c>
      <c r="S20" s="176"/>
      <c r="T20" s="176"/>
      <c r="U20" s="141"/>
      <c r="V20" s="141"/>
      <c r="W20" s="17" t="s">
        <v>183</v>
      </c>
      <c r="X20" s="17" t="s">
        <v>183</v>
      </c>
      <c r="Y20" s="17" t="s">
        <v>183</v>
      </c>
      <c r="Z20" s="17" t="s">
        <v>201</v>
      </c>
      <c r="AA20" s="176">
        <v>10</v>
      </c>
      <c r="AB20" s="176">
        <v>10</v>
      </c>
      <c r="AC20" s="176">
        <v>0</v>
      </c>
      <c r="AD20" s="176">
        <v>10</v>
      </c>
      <c r="AE20" s="141">
        <v>1</v>
      </c>
      <c r="AF20" s="141">
        <v>1</v>
      </c>
      <c r="AG20" s="25" t="str">
        <f>_xlfn.XLOOKUP(F20,'TFS Details'!F:F,'TFS Details'!H:H)</f>
        <v>UAT In Test</v>
      </c>
      <c r="AH20" s="44">
        <v>8</v>
      </c>
      <c r="AI20" s="44">
        <v>2</v>
      </c>
      <c r="AJ20" s="44">
        <v>0</v>
      </c>
      <c r="AK20" s="44">
        <v>0</v>
      </c>
      <c r="AL20" s="40">
        <f t="shared" si="3"/>
        <v>10</v>
      </c>
      <c r="AM20" s="41">
        <f t="shared" si="0"/>
        <v>1</v>
      </c>
      <c r="AN20" s="41">
        <f t="shared" si="4"/>
        <v>0.8</v>
      </c>
      <c r="AO20" s="25"/>
      <c r="AP20" s="25" t="str">
        <f>_xlfn.XLOOKUP(F20,'TFS Details'!F:F,'TFS Details'!I:I)</f>
        <v>Spartans</v>
      </c>
      <c r="AQ20" s="25" t="str">
        <f>_xlfn.XLOOKUP(AP20,'TFS Details'!I:I,'TFS Details'!AE:AE)</f>
        <v>nityanand.giri</v>
      </c>
    </row>
    <row r="21" spans="1:43">
      <c r="A21" s="24" t="str">
        <f>_xlfn.XLOOKUP(F21,'TFS Details'!F:F,'TFS Details'!D:D)</f>
        <v>Asset Calculator</v>
      </c>
      <c r="B21" s="24" t="str">
        <f>_xlfn.XLOOKUP(F21,'TFS Details'!F:F,'TFS Details'!A:A)</f>
        <v>Asset Calculator -  Asset accordions to be added  in Asset Catalog</v>
      </c>
      <c r="C21" s="64">
        <f>_xlfn.XLOOKUP(F21,'TFS Details'!F:F,'TFS Details'!E:E)</f>
        <v>4331001</v>
      </c>
      <c r="D21" s="177" t="s">
        <v>39</v>
      </c>
      <c r="E21" s="178" t="s">
        <v>222</v>
      </c>
      <c r="F21" s="113">
        <v>4372603</v>
      </c>
      <c r="G21" s="97" t="s">
        <v>193</v>
      </c>
      <c r="H21" s="97" t="s">
        <v>194</v>
      </c>
      <c r="I21" s="97"/>
      <c r="J21" s="97"/>
      <c r="K21" s="97" t="s">
        <v>18</v>
      </c>
      <c r="L21" s="97" t="s">
        <v>223</v>
      </c>
      <c r="M21" s="97" t="s">
        <v>57</v>
      </c>
      <c r="N21" s="97"/>
      <c r="O21" s="176"/>
      <c r="Q21" s="176"/>
      <c r="R21" s="176"/>
      <c r="S21" s="176"/>
      <c r="T21" s="176"/>
      <c r="U21" s="141"/>
      <c r="V21" s="141"/>
      <c r="W21" s="17" t="s">
        <v>183</v>
      </c>
      <c r="X21" s="17" t="s">
        <v>183</v>
      </c>
      <c r="Y21" s="17" t="s">
        <v>183</v>
      </c>
      <c r="Z21" s="17" t="s">
        <v>183</v>
      </c>
      <c r="AA21" s="176">
        <v>80</v>
      </c>
      <c r="AB21" s="176">
        <v>25</v>
      </c>
      <c r="AC21" s="176">
        <v>6</v>
      </c>
      <c r="AD21" s="176">
        <v>31</v>
      </c>
      <c r="AE21" s="141">
        <v>0.8</v>
      </c>
      <c r="AF21" s="141">
        <v>0.85</v>
      </c>
      <c r="AG21" s="25" t="str">
        <f>_xlfn.XLOOKUP(F21,'TFS Details'!F:F,'TFS Details'!H:H)</f>
        <v>Test Complete</v>
      </c>
      <c r="AH21" s="44">
        <v>31</v>
      </c>
      <c r="AI21" s="44">
        <v>0</v>
      </c>
      <c r="AJ21" s="44">
        <v>0</v>
      </c>
      <c r="AK21" s="44">
        <v>0</v>
      </c>
      <c r="AL21" s="40">
        <f t="shared" si="3"/>
        <v>31</v>
      </c>
      <c r="AM21" s="41">
        <f t="shared" si="0"/>
        <v>1</v>
      </c>
      <c r="AN21" s="41">
        <f t="shared" si="4"/>
        <v>1</v>
      </c>
      <c r="AO21" s="25"/>
      <c r="AP21" s="25" t="str">
        <f>_xlfn.XLOOKUP(F21,'TFS Details'!F:F,'TFS Details'!I:I)</f>
        <v>TitansPlus</v>
      </c>
      <c r="AQ21" s="25" t="str">
        <f>_xlfn.XLOOKUP(AP21,'TFS Details'!I:I,'TFS Details'!AE:AE)</f>
        <v>nityanand.giri</v>
      </c>
    </row>
    <row r="22" spans="1:43">
      <c r="A22" s="24" t="str">
        <f>_xlfn.XLOOKUP(F22,'TFS Details'!F:F,'TFS Details'!D:D)</f>
        <v xml:space="preserve">Differentiation </v>
      </c>
      <c r="B22" s="24" t="str">
        <f>_xlfn.XLOOKUP(F22,'TFS Details'!F:F,'TFS Details'!A:A)</f>
        <v>Differentiation asset de-tagging- March</v>
      </c>
      <c r="C22" s="64">
        <f>_xlfn.XLOOKUP(F22,'TFS Details'!F:F,'TFS Details'!E:E)</f>
        <v>4352723</v>
      </c>
      <c r="D22" s="177" t="s">
        <v>39</v>
      </c>
      <c r="E22" s="180" t="s">
        <v>224</v>
      </c>
      <c r="F22" s="115">
        <v>4352719</v>
      </c>
      <c r="G22" s="181" t="s">
        <v>185</v>
      </c>
      <c r="H22" s="181" t="s">
        <v>225</v>
      </c>
      <c r="I22" s="181"/>
      <c r="J22" s="181"/>
      <c r="K22" s="97" t="s">
        <v>18</v>
      </c>
      <c r="L22" s="181" t="s">
        <v>226</v>
      </c>
      <c r="M22" s="97" t="s">
        <v>34</v>
      </c>
      <c r="N22" s="181"/>
      <c r="O22" s="182"/>
      <c r="Q22" s="176"/>
      <c r="R22" s="176"/>
      <c r="S22" s="176"/>
      <c r="T22" s="176"/>
      <c r="U22" s="142"/>
      <c r="V22" s="142"/>
      <c r="W22" s="17" t="s">
        <v>183</v>
      </c>
      <c r="X22" s="17" t="s">
        <v>183</v>
      </c>
      <c r="Y22" s="17" t="s">
        <v>183</v>
      </c>
      <c r="Z22" s="17" t="s">
        <v>183</v>
      </c>
      <c r="AA22" s="176">
        <v>40</v>
      </c>
      <c r="AB22" s="176">
        <v>10</v>
      </c>
      <c r="AC22" s="176">
        <v>0</v>
      </c>
      <c r="AD22" s="176">
        <v>10</v>
      </c>
      <c r="AE22" s="141">
        <v>1</v>
      </c>
      <c r="AF22" s="137">
        <v>1</v>
      </c>
      <c r="AG22" s="25" t="str">
        <f>_xlfn.XLOOKUP(F22,'TFS Details'!F:F,'TFS Details'!H:H)</f>
        <v>Test Complete</v>
      </c>
      <c r="AH22" s="98">
        <v>10</v>
      </c>
      <c r="AI22" s="98">
        <v>0</v>
      </c>
      <c r="AJ22" s="98">
        <v>0</v>
      </c>
      <c r="AK22" s="98">
        <v>0</v>
      </c>
      <c r="AL22" s="40">
        <v>10</v>
      </c>
      <c r="AM22" s="41">
        <f t="shared" si="0"/>
        <v>1</v>
      </c>
      <c r="AN22" s="41">
        <f t="shared" si="4"/>
        <v>1</v>
      </c>
      <c r="AO22" s="25"/>
      <c r="AP22" s="25" t="str">
        <f>_xlfn.XLOOKUP(F22,'TFS Details'!F:F,'TFS Details'!I:I)</f>
        <v>TechCoders</v>
      </c>
      <c r="AQ22" s="25" t="str">
        <f>_xlfn.XLOOKUP(AP22,'TFS Details'!I:I,'TFS Details'!AE:AE)</f>
        <v>Francis.Deepak</v>
      </c>
    </row>
    <row r="23" spans="1:43">
      <c r="A23" s="24" t="str">
        <f>_xlfn.XLOOKUP(F23,'TFS Details'!F:F,'TFS Details'!D:D)</f>
        <v>Value Shaping</v>
      </c>
      <c r="B23" s="24" t="str">
        <f>_xlfn.XLOOKUP(F23,'TFS Details'!F:F,'TFS Details'!A:A)</f>
        <v>Value Shaping –Enhancements</v>
      </c>
      <c r="C23" s="64">
        <f>_xlfn.XLOOKUP(F23,'TFS Details'!F:F,'TFS Details'!E:E)</f>
        <v>4330994</v>
      </c>
      <c r="D23" s="177" t="s">
        <v>39</v>
      </c>
      <c r="E23" s="183" t="s">
        <v>227</v>
      </c>
      <c r="F23" s="112">
        <v>4381608</v>
      </c>
      <c r="G23" s="183" t="s">
        <v>209</v>
      </c>
      <c r="H23" s="183" t="s">
        <v>190</v>
      </c>
      <c r="I23" s="183"/>
      <c r="J23" s="183"/>
      <c r="K23" s="97" t="s">
        <v>18</v>
      </c>
      <c r="L23" s="184" t="s">
        <v>228</v>
      </c>
      <c r="M23" s="183" t="s">
        <v>57</v>
      </c>
      <c r="N23" s="183" t="s">
        <v>191</v>
      </c>
      <c r="O23" s="124"/>
      <c r="P23" s="124"/>
      <c r="Q23" s="176"/>
      <c r="R23" s="176"/>
      <c r="S23" s="176"/>
      <c r="T23" s="176"/>
      <c r="U23" s="143"/>
      <c r="V23" s="143"/>
      <c r="W23" s="17" t="s">
        <v>183</v>
      </c>
      <c r="X23" s="17" t="s">
        <v>183</v>
      </c>
      <c r="Y23" s="17" t="s">
        <v>183</v>
      </c>
      <c r="Z23" s="17" t="s">
        <v>183</v>
      </c>
      <c r="AA23" s="176">
        <v>50</v>
      </c>
      <c r="AB23" s="176">
        <v>16</v>
      </c>
      <c r="AC23" s="176">
        <v>0</v>
      </c>
      <c r="AD23" s="176">
        <v>16</v>
      </c>
      <c r="AE23" s="143">
        <v>1</v>
      </c>
      <c r="AF23" s="143">
        <v>0.7</v>
      </c>
      <c r="AG23" s="25" t="s">
        <v>229</v>
      </c>
      <c r="AH23" s="99">
        <v>16</v>
      </c>
      <c r="AI23" s="99">
        <v>0</v>
      </c>
      <c r="AJ23" s="99">
        <v>0</v>
      </c>
      <c r="AK23" s="99">
        <v>0</v>
      </c>
      <c r="AL23" s="40">
        <f t="shared" si="3"/>
        <v>16</v>
      </c>
      <c r="AM23" s="41">
        <f t="shared" si="0"/>
        <v>1</v>
      </c>
      <c r="AN23" s="41">
        <f t="shared" si="4"/>
        <v>1</v>
      </c>
      <c r="AO23" s="25"/>
      <c r="AP23" s="25" t="str">
        <f>_xlfn.XLOOKUP(F23,'TFS Details'!F:F,'TFS Details'!I:I)</f>
        <v>MYISP_Revamp_UI</v>
      </c>
      <c r="AQ23" s="25" t="str">
        <f>_xlfn.XLOOKUP(AP23,'TFS Details'!I:I,'TFS Details'!AE:AE)</f>
        <v>vikrant.r.mohite</v>
      </c>
    </row>
    <row r="24" spans="1:43">
      <c r="A24" s="24" t="str">
        <f>_xlfn.XLOOKUP(F24,'TFS Details'!F:F,'TFS Details'!D:D)</f>
        <v>Automation Calculator</v>
      </c>
      <c r="B24" s="24" t="str">
        <f>_xlfn.XLOOKUP(F24,'TFS Details'!F:F,'TFS Details'!A:A)</f>
        <v>ROI &amp; Summary (Tab 8) will be as is in automation calculator with Split of GEN AI, Opera and Agentic and Ux upgrade</v>
      </c>
      <c r="C24" s="64">
        <f>_xlfn.XLOOKUP(F24,'TFS Details'!F:F,'TFS Details'!E:E)</f>
        <v>4405953</v>
      </c>
      <c r="D24" s="177" t="s">
        <v>39</v>
      </c>
      <c r="E24" s="183" t="s">
        <v>230</v>
      </c>
      <c r="F24" s="112">
        <v>4365001</v>
      </c>
      <c r="G24" s="183" t="s">
        <v>186</v>
      </c>
      <c r="H24" s="183" t="s">
        <v>214</v>
      </c>
      <c r="I24" s="183"/>
      <c r="J24" s="183"/>
      <c r="K24" s="97" t="s">
        <v>18</v>
      </c>
      <c r="L24" s="97" t="s">
        <v>195</v>
      </c>
      <c r="M24" s="183" t="s">
        <v>57</v>
      </c>
      <c r="N24" s="183"/>
      <c r="O24" s="124"/>
      <c r="P24" s="124"/>
      <c r="Q24" s="176"/>
      <c r="R24" s="176"/>
      <c r="S24" s="176"/>
      <c r="T24" s="176"/>
      <c r="U24" s="143"/>
      <c r="V24" s="143"/>
      <c r="W24" s="17" t="s">
        <v>183</v>
      </c>
      <c r="X24" s="17" t="s">
        <v>183</v>
      </c>
      <c r="Y24" s="17" t="s">
        <v>183</v>
      </c>
      <c r="Z24" s="17" t="s">
        <v>183</v>
      </c>
      <c r="AA24" s="176">
        <v>22</v>
      </c>
      <c r="AB24" s="176">
        <v>21</v>
      </c>
      <c r="AC24" s="176">
        <v>1</v>
      </c>
      <c r="AD24" s="176">
        <v>22</v>
      </c>
      <c r="AE24" s="141">
        <v>0.9</v>
      </c>
      <c r="AF24" s="143">
        <v>0.95</v>
      </c>
      <c r="AG24" s="25" t="str">
        <f>_xlfn.XLOOKUP(F24,'TFS Details'!F:F,'TFS Details'!H:H)</f>
        <v>Test Complete</v>
      </c>
      <c r="AH24" s="99">
        <v>22</v>
      </c>
      <c r="AI24" s="99">
        <v>0</v>
      </c>
      <c r="AJ24" s="99">
        <v>0</v>
      </c>
      <c r="AK24" s="99">
        <v>0</v>
      </c>
      <c r="AL24" s="40">
        <f t="shared" si="3"/>
        <v>22</v>
      </c>
      <c r="AM24" s="41">
        <f t="shared" si="0"/>
        <v>1</v>
      </c>
      <c r="AN24" s="41">
        <f t="shared" si="4"/>
        <v>1</v>
      </c>
      <c r="AO24" s="126"/>
      <c r="AP24" s="25" t="str">
        <f>_xlfn.XLOOKUP(F24,'TFS Details'!F:F,'TFS Details'!I:I)</f>
        <v>Codeplayers</v>
      </c>
      <c r="AQ24" s="25" t="str">
        <f>_xlfn.XLOOKUP(AP24,'TFS Details'!I:I,'TFS Details'!AE:AE)</f>
        <v>nityanand.giri</v>
      </c>
    </row>
    <row r="25" spans="1:43">
      <c r="A25" s="24" t="str">
        <f>_xlfn.XLOOKUP(F25,'TFS Details'!F:F,'TFS Details'!D:D)</f>
        <v>Role Rename</v>
      </c>
      <c r="B25" s="24" t="str">
        <f>_xlfn.XLOOKUP(F25,'TFS Details'!F:F,'TFS Details'!A:A)</f>
        <v>March Release NextGen Enhancements</v>
      </c>
      <c r="C25" s="64">
        <f>_xlfn.XLOOKUP(F25,'TFS Details'!F:F,'TFS Details'!E:E)</f>
        <v>4365826</v>
      </c>
      <c r="D25" s="177" t="s">
        <v>39</v>
      </c>
      <c r="E25" s="183" t="s">
        <v>231</v>
      </c>
      <c r="F25" s="112">
        <v>4391344</v>
      </c>
      <c r="G25" s="183" t="s">
        <v>198</v>
      </c>
      <c r="H25" s="183" t="s">
        <v>181</v>
      </c>
      <c r="I25" s="183"/>
      <c r="J25" s="183"/>
      <c r="K25" s="97" t="s">
        <v>18</v>
      </c>
      <c r="L25" s="183" t="s">
        <v>232</v>
      </c>
      <c r="M25" s="183" t="s">
        <v>64</v>
      </c>
      <c r="N25" s="183"/>
      <c r="O25" s="124"/>
      <c r="P25" s="124"/>
      <c r="Q25" s="176"/>
      <c r="R25" s="176"/>
      <c r="S25" s="176"/>
      <c r="T25" s="176" t="s">
        <v>233</v>
      </c>
      <c r="U25" s="143"/>
      <c r="V25" s="143"/>
      <c r="W25" s="17" t="s">
        <v>183</v>
      </c>
      <c r="X25" s="17" t="s">
        <v>183</v>
      </c>
      <c r="Y25" s="17" t="s">
        <v>183</v>
      </c>
      <c r="Z25" s="17" t="s">
        <v>183</v>
      </c>
      <c r="AA25" s="176">
        <v>65</v>
      </c>
      <c r="AB25" s="176">
        <v>5</v>
      </c>
      <c r="AC25" s="176">
        <v>0</v>
      </c>
      <c r="AD25" s="176">
        <v>5</v>
      </c>
      <c r="AE25" s="141">
        <v>1</v>
      </c>
      <c r="AF25" s="141">
        <v>0.8</v>
      </c>
      <c r="AG25" s="25" t="str">
        <f>_xlfn.XLOOKUP(F25,'TFS Details'!F:F,'TFS Details'!H:H)</f>
        <v>Test Complete</v>
      </c>
      <c r="AH25" s="99">
        <v>5</v>
      </c>
      <c r="AI25" s="99">
        <v>0</v>
      </c>
      <c r="AJ25" s="99">
        <v>0</v>
      </c>
      <c r="AK25" s="99">
        <v>0</v>
      </c>
      <c r="AL25" s="40">
        <f t="shared" si="3"/>
        <v>5</v>
      </c>
      <c r="AM25" s="41">
        <f t="shared" si="0"/>
        <v>1</v>
      </c>
      <c r="AN25" s="41">
        <f t="shared" si="4"/>
        <v>1</v>
      </c>
      <c r="AO25" s="25"/>
      <c r="AP25" s="25" t="str">
        <f>_xlfn.XLOOKUP(F25,'TFS Details'!F:F,'TFS Details'!I:I)</f>
        <v>Spartans</v>
      </c>
      <c r="AQ25" s="25" t="str">
        <f>_xlfn.XLOOKUP(AP25,'TFS Details'!I:I,'TFS Details'!AE:AE)</f>
        <v>nityanand.giri</v>
      </c>
    </row>
    <row r="26" spans="1:43">
      <c r="A26" s="24" t="str">
        <f>_xlfn.XLOOKUP(F26,'TFS Details'!F:F,'TFS Details'!D:D)</f>
        <v xml:space="preserve">Advisory SA - Song </v>
      </c>
      <c r="B26" s="24" t="str">
        <f>_xlfn.XLOOKUP(F26,'TFS Details'!F:F,'TFS Details'!A:A)</f>
        <v>PLD - Advisory SA Role</v>
      </c>
      <c r="C26" s="64">
        <f>_xlfn.XLOOKUP(F26,'TFS Details'!F:F,'TFS Details'!E:E)</f>
        <v>4386527</v>
      </c>
      <c r="D26" s="177" t="s">
        <v>39</v>
      </c>
      <c r="E26" s="183" t="s">
        <v>234</v>
      </c>
      <c r="F26" s="112">
        <v>4373065</v>
      </c>
      <c r="G26" s="183" t="s">
        <v>189</v>
      </c>
      <c r="H26" s="183" t="s">
        <v>181</v>
      </c>
      <c r="I26" s="183"/>
      <c r="J26" s="183" t="s">
        <v>93</v>
      </c>
      <c r="K26" s="183" t="s">
        <v>1</v>
      </c>
      <c r="L26" s="183"/>
      <c r="M26" s="183"/>
      <c r="N26" s="183" t="s">
        <v>191</v>
      </c>
      <c r="O26" s="124"/>
      <c r="P26" s="143">
        <v>1</v>
      </c>
      <c r="Q26" s="176">
        <v>25</v>
      </c>
      <c r="R26" s="176">
        <v>6</v>
      </c>
      <c r="S26" s="176">
        <v>0</v>
      </c>
      <c r="T26" s="176">
        <v>6</v>
      </c>
      <c r="U26" s="143">
        <v>1</v>
      </c>
      <c r="V26" s="143">
        <v>0.7</v>
      </c>
      <c r="W26" s="17" t="s">
        <v>183</v>
      </c>
      <c r="X26" s="17" t="s">
        <v>183</v>
      </c>
      <c r="Y26" s="17" t="s">
        <v>183</v>
      </c>
      <c r="Z26" s="17" t="s">
        <v>183</v>
      </c>
      <c r="AA26" s="176">
        <v>55</v>
      </c>
      <c r="AB26" s="176">
        <v>19</v>
      </c>
      <c r="AC26" s="176">
        <v>0</v>
      </c>
      <c r="AD26" s="176">
        <v>19</v>
      </c>
      <c r="AE26" s="143">
        <v>1</v>
      </c>
      <c r="AF26" s="143">
        <v>0.6</v>
      </c>
      <c r="AG26" s="25" t="str">
        <f>_xlfn.XLOOKUP(F26,'TFS Details'!F:F,'TFS Details'!H:H)</f>
        <v>UAT In Test</v>
      </c>
      <c r="AH26" s="99">
        <v>19</v>
      </c>
      <c r="AI26" s="99">
        <v>0</v>
      </c>
      <c r="AJ26" s="99">
        <v>0</v>
      </c>
      <c r="AK26" s="99">
        <v>0</v>
      </c>
      <c r="AL26" s="40">
        <f t="shared" si="3"/>
        <v>19</v>
      </c>
      <c r="AM26" s="41">
        <f t="shared" si="0"/>
        <v>1</v>
      </c>
      <c r="AN26" s="41">
        <f t="shared" si="4"/>
        <v>1</v>
      </c>
      <c r="AO26" s="25"/>
      <c r="AP26" s="25" t="str">
        <f>_xlfn.XLOOKUP(F26,'TFS Details'!F:F,'TFS Details'!I:I)</f>
        <v>Spartans</v>
      </c>
      <c r="AQ26" s="25" t="str">
        <f>_xlfn.XLOOKUP(AP26,'TFS Details'!I:I,'TFS Details'!AE:AE)</f>
        <v>nityanand.giri</v>
      </c>
    </row>
    <row r="27" spans="1:43">
      <c r="A27" s="24" t="str">
        <f>_xlfn.XLOOKUP(F27,'TFS Details'!F:F,'TFS Details'!D:D)</f>
        <v>Drop 2 - Angular upgrade v19 to v21</v>
      </c>
      <c r="B27" s="24" t="str">
        <f>_xlfn.XLOOKUP(F27,'TFS Details'!F:F,'TFS Details'!A:A)</f>
        <v>Angular upgrade version 19 to version 21 - 28th March</v>
      </c>
      <c r="C27" s="64">
        <f>_xlfn.XLOOKUP(F27,'TFS Details'!F:F,'TFS Details'!E:E)</f>
        <v>4358702</v>
      </c>
      <c r="D27" s="17" t="s">
        <v>15</v>
      </c>
      <c r="E27" s="17" t="s">
        <v>235</v>
      </c>
      <c r="F27" s="112">
        <v>4358750</v>
      </c>
      <c r="G27" s="17" t="s">
        <v>236</v>
      </c>
      <c r="H27" s="17" t="s">
        <v>237</v>
      </c>
      <c r="I27" s="68"/>
      <c r="J27" s="67"/>
      <c r="K27" s="97" t="s">
        <v>18</v>
      </c>
      <c r="L27" s="184" t="s">
        <v>238</v>
      </c>
      <c r="M27" s="16" t="s">
        <v>64</v>
      </c>
      <c r="N27" s="17"/>
      <c r="O27" s="134"/>
      <c r="Q27" s="176"/>
      <c r="R27" s="176"/>
      <c r="S27" s="176"/>
      <c r="T27" s="176"/>
      <c r="W27" s="17" t="s">
        <v>183</v>
      </c>
      <c r="X27" s="17" t="s">
        <v>183</v>
      </c>
      <c r="Y27" s="17" t="s">
        <v>183</v>
      </c>
      <c r="Z27" s="17" t="s">
        <v>183</v>
      </c>
      <c r="AA27" s="176">
        <v>6</v>
      </c>
      <c r="AB27" s="176">
        <v>6</v>
      </c>
      <c r="AC27" s="176">
        <v>0</v>
      </c>
      <c r="AD27" s="176">
        <v>6</v>
      </c>
      <c r="AE27" s="33">
        <v>1</v>
      </c>
      <c r="AF27" s="33">
        <v>1</v>
      </c>
      <c r="AG27" s="25" t="str">
        <f>_xlfn.XLOOKUP(F27,'TFS Details'!F:F,'TFS Details'!H:H)</f>
        <v>Test Complete</v>
      </c>
      <c r="AH27" s="44">
        <v>6</v>
      </c>
      <c r="AI27" s="44">
        <v>0</v>
      </c>
      <c r="AJ27" s="44">
        <v>0</v>
      </c>
      <c r="AK27" s="44">
        <v>0</v>
      </c>
      <c r="AL27" s="40">
        <f t="shared" ref="AL27:AL35" si="5">SUM(AH27:AK27)</f>
        <v>6</v>
      </c>
      <c r="AM27" s="41">
        <f t="shared" si="0"/>
        <v>1</v>
      </c>
      <c r="AN27" s="41">
        <f t="shared" ref="AN27:AN69" si="6">IF(AH27=0,0,AH27/(SUM(AH27:AJ27)))</f>
        <v>1</v>
      </c>
      <c r="AO27" s="25"/>
      <c r="AP27" s="25" t="str">
        <f>_xlfn.XLOOKUP(F27,'TFS Details'!F:F,'TFS Details'!I:I)</f>
        <v>MYISP_Revamp_UI</v>
      </c>
      <c r="AQ27" s="25" t="str">
        <f>_xlfn.XLOOKUP(AP27,'TFS Details'!I:I,'TFS Details'!AE:AE)</f>
        <v>vikrant.r.mohite</v>
      </c>
    </row>
    <row r="28" spans="1:43">
      <c r="A28" s="24" t="str">
        <f>_xlfn.XLOOKUP(F28,'TFS Details'!F:F,'TFS Details'!D:D)</f>
        <v>Drop 2 - Angular upgrade v19 to v21</v>
      </c>
      <c r="B28" s="24" t="str">
        <f>_xlfn.XLOOKUP(F28,'TFS Details'!F:F,'TFS Details'!A:A)</f>
        <v>Angular upgrade version 19 to version 21 - 28th March</v>
      </c>
      <c r="C28" s="64">
        <f>_xlfn.XLOOKUP(F28,'TFS Details'!F:F,'TFS Details'!E:E)</f>
        <v>4358702</v>
      </c>
      <c r="D28" s="17" t="s">
        <v>15</v>
      </c>
      <c r="E28" s="17" t="s">
        <v>239</v>
      </c>
      <c r="F28" s="112">
        <v>4358752</v>
      </c>
      <c r="G28" s="17" t="s">
        <v>240</v>
      </c>
      <c r="H28" s="17" t="s">
        <v>237</v>
      </c>
      <c r="K28" s="97" t="s">
        <v>18</v>
      </c>
      <c r="L28" s="185" t="s">
        <v>241</v>
      </c>
      <c r="M28" s="16" t="s">
        <v>64</v>
      </c>
      <c r="N28" s="17"/>
      <c r="O28" s="134"/>
      <c r="Q28" s="176"/>
      <c r="R28" s="176"/>
      <c r="S28" s="176"/>
      <c r="T28" s="176"/>
      <c r="W28" s="17" t="s">
        <v>183</v>
      </c>
      <c r="X28" s="17" t="s">
        <v>183</v>
      </c>
      <c r="Y28" s="17" t="s">
        <v>183</v>
      </c>
      <c r="Z28" s="17" t="s">
        <v>183</v>
      </c>
      <c r="AA28" s="176">
        <v>50</v>
      </c>
      <c r="AB28" s="176">
        <v>10</v>
      </c>
      <c r="AC28" s="176">
        <v>2</v>
      </c>
      <c r="AD28" s="176">
        <v>12</v>
      </c>
      <c r="AE28" s="33">
        <v>0.9</v>
      </c>
      <c r="AF28" s="33">
        <v>0.9</v>
      </c>
      <c r="AG28" s="25" t="str">
        <f>_xlfn.XLOOKUP(F28,'TFS Details'!F:F,'TFS Details'!H:H)</f>
        <v>Test Complete</v>
      </c>
      <c r="AH28" s="44">
        <v>12</v>
      </c>
      <c r="AI28" s="44">
        <v>0</v>
      </c>
      <c r="AJ28" s="44">
        <v>0</v>
      </c>
      <c r="AK28" s="186">
        <v>0</v>
      </c>
      <c r="AL28" s="40">
        <f t="shared" si="5"/>
        <v>12</v>
      </c>
      <c r="AM28" s="41">
        <f t="shared" si="0"/>
        <v>1</v>
      </c>
      <c r="AN28" s="41">
        <f t="shared" si="6"/>
        <v>1</v>
      </c>
      <c r="AO28" s="25"/>
      <c r="AP28" s="25" t="str">
        <f>_xlfn.XLOOKUP(F28,'TFS Details'!F:F,'TFS Details'!I:I)</f>
        <v>MYISP_Revamp_UI</v>
      </c>
      <c r="AQ28" s="25" t="str">
        <f>_xlfn.XLOOKUP(AP28,'TFS Details'!I:I,'TFS Details'!AE:AE)</f>
        <v>vikrant.r.mohite</v>
      </c>
    </row>
    <row r="29" spans="1:43">
      <c r="A29" s="24" t="str">
        <f>_xlfn.XLOOKUP(F29,'TFS Details'!F:F,'TFS Details'!D:D)</f>
        <v>Opportunities</v>
      </c>
      <c r="B29" s="24" t="str">
        <f>_xlfn.XLOOKUP(F29,'TFS Details'!F:F,'TFS Details'!A:A)</f>
        <v>Opportunities sorting</v>
      </c>
      <c r="C29" s="64">
        <f>_xlfn.XLOOKUP(F29,'TFS Details'!F:F,'TFS Details'!E:E)</f>
        <v>4364046</v>
      </c>
      <c r="D29" s="17" t="s">
        <v>15</v>
      </c>
      <c r="E29" s="17" t="s">
        <v>242</v>
      </c>
      <c r="F29" s="112">
        <v>4342359</v>
      </c>
      <c r="G29" s="17" t="s">
        <v>243</v>
      </c>
      <c r="H29" s="17" t="s">
        <v>244</v>
      </c>
      <c r="I29" s="83"/>
      <c r="J29" s="71"/>
      <c r="K29" s="97" t="s">
        <v>18</v>
      </c>
      <c r="L29" s="184" t="s">
        <v>245</v>
      </c>
      <c r="M29" s="23" t="s">
        <v>64</v>
      </c>
      <c r="N29" s="17"/>
      <c r="O29" s="134"/>
      <c r="Q29" s="176"/>
      <c r="R29" s="176"/>
      <c r="S29" s="176"/>
      <c r="T29" s="176"/>
      <c r="W29" s="17" t="s">
        <v>183</v>
      </c>
      <c r="X29" s="17" t="s">
        <v>183</v>
      </c>
      <c r="Y29" s="17" t="s">
        <v>246</v>
      </c>
      <c r="Z29" s="17" t="s">
        <v>183</v>
      </c>
      <c r="AA29" s="176">
        <v>30</v>
      </c>
      <c r="AB29" s="176">
        <v>8</v>
      </c>
      <c r="AC29" s="176">
        <v>2</v>
      </c>
      <c r="AD29" s="176">
        <v>8</v>
      </c>
      <c r="AE29" s="244">
        <v>0.7</v>
      </c>
      <c r="AF29" s="244">
        <v>0.7</v>
      </c>
      <c r="AG29" s="25" t="str">
        <f>_xlfn.XLOOKUP(F29,'TFS Details'!F:F,'TFS Details'!H:H)</f>
        <v>Test Complete</v>
      </c>
      <c r="AH29" s="44">
        <v>8</v>
      </c>
      <c r="AI29" s="44">
        <v>0</v>
      </c>
      <c r="AJ29" s="44">
        <v>0</v>
      </c>
      <c r="AK29" s="186">
        <v>0</v>
      </c>
      <c r="AL29" s="40">
        <f t="shared" si="5"/>
        <v>8</v>
      </c>
      <c r="AM29" s="41">
        <f t="shared" si="0"/>
        <v>1</v>
      </c>
      <c r="AN29" s="41">
        <f t="shared" si="6"/>
        <v>1</v>
      </c>
      <c r="AO29" s="25"/>
      <c r="AP29" s="25" t="str">
        <f>_xlfn.XLOOKUP(F29,'TFS Details'!F:F,'TFS Details'!I:I)</f>
        <v>NGTransformers</v>
      </c>
      <c r="AQ29" s="25" t="str">
        <f>_xlfn.XLOOKUP(AP29,'TFS Details'!I:I,'TFS Details'!AE:AE)</f>
        <v>sowjanya.kari</v>
      </c>
    </row>
    <row r="30" spans="1:43">
      <c r="A30" s="24" t="s">
        <v>247</v>
      </c>
      <c r="B30" s="24" t="str">
        <f>_xlfn.XLOOKUP(F30,'TFS Details'!F:F,'TFS Details'!A:A)</f>
        <v>Song Updates in Reporting &amp; Compliance</v>
      </c>
      <c r="C30" s="64">
        <f>_xlfn.XLOOKUP(F30,'TFS Details'!F:F,'TFS Details'!E:E)</f>
        <v>4226586</v>
      </c>
      <c r="D30" s="17" t="s">
        <v>15</v>
      </c>
      <c r="E30" s="17" t="s">
        <v>248</v>
      </c>
      <c r="F30" s="116">
        <v>4187518</v>
      </c>
      <c r="G30" s="19" t="s">
        <v>249</v>
      </c>
      <c r="H30" s="17" t="s">
        <v>250</v>
      </c>
      <c r="I30" s="237"/>
      <c r="J30" s="184" t="s">
        <v>98</v>
      </c>
      <c r="K30" s="187" t="s">
        <v>251</v>
      </c>
      <c r="L30" s="72"/>
      <c r="M30" s="23"/>
      <c r="N30" s="17" t="s">
        <v>191</v>
      </c>
      <c r="O30" s="134">
        <v>2</v>
      </c>
      <c r="P30" s="33">
        <v>1</v>
      </c>
      <c r="Q30" s="176">
        <v>10</v>
      </c>
      <c r="R30" s="176">
        <v>6</v>
      </c>
      <c r="S30" s="176">
        <v>0</v>
      </c>
      <c r="T30" s="176">
        <v>6</v>
      </c>
      <c r="U30" s="33">
        <v>0.7</v>
      </c>
      <c r="V30" s="33">
        <v>0.7</v>
      </c>
      <c r="W30" s="17" t="s">
        <v>183</v>
      </c>
      <c r="X30" s="17" t="s">
        <v>183</v>
      </c>
      <c r="Y30" s="17" t="s">
        <v>201</v>
      </c>
      <c r="Z30" s="17" t="s">
        <v>183</v>
      </c>
      <c r="AA30" s="176"/>
      <c r="AB30" s="176"/>
      <c r="AC30" s="176"/>
      <c r="AD30" s="176"/>
      <c r="AE30" s="186"/>
      <c r="AF30" s="186"/>
      <c r="AG30" s="25" t="str">
        <f>_xlfn.XLOOKUP(F30,'TFS Details'!F:F,'TFS Details'!H:H)</f>
        <v>Test Complete</v>
      </c>
      <c r="AH30" s="44">
        <v>24</v>
      </c>
      <c r="AI30" s="44">
        <v>0</v>
      </c>
      <c r="AJ30" s="44">
        <v>0</v>
      </c>
      <c r="AK30" s="186">
        <v>0</v>
      </c>
      <c r="AL30" s="40">
        <f t="shared" si="5"/>
        <v>24</v>
      </c>
      <c r="AM30" s="41">
        <f t="shared" si="0"/>
        <v>1</v>
      </c>
      <c r="AN30" s="41">
        <f t="shared" si="6"/>
        <v>1</v>
      </c>
      <c r="AO30" s="25"/>
      <c r="AP30" s="25" t="str">
        <f>_xlfn.XLOOKUP(F30,'TFS Details'!F:F,'TFS Details'!I:I)</f>
        <v>NGTransformers</v>
      </c>
      <c r="AQ30" s="25" t="str">
        <f>_xlfn.XLOOKUP(AP30,'TFS Details'!I:I,'TFS Details'!AE:AE)</f>
        <v>sowjanya.kari</v>
      </c>
    </row>
    <row r="31" spans="1:43">
      <c r="A31" s="24" t="str">
        <f>_xlfn.XLOOKUP(F31,'TFS Details'!F:F,'TFS Details'!D:D)</f>
        <v>Learn</v>
      </c>
      <c r="B31" s="24" t="str">
        <f>_xlfn.XLOOKUP(F31,'TFS Details'!F:F,'TFS Details'!A:A)</f>
        <v>Services - Learn &amp; Launch enhancements</v>
      </c>
      <c r="C31" s="64">
        <f>_xlfn.XLOOKUP(F31,'TFS Details'!F:F,'TFS Details'!E:E)</f>
        <v>4369027</v>
      </c>
      <c r="D31" s="17" t="s">
        <v>15</v>
      </c>
      <c r="E31" s="17" t="s">
        <v>252</v>
      </c>
      <c r="F31" s="112">
        <v>4258549</v>
      </c>
      <c r="G31" s="69" t="s">
        <v>243</v>
      </c>
      <c r="H31" s="69" t="s">
        <v>253</v>
      </c>
      <c r="I31" s="237"/>
      <c r="J31" s="184" t="s">
        <v>90</v>
      </c>
      <c r="K31" s="187" t="s">
        <v>1</v>
      </c>
      <c r="L31" s="187"/>
      <c r="M31" s="184"/>
      <c r="N31" s="17" t="s">
        <v>182</v>
      </c>
      <c r="O31" s="134">
        <v>1</v>
      </c>
      <c r="P31" s="33">
        <v>1</v>
      </c>
      <c r="Q31" s="176">
        <v>14</v>
      </c>
      <c r="R31" s="176">
        <v>5</v>
      </c>
      <c r="S31" s="176">
        <v>0</v>
      </c>
      <c r="T31" s="176">
        <v>1</v>
      </c>
      <c r="U31" s="33">
        <v>0.7</v>
      </c>
      <c r="V31" s="33">
        <v>0.4</v>
      </c>
      <c r="W31" s="17" t="s">
        <v>183</v>
      </c>
      <c r="X31" s="17" t="s">
        <v>183</v>
      </c>
      <c r="Y31" s="17" t="s">
        <v>246</v>
      </c>
      <c r="Z31" s="17" t="s">
        <v>183</v>
      </c>
      <c r="AA31" s="176">
        <v>28</v>
      </c>
      <c r="AB31" s="176">
        <v>2</v>
      </c>
      <c r="AC31" s="176">
        <v>5</v>
      </c>
      <c r="AD31" s="176">
        <v>7</v>
      </c>
      <c r="AE31" s="33">
        <v>0.4</v>
      </c>
      <c r="AF31" s="33">
        <v>0.4</v>
      </c>
      <c r="AG31" s="25" t="str">
        <f>_xlfn.XLOOKUP(F31,'TFS Details'!F:F,'TFS Details'!H:H)</f>
        <v>Test Complete</v>
      </c>
      <c r="AH31" s="44">
        <v>7</v>
      </c>
      <c r="AI31" s="44">
        <v>0</v>
      </c>
      <c r="AJ31" s="44">
        <v>0</v>
      </c>
      <c r="AK31" s="186">
        <v>0</v>
      </c>
      <c r="AL31" s="40">
        <f t="shared" si="5"/>
        <v>7</v>
      </c>
      <c r="AM31" s="41">
        <f t="shared" si="0"/>
        <v>1</v>
      </c>
      <c r="AN31" s="41">
        <f t="shared" si="6"/>
        <v>1</v>
      </c>
      <c r="AO31" s="25"/>
      <c r="AP31" s="25" t="str">
        <f>_xlfn.XLOOKUP(F31,'TFS Details'!F:F,'TFS Details'!I:I)</f>
        <v>NGTransformers</v>
      </c>
      <c r="AQ31" s="25" t="str">
        <f>_xlfn.XLOOKUP(AP31,'TFS Details'!I:I,'TFS Details'!AE:AE)</f>
        <v>sowjanya.kari</v>
      </c>
    </row>
    <row r="32" spans="1:43">
      <c r="A32" s="24" t="str">
        <f>_xlfn.XLOOKUP(F32,'TFS Details'!F:F,'TFS Details'!D:D)</f>
        <v>SA Team manager</v>
      </c>
      <c r="B32" s="24" t="str">
        <f>_xlfn.XLOOKUP(F32,'TFS Details'!F:F,'TFS Details'!A:A)</f>
        <v>SA Team manager User Registration Fields update and Mail POC changes</v>
      </c>
      <c r="C32" s="64">
        <f>_xlfn.XLOOKUP(F32,'TFS Details'!F:F,'TFS Details'!E:E)</f>
        <v>4282653</v>
      </c>
      <c r="D32" s="17" t="s">
        <v>15</v>
      </c>
      <c r="E32" s="17" t="s">
        <v>254</v>
      </c>
      <c r="F32" s="112">
        <v>4285630</v>
      </c>
      <c r="G32" s="17" t="s">
        <v>236</v>
      </c>
      <c r="H32" s="17" t="s">
        <v>244</v>
      </c>
      <c r="I32" s="237"/>
      <c r="J32" s="184"/>
      <c r="K32" s="97" t="s">
        <v>18</v>
      </c>
      <c r="L32" s="184" t="s">
        <v>255</v>
      </c>
      <c r="M32" s="16" t="s">
        <v>28</v>
      </c>
      <c r="N32" s="17"/>
      <c r="O32" s="134"/>
      <c r="Q32" s="176"/>
      <c r="R32" s="176"/>
      <c r="S32" s="176"/>
      <c r="T32" s="176"/>
      <c r="W32" s="17" t="s">
        <v>183</v>
      </c>
      <c r="X32" s="17" t="s">
        <v>183</v>
      </c>
      <c r="Y32" s="17" t="s">
        <v>183</v>
      </c>
      <c r="Z32" s="17" t="s">
        <v>183</v>
      </c>
      <c r="AA32" s="176">
        <v>6</v>
      </c>
      <c r="AB32" s="176">
        <v>6</v>
      </c>
      <c r="AC32" s="176">
        <v>1</v>
      </c>
      <c r="AD32" s="176">
        <v>7</v>
      </c>
      <c r="AE32" s="33">
        <v>0.85</v>
      </c>
      <c r="AF32" s="33">
        <v>0.85</v>
      </c>
      <c r="AG32" s="25" t="str">
        <f>_xlfn.XLOOKUP(F32,'TFS Details'!F:F,'TFS Details'!H:H)</f>
        <v>Test Complete</v>
      </c>
      <c r="AH32" s="44">
        <v>7</v>
      </c>
      <c r="AI32" s="44">
        <v>0</v>
      </c>
      <c r="AJ32" s="44">
        <v>0</v>
      </c>
      <c r="AK32" s="186">
        <v>0</v>
      </c>
      <c r="AL32" s="40">
        <f t="shared" si="5"/>
        <v>7</v>
      </c>
      <c r="AM32" s="41">
        <f t="shared" si="0"/>
        <v>1</v>
      </c>
      <c r="AN32" s="41">
        <f t="shared" si="6"/>
        <v>1</v>
      </c>
      <c r="AO32" s="25"/>
      <c r="AP32" s="25" t="str">
        <f>_xlfn.XLOOKUP(F32,'TFS Details'!F:F,'TFS Details'!I:I)</f>
        <v>GoRetro</v>
      </c>
      <c r="AQ32" s="25" t="str">
        <f>_xlfn.XLOOKUP(AP32,'TFS Details'!I:I,'TFS Details'!AE:AE)</f>
        <v>sowjanya.kari</v>
      </c>
    </row>
    <row r="33" spans="1:43">
      <c r="A33" s="24" t="str">
        <f>_xlfn.XLOOKUP(F33,'TFS Details'!F:F,'TFS Details'!D:D)</f>
        <v>SA Team manager</v>
      </c>
      <c r="B33" s="24" t="str">
        <f>_xlfn.XLOOKUP(F33,'TFS Details'!F:F,'TFS Details'!A:A)</f>
        <v>SA Team manager User Registration Fields update and Mail POC changes</v>
      </c>
      <c r="C33" s="64">
        <f>_xlfn.XLOOKUP(F33,'TFS Details'!F:F,'TFS Details'!E:E)</f>
        <v>4282653</v>
      </c>
      <c r="D33" s="17" t="s">
        <v>15</v>
      </c>
      <c r="E33" s="17" t="s">
        <v>256</v>
      </c>
      <c r="F33" s="112">
        <v>4285636</v>
      </c>
      <c r="G33" s="68" t="s">
        <v>240</v>
      </c>
      <c r="H33" s="19" t="s">
        <v>257</v>
      </c>
      <c r="I33" s="19"/>
      <c r="J33" s="185" t="s">
        <v>33</v>
      </c>
      <c r="K33" s="185" t="s">
        <v>18</v>
      </c>
      <c r="L33" s="187" t="s">
        <v>258</v>
      </c>
      <c r="M33" s="184" t="s">
        <v>70</v>
      </c>
      <c r="N33" s="17" t="s">
        <v>182</v>
      </c>
      <c r="O33" s="134"/>
      <c r="Q33" s="176"/>
      <c r="R33" s="176"/>
      <c r="S33" s="176"/>
      <c r="T33" s="176"/>
      <c r="W33" s="17" t="s">
        <v>183</v>
      </c>
      <c r="X33" s="17" t="s">
        <v>183</v>
      </c>
      <c r="Y33" s="17" t="s">
        <v>183</v>
      </c>
      <c r="Z33" s="17" t="s">
        <v>183</v>
      </c>
      <c r="AA33" s="176">
        <v>30</v>
      </c>
      <c r="AB33" s="176">
        <v>6</v>
      </c>
      <c r="AC33" s="176">
        <v>2</v>
      </c>
      <c r="AD33" s="176">
        <v>8</v>
      </c>
      <c r="AE33" s="33">
        <v>0.9</v>
      </c>
      <c r="AF33" s="33">
        <v>0.9</v>
      </c>
      <c r="AG33" s="25" t="str">
        <f>_xlfn.XLOOKUP(F33,'TFS Details'!F:F,'TFS Details'!H:H)</f>
        <v>Test Complete</v>
      </c>
      <c r="AH33" s="44">
        <v>8</v>
      </c>
      <c r="AI33" s="44">
        <v>0</v>
      </c>
      <c r="AJ33" s="44">
        <v>0</v>
      </c>
      <c r="AK33" s="186">
        <v>0</v>
      </c>
      <c r="AL33" s="40">
        <f t="shared" si="5"/>
        <v>8</v>
      </c>
      <c r="AM33" s="41">
        <f t="shared" si="0"/>
        <v>1</v>
      </c>
      <c r="AN33" s="41">
        <f t="shared" si="6"/>
        <v>1</v>
      </c>
      <c r="AO33" s="25"/>
      <c r="AP33" s="25" t="str">
        <f>_xlfn.XLOOKUP(F33,'TFS Details'!F:F,'TFS Details'!I:I)</f>
        <v>GoRetro</v>
      </c>
      <c r="AQ33" s="25" t="str">
        <f>_xlfn.XLOOKUP(AP33,'TFS Details'!I:I,'TFS Details'!AE:AE)</f>
        <v>sowjanya.kari</v>
      </c>
    </row>
    <row r="34" spans="1:43">
      <c r="A34" s="24" t="str">
        <f>_xlfn.XLOOKUP(F34,'TFS Details'!F:F,'TFS Details'!D:D)</f>
        <v>SA Team manager</v>
      </c>
      <c r="B34" s="24" t="str">
        <f>_xlfn.XLOOKUP(F34,'TFS Details'!F:F,'TFS Details'!A:A)</f>
        <v>SA Team manager User Registration Fields update and Mail POC changes</v>
      </c>
      <c r="C34" s="64">
        <f>_xlfn.XLOOKUP(F34,'TFS Details'!F:F,'TFS Details'!E:E)</f>
        <v>4282653</v>
      </c>
      <c r="D34" s="17" t="s">
        <v>15</v>
      </c>
      <c r="E34" s="17" t="s">
        <v>259</v>
      </c>
      <c r="F34" s="116">
        <v>4275672</v>
      </c>
      <c r="G34" s="19" t="s">
        <v>249</v>
      </c>
      <c r="H34" s="17" t="s">
        <v>250</v>
      </c>
      <c r="I34" s="69"/>
      <c r="J34" s="187"/>
      <c r="K34" s="97" t="s">
        <v>18</v>
      </c>
      <c r="L34" s="187" t="s">
        <v>258</v>
      </c>
      <c r="M34" s="184" t="s">
        <v>70</v>
      </c>
      <c r="N34" s="17"/>
      <c r="O34" s="134"/>
      <c r="Q34" s="176"/>
      <c r="R34" s="176"/>
      <c r="S34" s="176"/>
      <c r="T34" s="176"/>
      <c r="W34" s="17" t="s">
        <v>183</v>
      </c>
      <c r="X34" s="17" t="s">
        <v>183</v>
      </c>
      <c r="Y34" s="17" t="s">
        <v>201</v>
      </c>
      <c r="Z34" s="17" t="s">
        <v>183</v>
      </c>
      <c r="AA34" s="176">
        <v>24</v>
      </c>
      <c r="AB34" s="176">
        <v>10</v>
      </c>
      <c r="AC34" s="176">
        <v>11</v>
      </c>
      <c r="AD34" s="176">
        <v>12</v>
      </c>
      <c r="AE34" s="33">
        <v>1</v>
      </c>
      <c r="AF34" s="33">
        <v>1</v>
      </c>
      <c r="AG34" s="25" t="str">
        <f>_xlfn.XLOOKUP(F34,'TFS Details'!F:F,'TFS Details'!H:H)</f>
        <v>Test Complete</v>
      </c>
      <c r="AH34" s="44">
        <v>24</v>
      </c>
      <c r="AI34" s="44">
        <v>0</v>
      </c>
      <c r="AJ34" s="44">
        <v>0</v>
      </c>
      <c r="AK34" s="186">
        <v>0</v>
      </c>
      <c r="AL34" s="40">
        <f t="shared" si="5"/>
        <v>24</v>
      </c>
      <c r="AM34" s="41">
        <f t="shared" si="0"/>
        <v>1</v>
      </c>
      <c r="AN34" s="41">
        <f t="shared" si="6"/>
        <v>1</v>
      </c>
      <c r="AO34" s="25"/>
      <c r="AP34" s="25" t="str">
        <f>_xlfn.XLOOKUP(F34,'TFS Details'!F:F,'TFS Details'!I:I)</f>
        <v>GoRetro</v>
      </c>
      <c r="AQ34" s="25" t="str">
        <f>_xlfn.XLOOKUP(AP34,'TFS Details'!I:I,'TFS Details'!AE:AE)</f>
        <v>sowjanya.kari</v>
      </c>
    </row>
    <row r="35" spans="1:43">
      <c r="A35" s="24" t="str">
        <f>_xlfn.XLOOKUP(F35,'TFS Details'!F:F,'TFS Details'!D:D)</f>
        <v>SA Team manager</v>
      </c>
      <c r="B35" s="24" t="str">
        <f>_xlfn.XLOOKUP(F35,'TFS Details'!F:F,'TFS Details'!A:A)</f>
        <v>SA Team manager User Registration Fields update and Mail POC changes</v>
      </c>
      <c r="C35" s="64">
        <f>_xlfn.XLOOKUP(F35,'TFS Details'!F:F,'TFS Details'!E:E)</f>
        <v>4282653</v>
      </c>
      <c r="D35" s="17" t="s">
        <v>15</v>
      </c>
      <c r="E35" s="17" t="s">
        <v>260</v>
      </c>
      <c r="F35" s="112">
        <v>4269089</v>
      </c>
      <c r="G35" s="69" t="s">
        <v>243</v>
      </c>
      <c r="H35" s="69" t="s">
        <v>244</v>
      </c>
      <c r="I35" s="237"/>
      <c r="J35" s="184"/>
      <c r="K35" s="97" t="s">
        <v>18</v>
      </c>
      <c r="L35" s="187" t="s">
        <v>255</v>
      </c>
      <c r="M35" s="16" t="s">
        <v>28</v>
      </c>
      <c r="N35" s="17"/>
      <c r="O35" s="134"/>
      <c r="Q35" s="176"/>
      <c r="R35" s="176"/>
      <c r="S35" s="176"/>
      <c r="T35" s="176"/>
      <c r="W35" s="17" t="s">
        <v>183</v>
      </c>
      <c r="X35" s="17" t="s">
        <v>183</v>
      </c>
      <c r="Y35" s="17" t="s">
        <v>246</v>
      </c>
      <c r="Z35" s="17" t="s">
        <v>183</v>
      </c>
      <c r="AA35" s="176">
        <v>30</v>
      </c>
      <c r="AB35" s="176">
        <v>25</v>
      </c>
      <c r="AC35" s="176">
        <v>9</v>
      </c>
      <c r="AD35" s="176">
        <v>20</v>
      </c>
      <c r="AE35" s="33">
        <v>0.8</v>
      </c>
      <c r="AF35" s="33">
        <v>0.8</v>
      </c>
      <c r="AG35" s="25" t="str">
        <f>_xlfn.XLOOKUP(F35,'TFS Details'!F:F,'TFS Details'!H:H)</f>
        <v>Test Complete</v>
      </c>
      <c r="AH35" s="44">
        <v>20</v>
      </c>
      <c r="AI35" s="44">
        <v>0</v>
      </c>
      <c r="AJ35" s="44">
        <v>0</v>
      </c>
      <c r="AK35" s="186">
        <v>0</v>
      </c>
      <c r="AL35" s="40">
        <f t="shared" si="5"/>
        <v>20</v>
      </c>
      <c r="AM35" s="41">
        <f t="shared" si="0"/>
        <v>1</v>
      </c>
      <c r="AN35" s="41">
        <f t="shared" si="6"/>
        <v>1</v>
      </c>
      <c r="AO35" s="25"/>
      <c r="AP35" s="25" t="str">
        <f>_xlfn.XLOOKUP(F35,'TFS Details'!F:F,'TFS Details'!I:I)</f>
        <v>GoRetro</v>
      </c>
      <c r="AQ35" s="25" t="str">
        <f>_xlfn.XLOOKUP(AP35,'TFS Details'!I:I,'TFS Details'!AE:AE)</f>
        <v>sowjanya.kari</v>
      </c>
    </row>
    <row r="36" spans="1:43">
      <c r="A36" s="24" t="str">
        <f>_xlfn.XLOOKUP(F36,'TFS Details'!F:F,'TFS Details'!D:D)</f>
        <v>SA Team manager</v>
      </c>
      <c r="B36" s="24" t="str">
        <f>_xlfn.XLOOKUP(F36,'TFS Details'!F:F,'TFS Details'!A:A)</f>
        <v>SA Team manager User Registration Fields update and Mail POC changes</v>
      </c>
      <c r="C36" s="64">
        <f>_xlfn.XLOOKUP(F36,'TFS Details'!F:F,'TFS Details'!E:E)</f>
        <v>4282653</v>
      </c>
      <c r="D36" s="17" t="s">
        <v>15</v>
      </c>
      <c r="E36" s="17" t="s">
        <v>261</v>
      </c>
      <c r="F36" s="112">
        <v>4269111</v>
      </c>
      <c r="G36" s="68" t="s">
        <v>236</v>
      </c>
      <c r="H36" s="68" t="s">
        <v>244</v>
      </c>
      <c r="I36" s="68"/>
      <c r="J36" s="67"/>
      <c r="K36" s="97" t="s">
        <v>18</v>
      </c>
      <c r="L36" s="184" t="s">
        <v>255</v>
      </c>
      <c r="M36" s="16" t="s">
        <v>28</v>
      </c>
      <c r="N36" s="17"/>
      <c r="O36" s="134"/>
      <c r="Q36" s="176"/>
      <c r="R36" s="176"/>
      <c r="S36" s="176"/>
      <c r="T36" s="176"/>
      <c r="W36" s="17" t="s">
        <v>183</v>
      </c>
      <c r="X36" s="17" t="s">
        <v>183</v>
      </c>
      <c r="Y36" s="17" t="s">
        <v>183</v>
      </c>
      <c r="Z36" s="17" t="s">
        <v>183</v>
      </c>
      <c r="AA36" s="176">
        <v>6</v>
      </c>
      <c r="AB36" s="176">
        <v>5</v>
      </c>
      <c r="AC36" s="176">
        <v>16</v>
      </c>
      <c r="AD36" s="176">
        <v>21</v>
      </c>
      <c r="AE36" s="33">
        <v>0.66</v>
      </c>
      <c r="AF36" s="33">
        <v>0.7</v>
      </c>
      <c r="AG36" s="25" t="str">
        <f>_xlfn.XLOOKUP(F36,'TFS Details'!F:F,'TFS Details'!H:H)</f>
        <v>Test Complete</v>
      </c>
      <c r="AH36" s="44">
        <v>21</v>
      </c>
      <c r="AI36" s="44">
        <v>0</v>
      </c>
      <c r="AJ36" s="44">
        <v>0</v>
      </c>
      <c r="AK36" s="186">
        <v>0</v>
      </c>
      <c r="AL36" s="40">
        <v>21</v>
      </c>
      <c r="AM36" s="41">
        <f t="shared" si="0"/>
        <v>1</v>
      </c>
      <c r="AN36" s="41">
        <f t="shared" si="6"/>
        <v>1</v>
      </c>
      <c r="AO36" s="25"/>
      <c r="AP36" s="25" t="str">
        <f>_xlfn.XLOOKUP(F36,'TFS Details'!F:F,'TFS Details'!I:I)</f>
        <v>GoRetro</v>
      </c>
      <c r="AQ36" s="25" t="str">
        <f>_xlfn.XLOOKUP(AP36,'TFS Details'!I:I,'TFS Details'!AE:AE)</f>
        <v>sowjanya.kari</v>
      </c>
    </row>
    <row r="37" spans="1:43">
      <c r="A37" s="24" t="str">
        <f>_xlfn.XLOOKUP(F37,'TFS Details'!F:F,'TFS Details'!D:D)</f>
        <v>Common</v>
      </c>
      <c r="B37" s="24" t="str">
        <f>_xlfn.XLOOKUP(F37,'TFS Details'!F:F,'TFS Details'!A:A)</f>
        <v>Comma formatting in all raise request emails</v>
      </c>
      <c r="C37" s="64">
        <f>_xlfn.XLOOKUP(F37,'TFS Details'!F:F,'TFS Details'!E:E)</f>
        <v>4387609</v>
      </c>
      <c r="D37" s="17" t="s">
        <v>15</v>
      </c>
      <c r="E37" s="17" t="s">
        <v>262</v>
      </c>
      <c r="F37" s="112">
        <v>4373609</v>
      </c>
      <c r="G37" s="69" t="s">
        <v>240</v>
      </c>
      <c r="H37" s="19" t="s">
        <v>257</v>
      </c>
      <c r="I37" s="19"/>
      <c r="K37" s="97" t="s">
        <v>18</v>
      </c>
      <c r="L37" s="185" t="s">
        <v>263</v>
      </c>
      <c r="M37" s="16" t="s">
        <v>28</v>
      </c>
      <c r="N37" s="17"/>
      <c r="O37" s="134"/>
      <c r="Q37" s="176"/>
      <c r="R37" s="176"/>
      <c r="S37" s="176"/>
      <c r="T37" s="176"/>
      <c r="W37" s="17" t="s">
        <v>183</v>
      </c>
      <c r="X37" s="17" t="s">
        <v>183</v>
      </c>
      <c r="Y37" s="17" t="s">
        <v>183</v>
      </c>
      <c r="Z37" s="17" t="s">
        <v>183</v>
      </c>
      <c r="AA37" s="176">
        <v>36</v>
      </c>
      <c r="AB37" s="176">
        <v>7</v>
      </c>
      <c r="AC37" s="176">
        <v>0</v>
      </c>
      <c r="AD37" s="176">
        <v>7</v>
      </c>
      <c r="AE37" s="33">
        <v>1</v>
      </c>
      <c r="AF37" s="33">
        <v>1</v>
      </c>
      <c r="AG37" s="25" t="str">
        <f>_xlfn.XLOOKUP(F37,'TFS Details'!F:F,'TFS Details'!H:H)</f>
        <v>UAT In Test</v>
      </c>
      <c r="AH37" s="44">
        <v>7</v>
      </c>
      <c r="AI37" s="44">
        <v>0</v>
      </c>
      <c r="AJ37" s="44">
        <v>0</v>
      </c>
      <c r="AK37" s="186">
        <v>0</v>
      </c>
      <c r="AL37" s="40">
        <f t="shared" ref="AL37:AL54" si="7">SUM(AH37:AK37)</f>
        <v>7</v>
      </c>
      <c r="AM37" s="41">
        <f t="shared" si="0"/>
        <v>1</v>
      </c>
      <c r="AN37" s="41">
        <f t="shared" si="6"/>
        <v>1</v>
      </c>
      <c r="AO37" s="25" t="s">
        <v>264</v>
      </c>
      <c r="AP37" s="25" t="str">
        <f>_xlfn.XLOOKUP(F37,'TFS Details'!F:F,'TFS Details'!I:I)</f>
        <v>TechPhantoms</v>
      </c>
      <c r="AQ37" s="25" t="str">
        <f>_xlfn.XLOOKUP(AP37,'TFS Details'!I:I,'TFS Details'!AE:AE)</f>
        <v>sowjanya.kari</v>
      </c>
    </row>
    <row r="38" spans="1:43">
      <c r="A38" s="24" t="str">
        <f>_xlfn.XLOOKUP(F38,'TFS Details'!F:F,'TFS Details'!D:D)</f>
        <v>Learn</v>
      </c>
      <c r="B38" s="24" t="str">
        <f>_xlfn.XLOOKUP(F38,'TFS Details'!F:F,'TFS Details'!A:A)</f>
        <v>Services - Learn &amp; Launch enhancements</v>
      </c>
      <c r="C38" s="64">
        <f>_xlfn.XLOOKUP(F38,'TFS Details'!F:F,'TFS Details'!E:E)</f>
        <v>4369575</v>
      </c>
      <c r="D38" s="17" t="s">
        <v>15</v>
      </c>
      <c r="E38" s="17" t="s">
        <v>265</v>
      </c>
      <c r="F38" s="112">
        <v>4372140</v>
      </c>
      <c r="G38" s="17" t="s">
        <v>243</v>
      </c>
      <c r="H38" s="17" t="s">
        <v>253</v>
      </c>
      <c r="I38" s="237"/>
      <c r="J38" s="184" t="s">
        <v>90</v>
      </c>
      <c r="K38" s="187" t="s">
        <v>1</v>
      </c>
      <c r="L38" s="243"/>
      <c r="M38" s="23"/>
      <c r="N38" s="17" t="s">
        <v>182</v>
      </c>
      <c r="O38" s="134">
        <v>1</v>
      </c>
      <c r="P38" s="33">
        <v>1</v>
      </c>
      <c r="Q38" s="176">
        <v>14</v>
      </c>
      <c r="R38" s="176">
        <v>5</v>
      </c>
      <c r="S38" s="176">
        <v>0</v>
      </c>
      <c r="T38" s="176">
        <v>1</v>
      </c>
      <c r="U38" s="244">
        <v>0.7</v>
      </c>
      <c r="V38" s="244">
        <v>0.4</v>
      </c>
      <c r="W38" s="17" t="s">
        <v>183</v>
      </c>
      <c r="X38" s="17" t="s">
        <v>183</v>
      </c>
      <c r="Y38" s="17" t="s">
        <v>246</v>
      </c>
      <c r="Z38" s="17" t="s">
        <v>183</v>
      </c>
      <c r="AA38" s="176">
        <v>30</v>
      </c>
      <c r="AB38" s="176">
        <v>20</v>
      </c>
      <c r="AC38" s="176">
        <v>4</v>
      </c>
      <c r="AD38" s="176">
        <v>23</v>
      </c>
      <c r="AE38" s="244">
        <v>0.9</v>
      </c>
      <c r="AF38" s="244">
        <v>0.9</v>
      </c>
      <c r="AG38" s="25" t="str">
        <f>_xlfn.XLOOKUP(F38,'TFS Details'!F:F,'TFS Details'!H:H)</f>
        <v>PT In Test</v>
      </c>
      <c r="AH38" s="44">
        <v>23</v>
      </c>
      <c r="AI38" s="44">
        <v>0</v>
      </c>
      <c r="AJ38" s="44">
        <v>0</v>
      </c>
      <c r="AK38" s="186">
        <v>0</v>
      </c>
      <c r="AL38" s="40">
        <f t="shared" si="7"/>
        <v>23</v>
      </c>
      <c r="AM38" s="41">
        <f t="shared" si="0"/>
        <v>1</v>
      </c>
      <c r="AN38" s="41">
        <f t="shared" si="6"/>
        <v>1</v>
      </c>
      <c r="AO38" s="25"/>
      <c r="AP38" s="25" t="str">
        <f>_xlfn.XLOOKUP(F38,'TFS Details'!F:F,'TFS Details'!I:I)</f>
        <v>NGTransformers</v>
      </c>
      <c r="AQ38" s="25" t="str">
        <f>_xlfn.XLOOKUP(AP38,'TFS Details'!I:I,'TFS Details'!AE:AE)</f>
        <v>sowjanya.kari</v>
      </c>
    </row>
    <row r="39" spans="1:43">
      <c r="A39" s="24" t="s">
        <v>266</v>
      </c>
      <c r="B39" s="24" t="str">
        <f>_xlfn.XLOOKUP(F39,'TFS Details'!F:F,'TFS Details'!A:A)</f>
        <v>Diel hierarchy - rolled up revenue</v>
      </c>
      <c r="C39" s="64">
        <f>_xlfn.XLOOKUP(F39,'TFS Details'!F:F,'TFS Details'!E:E)</f>
        <v>4378908</v>
      </c>
      <c r="D39" s="17" t="s">
        <v>15</v>
      </c>
      <c r="E39" s="17" t="s">
        <v>267</v>
      </c>
      <c r="F39" s="112">
        <v>4378894</v>
      </c>
      <c r="G39" s="17" t="s">
        <v>236</v>
      </c>
      <c r="H39" s="17" t="s">
        <v>268</v>
      </c>
      <c r="I39" s="68"/>
      <c r="J39" s="67" t="s">
        <v>122</v>
      </c>
      <c r="K39" s="241" t="s">
        <v>1</v>
      </c>
      <c r="L39" s="184"/>
      <c r="N39" s="97" t="s">
        <v>191</v>
      </c>
      <c r="O39" s="134">
        <v>1</v>
      </c>
      <c r="P39" s="33">
        <v>1</v>
      </c>
      <c r="Q39" s="176">
        <v>7</v>
      </c>
      <c r="R39" s="176">
        <v>6</v>
      </c>
      <c r="S39" s="176">
        <v>0</v>
      </c>
      <c r="T39" s="176">
        <v>7</v>
      </c>
      <c r="U39" s="33">
        <v>0.85</v>
      </c>
      <c r="V39" s="33">
        <v>0.85</v>
      </c>
      <c r="W39" s="17" t="s">
        <v>183</v>
      </c>
      <c r="X39" s="17" t="s">
        <v>183</v>
      </c>
      <c r="Y39" s="17" t="s">
        <v>183</v>
      </c>
      <c r="Z39" s="17" t="s">
        <v>183</v>
      </c>
      <c r="AA39" s="176">
        <v>6</v>
      </c>
      <c r="AB39" s="176">
        <v>6</v>
      </c>
      <c r="AC39" s="176">
        <v>1</v>
      </c>
      <c r="AD39" s="176">
        <v>7</v>
      </c>
      <c r="AE39" s="33">
        <v>0.85</v>
      </c>
      <c r="AF39" s="33">
        <v>1</v>
      </c>
      <c r="AG39" s="25" t="str">
        <f>_xlfn.XLOOKUP(F39,'TFS Details'!F:F,'TFS Details'!H:H)</f>
        <v>Test Complete</v>
      </c>
      <c r="AH39" s="44">
        <v>7</v>
      </c>
      <c r="AI39" s="44">
        <v>0</v>
      </c>
      <c r="AJ39" s="44">
        <v>0</v>
      </c>
      <c r="AK39" s="186">
        <v>0</v>
      </c>
      <c r="AL39" s="40">
        <f t="shared" si="7"/>
        <v>7</v>
      </c>
      <c r="AM39" s="41">
        <f t="shared" si="0"/>
        <v>1</v>
      </c>
      <c r="AN39" s="41">
        <f t="shared" si="6"/>
        <v>1</v>
      </c>
      <c r="AO39" s="25"/>
      <c r="AP39" s="25" t="str">
        <f>_xlfn.XLOOKUP(F39,'TFS Details'!F:F,'TFS Details'!I:I)</f>
        <v>GoRetro</v>
      </c>
      <c r="AQ39" s="25" t="str">
        <f>_xlfn.XLOOKUP(AP39,'TFS Details'!I:I,'TFS Details'!AE:AE)</f>
        <v>sowjanya.kari</v>
      </c>
    </row>
    <row r="40" spans="1:43">
      <c r="A40" s="24" t="str">
        <f>_xlfn.XLOOKUP(F40,'TFS Details'!F:F,'TFS Details'!D:D)</f>
        <v>myCalendar</v>
      </c>
      <c r="B40" s="24" t="str">
        <f>_xlfn.XLOOKUP(F40,'TFS Details'!F:F,'TFS Details'!A:A)</f>
        <v>March Release NextGen Enhancements</v>
      </c>
      <c r="C40" s="64">
        <f>_xlfn.XLOOKUP(F40,'TFS Details'!F:F,'TFS Details'!E:E)</f>
        <v>4365826</v>
      </c>
      <c r="D40" s="17" t="s">
        <v>15</v>
      </c>
      <c r="E40" s="17" t="s">
        <v>269</v>
      </c>
      <c r="F40" s="112">
        <v>4366103</v>
      </c>
      <c r="G40" s="68" t="s">
        <v>240</v>
      </c>
      <c r="H40" s="19" t="s">
        <v>244</v>
      </c>
      <c r="I40" s="19"/>
      <c r="K40" s="97" t="s">
        <v>18</v>
      </c>
      <c r="L40" s="16" t="s">
        <v>270</v>
      </c>
      <c r="M40" s="23" t="s">
        <v>72</v>
      </c>
      <c r="N40" s="17"/>
      <c r="O40" s="134"/>
      <c r="Q40" s="176"/>
      <c r="R40" s="176"/>
      <c r="S40" s="176"/>
      <c r="T40" s="176"/>
      <c r="W40" s="17" t="s">
        <v>183</v>
      </c>
      <c r="X40" s="17" t="s">
        <v>183</v>
      </c>
      <c r="Y40" s="17" t="s">
        <v>183</v>
      </c>
      <c r="Z40" s="17" t="s">
        <v>183</v>
      </c>
      <c r="AA40" s="176">
        <v>30</v>
      </c>
      <c r="AB40" s="176">
        <v>9</v>
      </c>
      <c r="AC40" s="176">
        <v>1</v>
      </c>
      <c r="AD40" s="176">
        <v>10</v>
      </c>
      <c r="AE40" s="33">
        <v>0.95</v>
      </c>
      <c r="AF40" s="33">
        <v>0.95</v>
      </c>
      <c r="AG40" s="25" t="str">
        <f>_xlfn.XLOOKUP(F40,'TFS Details'!F:F,'TFS Details'!H:H)</f>
        <v>Test Complete</v>
      </c>
      <c r="AH40" s="44">
        <v>10</v>
      </c>
      <c r="AI40" s="44">
        <v>0</v>
      </c>
      <c r="AJ40" s="44">
        <v>0</v>
      </c>
      <c r="AK40" s="44">
        <v>0</v>
      </c>
      <c r="AL40" s="40">
        <f t="shared" si="7"/>
        <v>10</v>
      </c>
      <c r="AM40" s="41">
        <f t="shared" si="0"/>
        <v>1</v>
      </c>
      <c r="AN40" s="41">
        <f t="shared" si="6"/>
        <v>1</v>
      </c>
      <c r="AO40" s="25"/>
      <c r="AP40" s="25" t="str">
        <f>_xlfn.XLOOKUP(F40,'TFS Details'!F:F,'TFS Details'!I:I)</f>
        <v>TechPhantoms</v>
      </c>
      <c r="AQ40" s="25" t="str">
        <f>_xlfn.XLOOKUP(AP40,'TFS Details'!I:I,'TFS Details'!AE:AE)</f>
        <v>sowjanya.kari</v>
      </c>
    </row>
    <row r="41" spans="1:43">
      <c r="A41" s="24" t="str">
        <f>_xlfn.XLOOKUP(F41,'TFS Details'!F:F,'TFS Details'!D:D)</f>
        <v>ESA to Market Maker ESA</v>
      </c>
      <c r="B41" s="24" t="str">
        <f>_xlfn.XLOOKUP(F41,'TFS Details'!F:F,'TFS Details'!A:A)</f>
        <v>March Release NextGen Enhancements</v>
      </c>
      <c r="C41" s="64">
        <f>_xlfn.XLOOKUP(F41,'TFS Details'!F:F,'TFS Details'!E:E)</f>
        <v>4365826</v>
      </c>
      <c r="D41" s="17" t="s">
        <v>15</v>
      </c>
      <c r="E41" s="17" t="s">
        <v>271</v>
      </c>
      <c r="F41" s="116">
        <v>4366122</v>
      </c>
      <c r="G41" s="19" t="s">
        <v>249</v>
      </c>
      <c r="H41" s="17" t="s">
        <v>250</v>
      </c>
      <c r="I41" s="69"/>
      <c r="J41" s="187"/>
      <c r="K41" s="97" t="s">
        <v>18</v>
      </c>
      <c r="L41" s="187" t="s">
        <v>272</v>
      </c>
      <c r="M41" s="23" t="s">
        <v>48</v>
      </c>
      <c r="N41" s="17"/>
      <c r="O41" s="134"/>
      <c r="Q41" s="176"/>
      <c r="R41" s="176"/>
      <c r="S41" s="176"/>
      <c r="T41" s="176"/>
      <c r="W41" s="17" t="s">
        <v>183</v>
      </c>
      <c r="X41" s="17" t="s">
        <v>183</v>
      </c>
      <c r="Y41" s="17" t="s">
        <v>201</v>
      </c>
      <c r="Z41" s="17" t="s">
        <v>183</v>
      </c>
      <c r="AA41" s="176">
        <v>25</v>
      </c>
      <c r="AB41" s="176">
        <v>16</v>
      </c>
      <c r="AC41" s="176">
        <v>10</v>
      </c>
      <c r="AD41" s="176">
        <v>10</v>
      </c>
      <c r="AE41" s="33">
        <v>1</v>
      </c>
      <c r="AF41" s="33">
        <v>0.8</v>
      </c>
      <c r="AG41" s="25" t="str">
        <f>_xlfn.XLOOKUP(F41,'TFS Details'!F:F,'TFS Details'!H:H)</f>
        <v>Test Complete</v>
      </c>
      <c r="AH41" s="44">
        <v>24</v>
      </c>
      <c r="AI41" s="44">
        <v>0</v>
      </c>
      <c r="AJ41" s="44">
        <v>0</v>
      </c>
      <c r="AK41" s="44">
        <v>0</v>
      </c>
      <c r="AL41" s="40">
        <f t="shared" si="7"/>
        <v>24</v>
      </c>
      <c r="AM41" s="41">
        <f t="shared" si="0"/>
        <v>1</v>
      </c>
      <c r="AN41" s="41">
        <f t="shared" si="6"/>
        <v>1</v>
      </c>
      <c r="AO41" s="25"/>
      <c r="AP41" s="25" t="str">
        <f>_xlfn.XLOOKUP(F41,'TFS Details'!F:F,'TFS Details'!I:I)</f>
        <v>TechPhantoms</v>
      </c>
      <c r="AQ41" s="25" t="str">
        <f>_xlfn.XLOOKUP(AP41,'TFS Details'!I:I,'TFS Details'!AE:AE)</f>
        <v>sowjanya.kari</v>
      </c>
    </row>
    <row r="42" spans="1:43" ht="14.1">
      <c r="A42" s="24" t="s">
        <v>247</v>
      </c>
      <c r="B42" s="24" t="str">
        <f>_xlfn.XLOOKUP(F42,'TFS Details'!F:F,'TFS Details'!A:A)</f>
        <v>Advisory SA Role Sync in DFD, PLD, Define Team</v>
      </c>
      <c r="C42" s="64">
        <f>_xlfn.XLOOKUP(F42,'TFS Details'!F:F,'TFS Details'!E:E)</f>
        <v>4366466</v>
      </c>
      <c r="D42" s="17" t="s">
        <v>15</v>
      </c>
      <c r="E42" s="17" t="s">
        <v>273</v>
      </c>
      <c r="F42" s="112">
        <v>4366141</v>
      </c>
      <c r="G42" s="17" t="s">
        <v>236</v>
      </c>
      <c r="H42" s="17" t="s">
        <v>268</v>
      </c>
      <c r="I42" s="68"/>
      <c r="J42" s="67" t="s">
        <v>122</v>
      </c>
      <c r="K42" s="184" t="s">
        <v>1</v>
      </c>
      <c r="L42" s="184"/>
      <c r="N42" s="97" t="s">
        <v>182</v>
      </c>
      <c r="O42" s="134">
        <v>1</v>
      </c>
      <c r="P42" s="33">
        <v>1</v>
      </c>
      <c r="Q42" s="176">
        <v>6</v>
      </c>
      <c r="R42" s="176">
        <v>5</v>
      </c>
      <c r="S42" s="176">
        <v>0</v>
      </c>
      <c r="T42" s="176">
        <v>6</v>
      </c>
      <c r="U42" s="33">
        <v>0.85</v>
      </c>
      <c r="V42" s="33">
        <v>0.85</v>
      </c>
      <c r="W42" s="17" t="s">
        <v>183</v>
      </c>
      <c r="X42" s="17" t="s">
        <v>183</v>
      </c>
      <c r="Y42" s="17" t="s">
        <v>183</v>
      </c>
      <c r="Z42" s="17" t="s">
        <v>183</v>
      </c>
      <c r="AA42" s="176">
        <v>6</v>
      </c>
      <c r="AB42" s="176">
        <v>6</v>
      </c>
      <c r="AC42" s="176">
        <v>0</v>
      </c>
      <c r="AD42" s="176">
        <v>6</v>
      </c>
      <c r="AE42" s="33">
        <v>1</v>
      </c>
      <c r="AF42" s="33">
        <v>1</v>
      </c>
      <c r="AG42" s="25" t="str">
        <f>_xlfn.XLOOKUP(F42,'TFS Details'!F:F,'TFS Details'!H:H)</f>
        <v>UAT In Test</v>
      </c>
      <c r="AH42" s="44">
        <v>6</v>
      </c>
      <c r="AI42" s="44">
        <v>0</v>
      </c>
      <c r="AJ42" s="44">
        <v>0</v>
      </c>
      <c r="AK42" s="44">
        <v>0</v>
      </c>
      <c r="AL42" s="40">
        <f t="shared" si="7"/>
        <v>6</v>
      </c>
      <c r="AM42" s="41">
        <f t="shared" si="0"/>
        <v>1</v>
      </c>
      <c r="AN42" s="41">
        <f t="shared" si="6"/>
        <v>1</v>
      </c>
      <c r="AO42" s="126" t="s">
        <v>274</v>
      </c>
      <c r="AP42" s="25" t="str">
        <f>_xlfn.XLOOKUP(F42,'TFS Details'!F:F,'TFS Details'!I:I)</f>
        <v>NGTransformers</v>
      </c>
      <c r="AQ42" s="25" t="str">
        <f>_xlfn.XLOOKUP(AP42,'TFS Details'!I:I,'TFS Details'!AE:AE)</f>
        <v>sowjanya.kari</v>
      </c>
    </row>
    <row r="43" spans="1:43">
      <c r="A43" s="24" t="s">
        <v>275</v>
      </c>
      <c r="B43" s="24" t="str">
        <f>_xlfn.XLOOKUP(F43,'TFS Details'!F:F,'TFS Details'!A:A)</f>
        <v>March Release NextGen Enhancements</v>
      </c>
      <c r="C43" s="64">
        <f>_xlfn.XLOOKUP(F43,'TFS Details'!F:F,'TFS Details'!E:E)</f>
        <v>4365826</v>
      </c>
      <c r="D43" s="17" t="s">
        <v>15</v>
      </c>
      <c r="E43" s="17" t="s">
        <v>276</v>
      </c>
      <c r="F43" s="112">
        <v>4370557</v>
      </c>
      <c r="G43" s="68" t="s">
        <v>240</v>
      </c>
      <c r="H43" s="19" t="s">
        <v>257</v>
      </c>
      <c r="I43" s="19"/>
      <c r="J43" s="21" t="s">
        <v>33</v>
      </c>
      <c r="K43" s="17" t="s">
        <v>1</v>
      </c>
      <c r="L43" s="16"/>
      <c r="M43" s="23"/>
      <c r="N43" s="17" t="s">
        <v>277</v>
      </c>
      <c r="O43" s="134">
        <v>9</v>
      </c>
      <c r="P43" s="33">
        <v>1</v>
      </c>
      <c r="Q43" s="176">
        <v>12</v>
      </c>
      <c r="R43" s="176">
        <v>6</v>
      </c>
      <c r="S43" s="176">
        <v>1</v>
      </c>
      <c r="T43" s="176">
        <v>7</v>
      </c>
      <c r="U43" s="33">
        <v>0.75</v>
      </c>
      <c r="V43" s="33">
        <v>0.75</v>
      </c>
      <c r="W43" s="17" t="s">
        <v>183</v>
      </c>
      <c r="X43" s="17" t="s">
        <v>183</v>
      </c>
      <c r="Y43" s="17" t="s">
        <v>183</v>
      </c>
      <c r="Z43" s="17" t="s">
        <v>183</v>
      </c>
      <c r="AA43" s="176">
        <v>20</v>
      </c>
      <c r="AB43" s="176">
        <v>6</v>
      </c>
      <c r="AC43" s="176">
        <v>1</v>
      </c>
      <c r="AD43" s="176">
        <v>7</v>
      </c>
      <c r="AE43" s="33">
        <v>0.95</v>
      </c>
      <c r="AF43" s="33">
        <v>0.95</v>
      </c>
      <c r="AG43" s="25" t="str">
        <f>_xlfn.XLOOKUP(F43,'TFS Details'!F:F,'TFS Details'!H:H)</f>
        <v>Test Complete</v>
      </c>
      <c r="AH43" s="44">
        <v>7</v>
      </c>
      <c r="AI43" s="44">
        <v>0</v>
      </c>
      <c r="AJ43" s="44">
        <v>0</v>
      </c>
      <c r="AK43" s="44">
        <v>0</v>
      </c>
      <c r="AL43" s="40">
        <f t="shared" si="7"/>
        <v>7</v>
      </c>
      <c r="AM43" s="41">
        <f t="shared" si="0"/>
        <v>1</v>
      </c>
      <c r="AN43" s="41">
        <f t="shared" si="6"/>
        <v>1</v>
      </c>
      <c r="AO43" s="25"/>
      <c r="AP43" s="25" t="str">
        <f>_xlfn.XLOOKUP(F43,'TFS Details'!F:F,'TFS Details'!I:I)</f>
        <v>NGTransformers</v>
      </c>
      <c r="AQ43" s="25" t="str">
        <f>_xlfn.XLOOKUP(AP43,'TFS Details'!I:I,'TFS Details'!AE:AE)</f>
        <v>sowjanya.kari</v>
      </c>
    </row>
    <row r="44" spans="1:43">
      <c r="A44" s="24" t="str">
        <f>_xlfn.XLOOKUP(F44,'TFS Details'!F:F,'TFS Details'!D:D)</f>
        <v>SA Team manager</v>
      </c>
      <c r="B44" s="24" t="str">
        <f>_xlfn.XLOOKUP(F44,'TFS Details'!F:F,'TFS Details'!A:A)</f>
        <v>SA Team manager User Registration Fields update and Mail POC changes</v>
      </c>
      <c r="C44" s="64">
        <f>_xlfn.XLOOKUP(F44,'TFS Details'!F:F,'TFS Details'!E:E)</f>
        <v>4282653</v>
      </c>
      <c r="D44" s="17" t="s">
        <v>15</v>
      </c>
      <c r="E44" s="17" t="s">
        <v>278</v>
      </c>
      <c r="F44" s="116">
        <v>4371534</v>
      </c>
      <c r="G44" s="19" t="s">
        <v>249</v>
      </c>
      <c r="H44" s="17" t="s">
        <v>250</v>
      </c>
      <c r="I44" s="69"/>
      <c r="J44" s="187"/>
      <c r="K44" s="97" t="s">
        <v>18</v>
      </c>
      <c r="L44" s="187" t="s">
        <v>279</v>
      </c>
      <c r="M44" s="23" t="s">
        <v>70</v>
      </c>
      <c r="N44" s="17"/>
      <c r="O44" s="134"/>
      <c r="Q44" s="176"/>
      <c r="R44" s="176"/>
      <c r="S44" s="176"/>
      <c r="T44" s="176"/>
      <c r="W44" s="17" t="s">
        <v>183</v>
      </c>
      <c r="X44" s="17" t="s">
        <v>183</v>
      </c>
      <c r="Y44" s="17" t="s">
        <v>201</v>
      </c>
      <c r="Z44" s="17" t="s">
        <v>183</v>
      </c>
      <c r="AA44" s="176">
        <v>24</v>
      </c>
      <c r="AB44" s="176">
        <v>9</v>
      </c>
      <c r="AC44" s="176">
        <v>9</v>
      </c>
      <c r="AD44" s="176">
        <v>9</v>
      </c>
      <c r="AE44" s="33">
        <v>1</v>
      </c>
      <c r="AF44" s="33">
        <v>1</v>
      </c>
      <c r="AG44" s="25" t="str">
        <f>_xlfn.XLOOKUP(F44,'TFS Details'!F:F,'TFS Details'!H:H)</f>
        <v>Test Complete</v>
      </c>
      <c r="AH44" s="44">
        <v>24</v>
      </c>
      <c r="AI44" s="44">
        <v>0</v>
      </c>
      <c r="AJ44" s="44">
        <v>0</v>
      </c>
      <c r="AK44" s="44">
        <v>0</v>
      </c>
      <c r="AL44" s="40">
        <f t="shared" si="7"/>
        <v>24</v>
      </c>
      <c r="AM44" s="41">
        <f t="shared" si="0"/>
        <v>1</v>
      </c>
      <c r="AN44" s="41">
        <f t="shared" si="6"/>
        <v>1</v>
      </c>
      <c r="AO44" s="25"/>
      <c r="AP44" s="25" t="str">
        <f>_xlfn.XLOOKUP(F44,'TFS Details'!F:F,'TFS Details'!I:I)</f>
        <v>GoRetro</v>
      </c>
      <c r="AQ44" s="25" t="str">
        <f>_xlfn.XLOOKUP(AP44,'TFS Details'!I:I,'TFS Details'!AE:AE)</f>
        <v>sowjanya.kari</v>
      </c>
    </row>
    <row r="45" spans="1:43">
      <c r="A45" s="24" t="s">
        <v>280</v>
      </c>
      <c r="B45" s="24" t="str">
        <f>_xlfn.XLOOKUP(F45,'TFS Details'!F:F,'TFS Details'!A:A)</f>
        <v>Advisory SA Role Sync in DFD, PLD, Define Team</v>
      </c>
      <c r="C45" s="64">
        <f>_xlfn.XLOOKUP(F45,'TFS Details'!F:F,'TFS Details'!E:E)</f>
        <v>4366466</v>
      </c>
      <c r="D45" s="17" t="s">
        <v>15</v>
      </c>
      <c r="E45" s="17" t="s">
        <v>281</v>
      </c>
      <c r="F45" s="112">
        <v>4369531</v>
      </c>
      <c r="G45" s="69" t="s">
        <v>243</v>
      </c>
      <c r="H45" s="69" t="s">
        <v>244</v>
      </c>
      <c r="I45" s="83"/>
      <c r="J45" s="71"/>
      <c r="K45" s="97" t="s">
        <v>18</v>
      </c>
      <c r="L45" s="187" t="s">
        <v>282</v>
      </c>
      <c r="M45" s="23" t="s">
        <v>57</v>
      </c>
      <c r="N45" s="17"/>
      <c r="O45" s="134"/>
      <c r="Q45" s="176"/>
      <c r="R45" s="176"/>
      <c r="S45" s="176"/>
      <c r="T45" s="176"/>
      <c r="W45" s="17" t="s">
        <v>183</v>
      </c>
      <c r="X45" s="17" t="s">
        <v>183</v>
      </c>
      <c r="Y45" s="17" t="s">
        <v>246</v>
      </c>
      <c r="Z45" s="17" t="s">
        <v>183</v>
      </c>
      <c r="AA45" s="176">
        <v>50</v>
      </c>
      <c r="AB45" s="176">
        <v>30</v>
      </c>
      <c r="AC45" s="176">
        <v>2</v>
      </c>
      <c r="AD45" s="176">
        <v>15</v>
      </c>
      <c r="AE45" s="33">
        <v>0.7</v>
      </c>
      <c r="AF45" s="33">
        <v>0.7</v>
      </c>
      <c r="AG45" s="25" t="str">
        <f>_xlfn.XLOOKUP(F45,'TFS Details'!F:F,'TFS Details'!H:H)</f>
        <v>UAT In Test</v>
      </c>
      <c r="AH45" s="44">
        <v>15</v>
      </c>
      <c r="AI45" s="44">
        <v>0</v>
      </c>
      <c r="AJ45" s="44">
        <v>0</v>
      </c>
      <c r="AK45" s="44">
        <v>0</v>
      </c>
      <c r="AL45" s="40">
        <f t="shared" si="7"/>
        <v>15</v>
      </c>
      <c r="AM45" s="41">
        <f t="shared" si="0"/>
        <v>1</v>
      </c>
      <c r="AN45" s="41">
        <f t="shared" si="6"/>
        <v>1</v>
      </c>
      <c r="AO45" s="25"/>
      <c r="AP45" s="25" t="str">
        <f>_xlfn.XLOOKUP(F45,'TFS Details'!F:F,'TFS Details'!I:I)</f>
        <v>TechPhantoms</v>
      </c>
      <c r="AQ45" s="25" t="str">
        <f>_xlfn.XLOOKUP(AP45,'TFS Details'!I:I,'TFS Details'!AE:AE)</f>
        <v>sowjanya.kari</v>
      </c>
    </row>
    <row r="46" spans="1:43">
      <c r="A46" s="24" t="str">
        <f>_xlfn.XLOOKUP(F46,'TFS Details'!F:F,'TFS Details'!D:D)</f>
        <v>Learn</v>
      </c>
      <c r="B46" s="24" t="str">
        <f>_xlfn.XLOOKUP(F46,'TFS Details'!F:F,'TFS Details'!A:A)</f>
        <v>Services - Learn &amp; Launch enhancements</v>
      </c>
      <c r="C46" s="64">
        <f>_xlfn.XLOOKUP(F46,'TFS Details'!F:F,'TFS Details'!E:E)</f>
        <v>4369575</v>
      </c>
      <c r="D46" s="17" t="s">
        <v>15</v>
      </c>
      <c r="E46" s="17" t="s">
        <v>283</v>
      </c>
      <c r="F46" s="112">
        <v>4369533</v>
      </c>
      <c r="G46" s="17" t="s">
        <v>236</v>
      </c>
      <c r="H46" s="17" t="s">
        <v>244</v>
      </c>
      <c r="I46" s="68"/>
      <c r="J46" s="67"/>
      <c r="K46" s="97" t="s">
        <v>18</v>
      </c>
      <c r="L46" s="184" t="s">
        <v>28</v>
      </c>
      <c r="M46" s="16" t="s">
        <v>28</v>
      </c>
      <c r="N46" s="17"/>
      <c r="O46" s="134"/>
      <c r="Q46" s="176"/>
      <c r="R46" s="176"/>
      <c r="S46" s="176"/>
      <c r="T46" s="176"/>
      <c r="W46" s="17" t="s">
        <v>183</v>
      </c>
      <c r="X46" s="17" t="s">
        <v>183</v>
      </c>
      <c r="Y46" s="17" t="s">
        <v>183</v>
      </c>
      <c r="Z46" s="17" t="s">
        <v>183</v>
      </c>
      <c r="AA46" s="176">
        <v>6</v>
      </c>
      <c r="AB46" s="176">
        <v>6</v>
      </c>
      <c r="AC46" s="176">
        <v>0</v>
      </c>
      <c r="AD46" s="176">
        <v>6</v>
      </c>
      <c r="AE46" s="33">
        <v>1</v>
      </c>
      <c r="AF46" s="33">
        <v>1</v>
      </c>
      <c r="AG46" s="25" t="str">
        <f>_xlfn.XLOOKUP(F46,'TFS Details'!F:F,'TFS Details'!H:H)</f>
        <v>Test Complete</v>
      </c>
      <c r="AH46" s="44">
        <v>6</v>
      </c>
      <c r="AI46" s="44">
        <v>0</v>
      </c>
      <c r="AJ46" s="44">
        <v>0</v>
      </c>
      <c r="AK46" s="44">
        <v>0</v>
      </c>
      <c r="AL46" s="40">
        <f t="shared" si="7"/>
        <v>6</v>
      </c>
      <c r="AM46" s="41">
        <f t="shared" si="0"/>
        <v>1</v>
      </c>
      <c r="AN46" s="41">
        <f t="shared" si="6"/>
        <v>1</v>
      </c>
      <c r="AO46" s="25"/>
      <c r="AP46" s="25" t="str">
        <f>_xlfn.XLOOKUP(F46,'TFS Details'!F:F,'TFS Details'!I:I)</f>
        <v>NGTransformers</v>
      </c>
      <c r="AQ46" s="25" t="str">
        <f>_xlfn.XLOOKUP(AP46,'TFS Details'!I:I,'TFS Details'!AE:AE)</f>
        <v>sowjanya.kari</v>
      </c>
    </row>
    <row r="47" spans="1:43">
      <c r="A47" s="24" t="s">
        <v>284</v>
      </c>
      <c r="B47" s="24" t="str">
        <f>_xlfn.XLOOKUP(F47,'TFS Details'!F:F,'TFS Details'!A:A)</f>
        <v>March Release NextGen Enhancements</v>
      </c>
      <c r="C47" s="64">
        <f>_xlfn.XLOOKUP(F47,'TFS Details'!F:F,'TFS Details'!E:E)</f>
        <v>4365826</v>
      </c>
      <c r="D47" s="17" t="s">
        <v>15</v>
      </c>
      <c r="E47" s="17" t="s">
        <v>285</v>
      </c>
      <c r="F47" s="112">
        <v>4371399</v>
      </c>
      <c r="G47" s="17" t="s">
        <v>243</v>
      </c>
      <c r="H47" s="17" t="s">
        <v>286</v>
      </c>
      <c r="I47" s="83"/>
      <c r="J47" s="71"/>
      <c r="K47" s="97" t="s">
        <v>18</v>
      </c>
      <c r="L47" s="187" t="s">
        <v>272</v>
      </c>
      <c r="M47" s="23" t="s">
        <v>48</v>
      </c>
      <c r="N47" s="17"/>
      <c r="O47" s="134"/>
      <c r="Q47" s="176"/>
      <c r="R47" s="176"/>
      <c r="S47" s="176"/>
      <c r="T47" s="176"/>
      <c r="W47" s="17" t="s">
        <v>183</v>
      </c>
      <c r="X47" s="17" t="s">
        <v>183</v>
      </c>
      <c r="Y47" s="17" t="s">
        <v>246</v>
      </c>
      <c r="Z47" s="17" t="s">
        <v>183</v>
      </c>
      <c r="AA47" s="176">
        <v>50</v>
      </c>
      <c r="AB47" s="176">
        <v>20</v>
      </c>
      <c r="AC47" s="176">
        <v>4</v>
      </c>
      <c r="AD47" s="176">
        <v>11</v>
      </c>
      <c r="AE47" s="131">
        <v>0.9</v>
      </c>
      <c r="AF47" s="131">
        <v>0.9</v>
      </c>
      <c r="AG47" s="25" t="str">
        <f>_xlfn.XLOOKUP(F47,'TFS Details'!F:F,'TFS Details'!H:H)</f>
        <v>UAT In Test</v>
      </c>
      <c r="AH47" s="44">
        <v>11</v>
      </c>
      <c r="AI47" s="44">
        <v>0</v>
      </c>
      <c r="AJ47" s="44">
        <v>0</v>
      </c>
      <c r="AK47" s="44">
        <v>0</v>
      </c>
      <c r="AL47" s="40">
        <f t="shared" si="7"/>
        <v>11</v>
      </c>
      <c r="AM47" s="41">
        <f t="shared" si="0"/>
        <v>1</v>
      </c>
      <c r="AN47" s="41">
        <f t="shared" si="6"/>
        <v>1</v>
      </c>
      <c r="AO47" s="25"/>
      <c r="AP47" s="25" t="str">
        <f>_xlfn.XLOOKUP(F47,'TFS Details'!F:F,'TFS Details'!I:I)</f>
        <v>CodeCrafters</v>
      </c>
      <c r="AQ47" s="25" t="str">
        <f>_xlfn.XLOOKUP(AP47,'TFS Details'!I:I,'TFS Details'!AE:AE)</f>
        <v>sona.job</v>
      </c>
    </row>
    <row r="48" spans="1:43">
      <c r="A48" s="24" t="s">
        <v>284</v>
      </c>
      <c r="B48" s="24" t="str">
        <f>_xlfn.XLOOKUP(F48,'TFS Details'!F:F,'TFS Details'!A:A)</f>
        <v>Revamp- Tier 2 city</v>
      </c>
      <c r="C48" s="64">
        <f>_xlfn.XLOOKUP(F48,'TFS Details'!F:F,'TFS Details'!E:E)</f>
        <v>4059417</v>
      </c>
      <c r="D48" s="17" t="s">
        <v>15</v>
      </c>
      <c r="E48" s="17" t="s">
        <v>287</v>
      </c>
      <c r="F48" s="112">
        <v>4269036</v>
      </c>
      <c r="G48" s="17" t="s">
        <v>236</v>
      </c>
      <c r="H48" s="17" t="s">
        <v>268</v>
      </c>
      <c r="I48" s="68"/>
      <c r="J48" s="67" t="s">
        <v>122</v>
      </c>
      <c r="K48" s="241" t="s">
        <v>1</v>
      </c>
      <c r="L48" s="242"/>
      <c r="N48" s="97" t="s">
        <v>182</v>
      </c>
      <c r="O48" s="134">
        <v>1</v>
      </c>
      <c r="P48" s="33">
        <v>1</v>
      </c>
      <c r="Q48" s="176">
        <v>8</v>
      </c>
      <c r="R48" s="176">
        <v>5</v>
      </c>
      <c r="S48" s="176">
        <v>0</v>
      </c>
      <c r="T48" s="176">
        <v>8</v>
      </c>
      <c r="U48" s="33">
        <v>0.85</v>
      </c>
      <c r="V48" s="33">
        <v>0.85</v>
      </c>
      <c r="W48" s="17" t="s">
        <v>183</v>
      </c>
      <c r="X48" s="17" t="s">
        <v>183</v>
      </c>
      <c r="Y48" s="17" t="s">
        <v>183</v>
      </c>
      <c r="Z48" s="17" t="s">
        <v>183</v>
      </c>
      <c r="AA48" s="176">
        <v>6</v>
      </c>
      <c r="AB48" s="176">
        <v>6</v>
      </c>
      <c r="AC48" s="176">
        <v>2</v>
      </c>
      <c r="AD48" s="176">
        <v>8</v>
      </c>
      <c r="AE48" s="33">
        <v>0.75</v>
      </c>
      <c r="AF48" s="33">
        <v>1</v>
      </c>
      <c r="AG48" s="25" t="str">
        <f>_xlfn.XLOOKUP(F48,'TFS Details'!F:F,'TFS Details'!H:H)</f>
        <v>Test Complete</v>
      </c>
      <c r="AH48" s="44">
        <v>8</v>
      </c>
      <c r="AI48" s="44">
        <v>0</v>
      </c>
      <c r="AJ48" s="44">
        <v>0</v>
      </c>
      <c r="AK48" s="44">
        <v>0</v>
      </c>
      <c r="AL48" s="40">
        <f t="shared" si="7"/>
        <v>8</v>
      </c>
      <c r="AM48" s="41">
        <f t="shared" si="0"/>
        <v>1</v>
      </c>
      <c r="AN48" s="41">
        <f t="shared" si="6"/>
        <v>1</v>
      </c>
      <c r="AO48" s="25"/>
      <c r="AP48" s="25" t="str">
        <f>_xlfn.XLOOKUP(F48,'TFS Details'!F:F,'TFS Details'!I:I)</f>
        <v>CodeCrafters</v>
      </c>
      <c r="AQ48" s="25" t="str">
        <f>_xlfn.XLOOKUP(AP48,'TFS Details'!I:I,'TFS Details'!AE:AE)</f>
        <v>sona.job</v>
      </c>
    </row>
    <row r="49" spans="1:43">
      <c r="A49" s="24" t="str">
        <f>_xlfn.XLOOKUP(F49,'TFS Details'!F:F,'TFS Details'!D:D)</f>
        <v>Reporting &amp; Compliance -Tier 2 City</v>
      </c>
      <c r="B49" s="24" t="str">
        <f>_xlfn.XLOOKUP(F49,'TFS Details'!F:F,'TFS Details'!A:A)</f>
        <v>Revamp- Tier 2 city</v>
      </c>
      <c r="C49" s="64">
        <f>_xlfn.XLOOKUP(F49,'TFS Details'!F:F,'TFS Details'!E:E)</f>
        <v>4059417</v>
      </c>
      <c r="D49" s="17" t="s">
        <v>15</v>
      </c>
      <c r="E49" s="17" t="s">
        <v>288</v>
      </c>
      <c r="F49" s="116">
        <v>4233240</v>
      </c>
      <c r="G49" s="19" t="s">
        <v>249</v>
      </c>
      <c r="H49" s="17" t="s">
        <v>250</v>
      </c>
      <c r="I49" s="69"/>
      <c r="J49" s="187"/>
      <c r="K49" s="97" t="s">
        <v>18</v>
      </c>
      <c r="L49" s="187" t="s">
        <v>228</v>
      </c>
      <c r="M49" s="23" t="s">
        <v>64</v>
      </c>
      <c r="N49" s="17"/>
      <c r="O49" s="134"/>
      <c r="Q49" s="176"/>
      <c r="R49" s="176"/>
      <c r="S49" s="176"/>
      <c r="T49" s="176"/>
      <c r="W49" s="17" t="s">
        <v>183</v>
      </c>
      <c r="X49" s="17" t="s">
        <v>183</v>
      </c>
      <c r="Y49" s="17" t="s">
        <v>201</v>
      </c>
      <c r="Z49" s="17" t="s">
        <v>183</v>
      </c>
      <c r="AA49" s="176">
        <v>25</v>
      </c>
      <c r="AB49" s="176">
        <v>19</v>
      </c>
      <c r="AC49" s="176">
        <v>10</v>
      </c>
      <c r="AD49" s="176">
        <v>10</v>
      </c>
      <c r="AE49" s="33">
        <v>1</v>
      </c>
      <c r="AF49" s="33">
        <v>0.75</v>
      </c>
      <c r="AG49" s="25" t="str">
        <f>_xlfn.XLOOKUP(F49,'TFS Details'!F:F,'TFS Details'!H:H)</f>
        <v>Test Complete</v>
      </c>
      <c r="AH49" s="44">
        <v>24</v>
      </c>
      <c r="AI49" s="44">
        <v>0</v>
      </c>
      <c r="AJ49" s="44">
        <v>0</v>
      </c>
      <c r="AK49" s="44">
        <v>0</v>
      </c>
      <c r="AL49" s="40">
        <f t="shared" si="7"/>
        <v>24</v>
      </c>
      <c r="AM49" s="41">
        <f t="shared" si="0"/>
        <v>1</v>
      </c>
      <c r="AN49" s="41">
        <f t="shared" si="6"/>
        <v>1</v>
      </c>
      <c r="AO49" s="25"/>
      <c r="AP49" s="25" t="str">
        <f>_xlfn.XLOOKUP(F49,'TFS Details'!F:F,'TFS Details'!I:I)</f>
        <v>CodeCrafters</v>
      </c>
      <c r="AQ49" s="25" t="str">
        <f>_xlfn.XLOOKUP(AP49,'TFS Details'!I:I,'TFS Details'!AE:AE)</f>
        <v>sona.job</v>
      </c>
    </row>
    <row r="50" spans="1:43" ht="14.1">
      <c r="A50" s="24" t="s">
        <v>284</v>
      </c>
      <c r="B50" s="24" t="str">
        <f>_xlfn.XLOOKUP(F50,'TFS Details'!F:F,'TFS Details'!A:A)</f>
        <v>March Release NextGen Enhancements</v>
      </c>
      <c r="C50" s="64">
        <f>_xlfn.XLOOKUP(F50,'TFS Details'!F:F,'TFS Details'!E:E)</f>
        <v>4365826</v>
      </c>
      <c r="D50" s="17" t="s">
        <v>15</v>
      </c>
      <c r="E50" s="17" t="s">
        <v>289</v>
      </c>
      <c r="F50" s="112">
        <v>4227683</v>
      </c>
      <c r="G50" s="69" t="s">
        <v>236</v>
      </c>
      <c r="H50" s="69" t="s">
        <v>268</v>
      </c>
      <c r="I50" s="237"/>
      <c r="J50" s="184" t="s">
        <v>94</v>
      </c>
      <c r="K50" s="241" t="s">
        <v>1</v>
      </c>
      <c r="L50" s="242"/>
      <c r="N50" s="97" t="s">
        <v>191</v>
      </c>
      <c r="O50" s="134">
        <v>10</v>
      </c>
      <c r="P50" s="33">
        <v>1</v>
      </c>
      <c r="Q50" s="176">
        <v>8</v>
      </c>
      <c r="R50" s="176">
        <v>8</v>
      </c>
      <c r="S50" s="176">
        <v>2</v>
      </c>
      <c r="T50" s="176">
        <v>10</v>
      </c>
      <c r="U50" s="33">
        <v>0.85</v>
      </c>
      <c r="V50" s="33">
        <v>0.85</v>
      </c>
      <c r="W50" s="17" t="s">
        <v>183</v>
      </c>
      <c r="X50" s="17" t="s">
        <v>183</v>
      </c>
      <c r="Y50" s="17" t="s">
        <v>183</v>
      </c>
      <c r="Z50" s="17" t="s">
        <v>183</v>
      </c>
      <c r="AA50" s="176">
        <v>6</v>
      </c>
      <c r="AB50" s="176">
        <v>6</v>
      </c>
      <c r="AC50" s="176"/>
      <c r="AD50" s="176">
        <v>8</v>
      </c>
      <c r="AE50" s="33">
        <v>0.75</v>
      </c>
      <c r="AF50" s="33">
        <v>1</v>
      </c>
      <c r="AG50" s="25" t="str">
        <f>_xlfn.XLOOKUP(F50,'TFS Details'!F:F,'TFS Details'!H:H)</f>
        <v>UAT In Test</v>
      </c>
      <c r="AH50" s="44">
        <v>8</v>
      </c>
      <c r="AI50" s="44">
        <v>0</v>
      </c>
      <c r="AJ50" s="44">
        <v>0</v>
      </c>
      <c r="AK50" s="44">
        <v>0</v>
      </c>
      <c r="AL50" s="40">
        <f t="shared" si="7"/>
        <v>8</v>
      </c>
      <c r="AM50" s="41">
        <f t="shared" si="0"/>
        <v>1</v>
      </c>
      <c r="AN50" s="41">
        <f t="shared" si="6"/>
        <v>1</v>
      </c>
      <c r="AO50" s="126" t="s">
        <v>274</v>
      </c>
      <c r="AP50" s="25" t="str">
        <f>_xlfn.XLOOKUP(F50,'TFS Details'!F:F,'TFS Details'!I:I)</f>
        <v>CodeCrafters</v>
      </c>
      <c r="AQ50" s="25" t="str">
        <f>_xlfn.XLOOKUP(AP50,'TFS Details'!I:I,'TFS Details'!AE:AE)</f>
        <v>sona.job</v>
      </c>
    </row>
    <row r="51" spans="1:43">
      <c r="A51" s="24" t="s">
        <v>284</v>
      </c>
      <c r="B51" s="24" t="str">
        <f>_xlfn.XLOOKUP(F51,'TFS Details'!F:F,'TFS Details'!A:A)</f>
        <v>Enhancement for Generative AI tab for AMS</v>
      </c>
      <c r="C51" s="64">
        <f>_xlfn.XLOOKUP(F51,'TFS Details'!F:F,'TFS Details'!E:E)</f>
        <v>4317843</v>
      </c>
      <c r="D51" s="17" t="s">
        <v>15</v>
      </c>
      <c r="E51" s="17" t="s">
        <v>290</v>
      </c>
      <c r="F51" s="112">
        <v>4317672</v>
      </c>
      <c r="G51" s="17" t="s">
        <v>243</v>
      </c>
      <c r="H51" s="17" t="s">
        <v>286</v>
      </c>
      <c r="I51" s="237"/>
      <c r="J51" s="184" t="s">
        <v>90</v>
      </c>
      <c r="K51" s="185" t="s">
        <v>251</v>
      </c>
      <c r="L51" s="185"/>
      <c r="M51" s="23"/>
      <c r="N51" s="17" t="s">
        <v>191</v>
      </c>
      <c r="O51" s="134">
        <v>3</v>
      </c>
      <c r="P51" s="33">
        <v>1</v>
      </c>
      <c r="Q51" s="176">
        <v>20</v>
      </c>
      <c r="R51" s="176">
        <v>10</v>
      </c>
      <c r="S51" s="176">
        <v>0</v>
      </c>
      <c r="T51" s="176">
        <v>10</v>
      </c>
      <c r="U51" s="33">
        <v>0.7</v>
      </c>
      <c r="V51" s="33">
        <v>0.4</v>
      </c>
      <c r="W51" s="17" t="s">
        <v>183</v>
      </c>
      <c r="X51" s="17" t="s">
        <v>183</v>
      </c>
      <c r="Y51" s="17" t="s">
        <v>246</v>
      </c>
      <c r="Z51" s="17" t="s">
        <v>183</v>
      </c>
      <c r="AA51" s="176">
        <v>50</v>
      </c>
      <c r="AB51" s="176">
        <v>20</v>
      </c>
      <c r="AC51" s="176">
        <v>0</v>
      </c>
      <c r="AD51" s="176">
        <v>20</v>
      </c>
      <c r="AE51" s="131">
        <v>0.9</v>
      </c>
      <c r="AF51" s="131">
        <v>0.9</v>
      </c>
      <c r="AG51" s="25" t="str">
        <f>_xlfn.XLOOKUP(F51,'TFS Details'!F:F,'TFS Details'!H:H)</f>
        <v>UAT In Test</v>
      </c>
      <c r="AH51" s="44">
        <v>20</v>
      </c>
      <c r="AI51" s="44">
        <v>0</v>
      </c>
      <c r="AJ51" s="44">
        <v>0</v>
      </c>
      <c r="AK51" s="44">
        <v>0</v>
      </c>
      <c r="AL51" s="40">
        <f t="shared" si="7"/>
        <v>20</v>
      </c>
      <c r="AM51" s="41">
        <f t="shared" si="0"/>
        <v>1</v>
      </c>
      <c r="AN51" s="41">
        <f t="shared" si="6"/>
        <v>1</v>
      </c>
      <c r="AO51" s="25"/>
      <c r="AP51" s="25" t="str">
        <f>_xlfn.XLOOKUP(F51,'TFS Details'!F:F,'TFS Details'!I:I)</f>
        <v>CodeCrafters</v>
      </c>
      <c r="AQ51" s="25" t="str">
        <f>_xlfn.XLOOKUP(AP51,'TFS Details'!I:I,'TFS Details'!AE:AE)</f>
        <v>sona.job</v>
      </c>
    </row>
    <row r="52" spans="1:43" ht="27.95">
      <c r="A52" s="24" t="s">
        <v>291</v>
      </c>
      <c r="B52" s="24" t="str">
        <f>_xlfn.XLOOKUP(F52,'TFS Details'!F:F,'TFS Details'!A:A)</f>
        <v>Song Deals Compliant Logic Update</v>
      </c>
      <c r="C52" s="64">
        <f>_xlfn.XLOOKUP(F52,'TFS Details'!F:F,'TFS Details'!E:E)</f>
        <v>4317244</v>
      </c>
      <c r="D52" s="17" t="s">
        <v>15</v>
      </c>
      <c r="E52" s="17" t="s">
        <v>292</v>
      </c>
      <c r="F52" s="112">
        <v>3997998</v>
      </c>
      <c r="G52" s="17" t="s">
        <v>243</v>
      </c>
      <c r="H52" s="17" t="s">
        <v>286</v>
      </c>
      <c r="I52" s="19"/>
      <c r="J52" s="70"/>
      <c r="K52" s="97" t="s">
        <v>18</v>
      </c>
      <c r="L52" s="185" t="s">
        <v>293</v>
      </c>
      <c r="M52" s="23" t="s">
        <v>70</v>
      </c>
      <c r="N52" s="17"/>
      <c r="O52" s="134"/>
      <c r="Q52" s="176"/>
      <c r="R52" s="176"/>
      <c r="S52" s="176"/>
      <c r="T52" s="176"/>
      <c r="W52" s="17" t="s">
        <v>183</v>
      </c>
      <c r="X52" s="17" t="s">
        <v>183</v>
      </c>
      <c r="Y52" s="17" t="s">
        <v>246</v>
      </c>
      <c r="Z52" s="17" t="s">
        <v>183</v>
      </c>
      <c r="AA52" s="176">
        <v>50</v>
      </c>
      <c r="AB52" s="176">
        <v>40</v>
      </c>
      <c r="AC52" s="176">
        <v>0</v>
      </c>
      <c r="AD52" s="176">
        <v>40</v>
      </c>
      <c r="AE52" s="33">
        <v>0.8</v>
      </c>
      <c r="AF52" s="33">
        <v>0.8</v>
      </c>
      <c r="AG52" s="25" t="str">
        <f>_xlfn.XLOOKUP(F52,'TFS Details'!F:F,'TFS Details'!H:H)</f>
        <v>UAT In Test</v>
      </c>
      <c r="AH52" s="44">
        <v>40</v>
      </c>
      <c r="AI52" s="44">
        <v>0</v>
      </c>
      <c r="AJ52" s="44">
        <v>0</v>
      </c>
      <c r="AK52" s="44">
        <v>0</v>
      </c>
      <c r="AL52" s="40">
        <f t="shared" si="7"/>
        <v>40</v>
      </c>
      <c r="AM52" s="41">
        <f t="shared" si="0"/>
        <v>1</v>
      </c>
      <c r="AN52" s="41">
        <f t="shared" si="6"/>
        <v>1</v>
      </c>
      <c r="AO52" s="126" t="s">
        <v>294</v>
      </c>
      <c r="AP52" s="25" t="str">
        <f>_xlfn.XLOOKUP(F52,'TFS Details'!F:F,'TFS Details'!I:I)</f>
        <v>DevNinjas</v>
      </c>
      <c r="AQ52" s="25" t="str">
        <f>_xlfn.XLOOKUP(AP52,'TFS Details'!I:I,'TFS Details'!AE:AE)</f>
        <v>sona.job</v>
      </c>
    </row>
    <row r="53" spans="1:43">
      <c r="A53" s="24" t="str">
        <f>_xlfn.XLOOKUP(F53,'TFS Details'!F:F,'TFS Details'!D:D)</f>
        <v>DFD-myISP</v>
      </c>
      <c r="B53" s="24" t="str">
        <f>_xlfn.XLOOKUP(F53,'TFS Details'!F:F,'TFS Details'!A:A)</f>
        <v>Song Deals Compliant Logic Update</v>
      </c>
      <c r="C53" s="64">
        <f>_xlfn.XLOOKUP(F53,'TFS Details'!F:F,'TFS Details'!E:E)</f>
        <v>4317244</v>
      </c>
      <c r="D53" s="17" t="s">
        <v>15</v>
      </c>
      <c r="E53" s="17" t="s">
        <v>295</v>
      </c>
      <c r="F53" s="112">
        <v>4174501</v>
      </c>
      <c r="G53" s="68" t="s">
        <v>236</v>
      </c>
      <c r="H53" s="68" t="s">
        <v>286</v>
      </c>
      <c r="I53" s="68"/>
      <c r="J53" s="67"/>
      <c r="K53" s="97" t="s">
        <v>18</v>
      </c>
      <c r="L53" s="184" t="s">
        <v>28</v>
      </c>
      <c r="M53" s="16" t="s">
        <v>28</v>
      </c>
      <c r="N53" s="17"/>
      <c r="O53" s="134"/>
      <c r="Q53" s="176"/>
      <c r="R53" s="176"/>
      <c r="S53" s="176"/>
      <c r="T53" s="176"/>
      <c r="W53" s="17" t="s">
        <v>183</v>
      </c>
      <c r="X53" s="17" t="s">
        <v>183</v>
      </c>
      <c r="Y53" s="17" t="s">
        <v>183</v>
      </c>
      <c r="Z53" s="17" t="s">
        <v>183</v>
      </c>
      <c r="AA53" s="176">
        <v>6</v>
      </c>
      <c r="AB53" s="176">
        <v>6</v>
      </c>
      <c r="AC53" s="176">
        <v>1</v>
      </c>
      <c r="AD53" s="176">
        <v>7</v>
      </c>
      <c r="AE53" s="33">
        <v>0.85</v>
      </c>
      <c r="AF53" s="33">
        <v>0.9</v>
      </c>
      <c r="AG53" s="25" t="str">
        <f>_xlfn.XLOOKUP(F53,'TFS Details'!F:F,'TFS Details'!H:H)</f>
        <v>UAT In Test</v>
      </c>
      <c r="AH53" s="44">
        <v>7</v>
      </c>
      <c r="AI53" s="44">
        <v>0</v>
      </c>
      <c r="AJ53" s="44">
        <v>0</v>
      </c>
      <c r="AK53" s="44">
        <v>0</v>
      </c>
      <c r="AL53" s="40">
        <f t="shared" si="7"/>
        <v>7</v>
      </c>
      <c r="AM53" s="41">
        <f t="shared" si="0"/>
        <v>1</v>
      </c>
      <c r="AN53" s="41">
        <f t="shared" si="6"/>
        <v>1</v>
      </c>
      <c r="AO53" s="25" t="s">
        <v>296</v>
      </c>
      <c r="AP53" s="25" t="str">
        <f>_xlfn.XLOOKUP(F53,'TFS Details'!F:F,'TFS Details'!I:I)</f>
        <v>CodeCrafters</v>
      </c>
      <c r="AQ53" s="25" t="str">
        <f>_xlfn.XLOOKUP(AP53,'TFS Details'!I:I,'TFS Details'!AE:AE)</f>
        <v>sona.job</v>
      </c>
    </row>
    <row r="54" spans="1:43">
      <c r="A54" s="24" t="str">
        <f>_xlfn.XLOOKUP(F54,'TFS Details'!F:F,'TFS Details'!D:D)</f>
        <v>DFD-myISP</v>
      </c>
      <c r="B54" s="24" t="str">
        <f>_xlfn.XLOOKUP(F54,'TFS Details'!F:F,'TFS Details'!A:A)</f>
        <v>Song Deals Compliant Logic Update</v>
      </c>
      <c r="C54" s="64">
        <f>_xlfn.XLOOKUP(F54,'TFS Details'!F:F,'TFS Details'!E:E)</f>
        <v>4317244</v>
      </c>
      <c r="D54" s="17" t="s">
        <v>15</v>
      </c>
      <c r="E54" s="17" t="s">
        <v>297</v>
      </c>
      <c r="F54" s="116">
        <v>4317269</v>
      </c>
      <c r="G54" s="19" t="s">
        <v>298</v>
      </c>
      <c r="H54" s="17" t="s">
        <v>299</v>
      </c>
      <c r="K54" s="97" t="s">
        <v>18</v>
      </c>
      <c r="L54" s="185" t="s">
        <v>258</v>
      </c>
      <c r="M54" s="23" t="s">
        <v>70</v>
      </c>
      <c r="N54" s="17"/>
      <c r="O54" s="134"/>
      <c r="Q54" s="176"/>
      <c r="R54" s="176"/>
      <c r="S54" s="176"/>
      <c r="T54" s="176"/>
      <c r="W54" s="17" t="s">
        <v>183</v>
      </c>
      <c r="X54" s="17" t="s">
        <v>183</v>
      </c>
      <c r="Y54" s="17" t="s">
        <v>201</v>
      </c>
      <c r="Z54" s="17" t="s">
        <v>183</v>
      </c>
      <c r="AA54" s="176">
        <v>24</v>
      </c>
      <c r="AB54" s="176">
        <v>9</v>
      </c>
      <c r="AC54" s="176">
        <v>11</v>
      </c>
      <c r="AD54" s="176">
        <v>11</v>
      </c>
      <c r="AE54" s="33">
        <v>1</v>
      </c>
      <c r="AF54" s="33">
        <v>0.7</v>
      </c>
      <c r="AG54" s="25" t="str">
        <f>_xlfn.XLOOKUP(F54,'TFS Details'!F:F,'TFS Details'!H:H)</f>
        <v>UAT In Test</v>
      </c>
      <c r="AH54" s="44">
        <v>24</v>
      </c>
      <c r="AI54" s="44">
        <v>0</v>
      </c>
      <c r="AJ54" s="44">
        <v>0</v>
      </c>
      <c r="AK54" s="44">
        <v>0</v>
      </c>
      <c r="AL54" s="40">
        <f t="shared" si="7"/>
        <v>24</v>
      </c>
      <c r="AM54" s="41">
        <f t="shared" si="0"/>
        <v>1</v>
      </c>
      <c r="AN54" s="41">
        <f t="shared" si="6"/>
        <v>1</v>
      </c>
      <c r="AO54" s="25"/>
      <c r="AP54" s="25" t="str">
        <f>_xlfn.XLOOKUP(F54,'TFS Details'!F:F,'TFS Details'!I:I)</f>
        <v>CodeCrafters</v>
      </c>
      <c r="AQ54" s="25" t="str">
        <f>_xlfn.XLOOKUP(AP54,'TFS Details'!I:I,'TFS Details'!AE:AE)</f>
        <v>sona.job</v>
      </c>
    </row>
    <row r="55" spans="1:43">
      <c r="A55" s="24" t="str">
        <f>_xlfn.XLOOKUP(F55,'TFS Details'!F:F,'TFS Details'!D:D)</f>
        <v>DFD-myISP</v>
      </c>
      <c r="B55" s="24" t="str">
        <f>_xlfn.XLOOKUP(F55,'TFS Details'!F:F,'TFS Details'!A:A)</f>
        <v>Song Deals Compliant Logic Update</v>
      </c>
      <c r="C55" s="64">
        <f>_xlfn.XLOOKUP(F55,'TFS Details'!F:F,'TFS Details'!E:E)</f>
        <v>4317244</v>
      </c>
      <c r="D55" s="17" t="s">
        <v>15</v>
      </c>
      <c r="E55" s="17" t="s">
        <v>300</v>
      </c>
      <c r="F55" s="116">
        <v>4320775</v>
      </c>
      <c r="G55" s="19" t="s">
        <v>301</v>
      </c>
      <c r="H55" s="17" t="s">
        <v>299</v>
      </c>
      <c r="I55" s="68"/>
      <c r="J55" s="67"/>
      <c r="K55" s="97" t="s">
        <v>18</v>
      </c>
      <c r="L55" s="188" t="s">
        <v>258</v>
      </c>
      <c r="M55" s="23" t="s">
        <v>70</v>
      </c>
      <c r="N55" s="17"/>
      <c r="O55" s="134"/>
      <c r="Q55" s="176"/>
      <c r="R55" s="176"/>
      <c r="S55" s="176"/>
      <c r="T55" s="176"/>
      <c r="W55" s="17" t="s">
        <v>183</v>
      </c>
      <c r="X55" s="17" t="s">
        <v>183</v>
      </c>
      <c r="Y55" s="17" t="s">
        <v>201</v>
      </c>
      <c r="Z55" s="17" t="s">
        <v>183</v>
      </c>
      <c r="AA55" s="176">
        <v>30</v>
      </c>
      <c r="AB55" s="176">
        <v>20</v>
      </c>
      <c r="AC55" s="176">
        <v>15</v>
      </c>
      <c r="AD55" s="176">
        <v>15</v>
      </c>
      <c r="AE55" s="33">
        <v>1</v>
      </c>
      <c r="AF55" s="33">
        <v>0.85</v>
      </c>
      <c r="AG55" s="25" t="str">
        <f>_xlfn.XLOOKUP(F55,'TFS Details'!F:F,'TFS Details'!H:H)</f>
        <v>UAT In Test</v>
      </c>
      <c r="AH55" s="44">
        <v>24</v>
      </c>
      <c r="AI55" s="44">
        <v>0</v>
      </c>
      <c r="AJ55" s="44">
        <v>0</v>
      </c>
      <c r="AK55" s="44">
        <v>0</v>
      </c>
      <c r="AL55" s="40">
        <v>24</v>
      </c>
      <c r="AM55" s="41">
        <f t="shared" si="0"/>
        <v>1</v>
      </c>
      <c r="AN55" s="41">
        <f t="shared" si="6"/>
        <v>1</v>
      </c>
      <c r="AO55" s="25"/>
      <c r="AP55" s="25" t="str">
        <f>_xlfn.XLOOKUP(F55,'TFS Details'!F:F,'TFS Details'!I:I)</f>
        <v>CodeCrafters</v>
      </c>
      <c r="AQ55" s="25" t="str">
        <f>_xlfn.XLOOKUP(AP55,'TFS Details'!I:I,'TFS Details'!AE:AE)</f>
        <v>sona.job</v>
      </c>
    </row>
    <row r="56" spans="1:43" ht="15">
      <c r="A56" s="189" t="s">
        <v>284</v>
      </c>
      <c r="B56" s="24" t="str">
        <f>_xlfn.XLOOKUP(F56,'TFS Details'!F:F,'TFS Details'!A:A)</f>
        <v>Value Shaping –Enhancements</v>
      </c>
      <c r="C56" s="64">
        <f>_xlfn.XLOOKUP(F56,'TFS Details'!F:F,'TFS Details'!E:E)</f>
        <v>4330994</v>
      </c>
      <c r="D56" s="17" t="s">
        <v>15</v>
      </c>
      <c r="E56" s="17" t="s">
        <v>302</v>
      </c>
      <c r="F56" s="116">
        <v>4364543</v>
      </c>
      <c r="G56" s="83" t="s">
        <v>240</v>
      </c>
      <c r="H56" s="19" t="s">
        <v>244</v>
      </c>
      <c r="I56" s="238"/>
      <c r="J56" s="67" t="s">
        <v>83</v>
      </c>
      <c r="K56" s="68" t="s">
        <v>1</v>
      </c>
      <c r="L56" s="188"/>
      <c r="M56" s="23"/>
      <c r="N56" s="17" t="s">
        <v>191</v>
      </c>
      <c r="O56" s="134">
        <v>2</v>
      </c>
      <c r="P56" s="33">
        <v>1</v>
      </c>
      <c r="Q56" s="176">
        <v>30</v>
      </c>
      <c r="R56" s="176">
        <v>2</v>
      </c>
      <c r="S56" s="176">
        <v>0</v>
      </c>
      <c r="T56" s="176">
        <v>2</v>
      </c>
      <c r="U56" s="33">
        <v>0.5</v>
      </c>
      <c r="V56" s="33">
        <v>0.5</v>
      </c>
      <c r="W56" s="17" t="s">
        <v>183</v>
      </c>
      <c r="X56" s="17" t="s">
        <v>183</v>
      </c>
      <c r="Y56" s="17" t="s">
        <v>183</v>
      </c>
      <c r="Z56" s="17" t="s">
        <v>183</v>
      </c>
      <c r="AA56" s="176">
        <v>46</v>
      </c>
      <c r="AB56" s="176">
        <v>7</v>
      </c>
      <c r="AC56" s="176">
        <v>2</v>
      </c>
      <c r="AD56" s="176">
        <v>9</v>
      </c>
      <c r="AE56" s="33">
        <v>0.9</v>
      </c>
      <c r="AF56" s="33">
        <v>0.9</v>
      </c>
      <c r="AG56" s="25" t="str">
        <f>_xlfn.XLOOKUP(F56,'TFS Details'!F:F,'TFS Details'!H:H)</f>
        <v>Test Complete</v>
      </c>
      <c r="AH56" s="44">
        <v>9</v>
      </c>
      <c r="AI56" s="44">
        <v>0</v>
      </c>
      <c r="AJ56" s="44">
        <v>0</v>
      </c>
      <c r="AK56" s="44">
        <v>0</v>
      </c>
      <c r="AL56" s="40">
        <f t="shared" ref="AL56:AL69" si="8">SUM(AH56:AK56)</f>
        <v>9</v>
      </c>
      <c r="AM56" s="41">
        <f t="shared" si="0"/>
        <v>1</v>
      </c>
      <c r="AN56" s="41">
        <f t="shared" si="6"/>
        <v>1</v>
      </c>
      <c r="AO56" s="25" t="s">
        <v>264</v>
      </c>
      <c r="AP56" s="25" t="str">
        <f>_xlfn.XLOOKUP(F56,'TFS Details'!F:F,'TFS Details'!I:I)</f>
        <v>CodeCrafters</v>
      </c>
      <c r="AQ56" s="25" t="str">
        <f>_xlfn.XLOOKUP(AP56,'TFS Details'!I:I,'TFS Details'!AE:AE)</f>
        <v>sona.job</v>
      </c>
    </row>
    <row r="57" spans="1:43">
      <c r="A57" s="24" t="s">
        <v>303</v>
      </c>
      <c r="B57" s="24" t="str">
        <f>_xlfn.XLOOKUP(F57,'TFS Details'!F:F,'TFS Details'!A:A)</f>
        <v>Angular upgrade version 19 to version 21 - 28th March</v>
      </c>
      <c r="C57" s="64">
        <f>_xlfn.XLOOKUP(F57,'TFS Details'!F:F,'TFS Details'!E:E)</f>
        <v>4358702</v>
      </c>
      <c r="D57" s="17" t="s">
        <v>15</v>
      </c>
      <c r="E57" s="69" t="s">
        <v>304</v>
      </c>
      <c r="F57" s="113">
        <v>4358748</v>
      </c>
      <c r="G57" s="69" t="s">
        <v>243</v>
      </c>
      <c r="H57" s="69" t="s">
        <v>237</v>
      </c>
      <c r="I57" s="83"/>
      <c r="J57" s="71"/>
      <c r="K57" s="97" t="s">
        <v>18</v>
      </c>
      <c r="L57" s="187" t="s">
        <v>305</v>
      </c>
      <c r="M57" s="16" t="s">
        <v>64</v>
      </c>
      <c r="N57" s="69"/>
      <c r="O57" s="190"/>
      <c r="P57" s="91"/>
      <c r="Q57" s="176"/>
      <c r="R57" s="176"/>
      <c r="S57" s="176"/>
      <c r="T57" s="176"/>
      <c r="U57" s="91"/>
      <c r="V57" s="91"/>
      <c r="W57" s="69" t="s">
        <v>183</v>
      </c>
      <c r="X57" s="69" t="s">
        <v>183</v>
      </c>
      <c r="Y57" s="69" t="s">
        <v>246</v>
      </c>
      <c r="Z57" s="69" t="s">
        <v>183</v>
      </c>
      <c r="AA57" s="176">
        <v>30</v>
      </c>
      <c r="AB57" s="176">
        <v>2</v>
      </c>
      <c r="AC57" s="176">
        <v>17</v>
      </c>
      <c r="AD57" s="176">
        <v>17</v>
      </c>
      <c r="AE57" s="91">
        <v>0.4</v>
      </c>
      <c r="AF57" s="91">
        <v>0.4</v>
      </c>
      <c r="AG57" s="25" t="str">
        <f>_xlfn.XLOOKUP(F57,'TFS Details'!F:F,'TFS Details'!H:H)</f>
        <v>Test Complete</v>
      </c>
      <c r="AH57" s="100">
        <v>17</v>
      </c>
      <c r="AI57" s="100">
        <v>0</v>
      </c>
      <c r="AJ57" s="100">
        <v>0</v>
      </c>
      <c r="AK57" s="100">
        <v>0</v>
      </c>
      <c r="AL57" s="40">
        <f t="shared" si="8"/>
        <v>17</v>
      </c>
      <c r="AM57" s="41">
        <f t="shared" si="0"/>
        <v>1</v>
      </c>
      <c r="AN57" s="41">
        <f t="shared" si="6"/>
        <v>1</v>
      </c>
      <c r="AO57" s="25"/>
      <c r="AP57" s="25" t="str">
        <f>_xlfn.XLOOKUP(F57,'TFS Details'!F:F,'TFS Details'!I:I)</f>
        <v>MYISP_Revamp_UI</v>
      </c>
      <c r="AQ57" s="25" t="str">
        <f>_xlfn.XLOOKUP(AP57,'TFS Details'!I:I,'TFS Details'!AE:AE)</f>
        <v>vikrant.r.mohite</v>
      </c>
    </row>
    <row r="58" spans="1:43">
      <c r="A58" s="24" t="s">
        <v>284</v>
      </c>
      <c r="B58" s="24" t="str">
        <f>_xlfn.XLOOKUP(F58,'TFS Details'!F:F,'TFS Details'!A:A)</f>
        <v>PLD - Advisory SA Role</v>
      </c>
      <c r="C58" s="64">
        <f>_xlfn.XLOOKUP(F58,'TFS Details'!F:F,'TFS Details'!E:E)</f>
        <v>4386527</v>
      </c>
      <c r="D58" s="17" t="s">
        <v>15</v>
      </c>
      <c r="E58" s="17" t="s">
        <v>306</v>
      </c>
      <c r="F58" s="116">
        <v>4373043</v>
      </c>
      <c r="G58" s="83" t="s">
        <v>240</v>
      </c>
      <c r="H58" s="19" t="s">
        <v>244</v>
      </c>
      <c r="I58" s="238"/>
      <c r="J58" s="67" t="s">
        <v>33</v>
      </c>
      <c r="K58" s="68" t="s">
        <v>1</v>
      </c>
      <c r="L58" s="188"/>
      <c r="M58" s="23"/>
      <c r="N58" s="17" t="s">
        <v>277</v>
      </c>
      <c r="O58" s="134">
        <v>12</v>
      </c>
      <c r="P58" s="33">
        <v>1</v>
      </c>
      <c r="Q58" s="176">
        <v>47</v>
      </c>
      <c r="R58" s="176">
        <v>12</v>
      </c>
      <c r="S58" s="176">
        <v>0</v>
      </c>
      <c r="T58" s="176">
        <v>12</v>
      </c>
      <c r="U58" s="33">
        <v>0.5</v>
      </c>
      <c r="V58" s="33">
        <v>0.5</v>
      </c>
      <c r="W58" s="17" t="s">
        <v>183</v>
      </c>
      <c r="X58" s="17" t="s">
        <v>183</v>
      </c>
      <c r="Y58" s="17" t="s">
        <v>183</v>
      </c>
      <c r="Z58" s="17" t="s">
        <v>183</v>
      </c>
      <c r="AA58" s="176">
        <v>42</v>
      </c>
      <c r="AB58" s="176">
        <v>7</v>
      </c>
      <c r="AC58" s="176">
        <v>2</v>
      </c>
      <c r="AD58" s="176">
        <v>9</v>
      </c>
      <c r="AE58" s="33">
        <v>0.9</v>
      </c>
      <c r="AF58" s="33">
        <v>0.9</v>
      </c>
      <c r="AG58" s="25" t="str">
        <f>_xlfn.XLOOKUP(F58,'TFS Details'!F:F,'TFS Details'!H:H)</f>
        <v>UAT In Test</v>
      </c>
      <c r="AH58" s="44">
        <v>9</v>
      </c>
      <c r="AI58" s="44">
        <v>0</v>
      </c>
      <c r="AJ58" s="44">
        <v>0</v>
      </c>
      <c r="AK58" s="44">
        <v>0</v>
      </c>
      <c r="AL58" s="40">
        <f t="shared" si="8"/>
        <v>9</v>
      </c>
      <c r="AM58" s="41">
        <f t="shared" si="0"/>
        <v>1</v>
      </c>
      <c r="AN58" s="41">
        <f t="shared" si="6"/>
        <v>1</v>
      </c>
      <c r="AO58" s="25" t="s">
        <v>264</v>
      </c>
      <c r="AP58" s="25" t="str">
        <f>_xlfn.XLOOKUP(F58,'TFS Details'!F:F,'TFS Details'!I:I)</f>
        <v>CodeCrafters</v>
      </c>
      <c r="AQ58" s="25" t="str">
        <f>_xlfn.XLOOKUP(AP58,'TFS Details'!I:I,'TFS Details'!AE:AE)</f>
        <v>sona.job</v>
      </c>
    </row>
    <row r="59" spans="1:43">
      <c r="A59" s="24" t="str">
        <f>_xlfn.XLOOKUP(F59,'TFS Details'!F:F,'TFS Details'!D:D)</f>
        <v>Role Rename</v>
      </c>
      <c r="B59" s="24" t="str">
        <f>_xlfn.XLOOKUP(F59,'TFS Details'!F:F,'TFS Details'!A:A)</f>
        <v>March Release NextGen Enhancements</v>
      </c>
      <c r="C59" s="64">
        <f>_xlfn.XLOOKUP(F59,'TFS Details'!F:F,'TFS Details'!E:E)</f>
        <v>4365826</v>
      </c>
      <c r="D59" s="17" t="s">
        <v>15</v>
      </c>
      <c r="E59" s="17" t="s">
        <v>307</v>
      </c>
      <c r="F59" s="116">
        <v>4391260</v>
      </c>
      <c r="G59" s="83" t="s">
        <v>249</v>
      </c>
      <c r="H59" s="83" t="s">
        <v>250</v>
      </c>
      <c r="I59" s="239"/>
      <c r="J59" s="67"/>
      <c r="K59" s="97" t="s">
        <v>18</v>
      </c>
      <c r="L59" s="187" t="s">
        <v>272</v>
      </c>
      <c r="M59" s="23" t="s">
        <v>48</v>
      </c>
      <c r="N59" s="17"/>
      <c r="O59" s="134"/>
      <c r="Q59" s="176"/>
      <c r="R59" s="176"/>
      <c r="S59" s="176"/>
      <c r="T59" s="176"/>
      <c r="W59" s="17" t="s">
        <v>183</v>
      </c>
      <c r="X59" s="17" t="s">
        <v>183</v>
      </c>
      <c r="Y59" s="17" t="s">
        <v>201</v>
      </c>
      <c r="Z59" s="17" t="s">
        <v>183</v>
      </c>
      <c r="AA59" s="176">
        <v>27</v>
      </c>
      <c r="AB59" s="176">
        <v>23</v>
      </c>
      <c r="AC59" s="176">
        <v>10</v>
      </c>
      <c r="AD59" s="176">
        <v>10</v>
      </c>
      <c r="AE59" s="33">
        <v>1</v>
      </c>
      <c r="AF59" s="33">
        <v>0.9</v>
      </c>
      <c r="AG59" s="25" t="str">
        <f>_xlfn.XLOOKUP(F59,'TFS Details'!F:F,'TFS Details'!H:H)</f>
        <v>UAT In Test</v>
      </c>
      <c r="AH59" s="44">
        <v>24</v>
      </c>
      <c r="AI59" s="44">
        <v>0</v>
      </c>
      <c r="AJ59" s="44">
        <v>0</v>
      </c>
      <c r="AK59" s="44">
        <v>0</v>
      </c>
      <c r="AL59" s="40">
        <f t="shared" si="8"/>
        <v>24</v>
      </c>
      <c r="AM59" s="41">
        <f t="shared" si="0"/>
        <v>1</v>
      </c>
      <c r="AN59" s="41">
        <f t="shared" si="6"/>
        <v>1</v>
      </c>
      <c r="AO59" s="25"/>
      <c r="AP59" s="25" t="str">
        <f>_xlfn.XLOOKUP(F59,'TFS Details'!F:F,'TFS Details'!I:I)</f>
        <v>GoRetro</v>
      </c>
      <c r="AQ59" s="25" t="str">
        <f>_xlfn.XLOOKUP(AP59,'TFS Details'!I:I,'TFS Details'!AE:AE)</f>
        <v>sowjanya.kari</v>
      </c>
    </row>
    <row r="60" spans="1:43" ht="42">
      <c r="A60" s="24" t="str">
        <f>_xlfn.XLOOKUP(F60,'TFS Details'!F:F,'TFS Details'!D:D)</f>
        <v>Role Rename</v>
      </c>
      <c r="B60" s="24" t="str">
        <f>_xlfn.XLOOKUP(F60,'TFS Details'!F:F,'TFS Details'!A:A)</f>
        <v>March Release NextGen Enhancements</v>
      </c>
      <c r="C60" s="64">
        <f>_xlfn.XLOOKUP(F60,'TFS Details'!F:F,'TFS Details'!E:E)</f>
        <v>4365826</v>
      </c>
      <c r="D60" s="17" t="s">
        <v>15</v>
      </c>
      <c r="E60" s="17" t="s">
        <v>308</v>
      </c>
      <c r="F60" s="116">
        <v>4391283</v>
      </c>
      <c r="G60" s="83" t="s">
        <v>243</v>
      </c>
      <c r="H60" s="83" t="s">
        <v>286</v>
      </c>
      <c r="I60" s="239"/>
      <c r="J60" s="67"/>
      <c r="K60" s="97" t="s">
        <v>18</v>
      </c>
      <c r="L60" s="188" t="s">
        <v>309</v>
      </c>
      <c r="M60" s="23" t="s">
        <v>70</v>
      </c>
      <c r="N60" s="17"/>
      <c r="O60" s="134"/>
      <c r="Q60" s="176"/>
      <c r="R60" s="176"/>
      <c r="S60" s="176"/>
      <c r="T60" s="176"/>
      <c r="W60" s="17" t="s">
        <v>183</v>
      </c>
      <c r="X60" s="17" t="s">
        <v>183</v>
      </c>
      <c r="Y60" s="17" t="s">
        <v>246</v>
      </c>
      <c r="Z60" s="17" t="s">
        <v>183</v>
      </c>
      <c r="AA60" s="176">
        <v>31</v>
      </c>
      <c r="AB60" s="176">
        <v>24</v>
      </c>
      <c r="AC60" s="176">
        <v>0</v>
      </c>
      <c r="AD60" s="176">
        <v>24</v>
      </c>
      <c r="AE60" s="33">
        <v>0.9</v>
      </c>
      <c r="AF60" s="33">
        <v>0.9</v>
      </c>
      <c r="AG60" s="25" t="str">
        <f>_xlfn.XLOOKUP(F60,'TFS Details'!F:F,'TFS Details'!H:H)</f>
        <v>UAT In Test</v>
      </c>
      <c r="AH60" s="44">
        <v>24</v>
      </c>
      <c r="AI60" s="44">
        <v>0</v>
      </c>
      <c r="AJ60" s="44">
        <v>0</v>
      </c>
      <c r="AK60" s="44">
        <v>0</v>
      </c>
      <c r="AL60" s="40">
        <f t="shared" si="8"/>
        <v>24</v>
      </c>
      <c r="AM60" s="41">
        <f t="shared" si="0"/>
        <v>1</v>
      </c>
      <c r="AN60" s="41">
        <f t="shared" si="6"/>
        <v>1</v>
      </c>
      <c r="AO60" s="126" t="s">
        <v>310</v>
      </c>
      <c r="AP60" s="25" t="str">
        <f>_xlfn.XLOOKUP(F60,'TFS Details'!F:F,'TFS Details'!I:I)</f>
        <v>NGTransformers</v>
      </c>
      <c r="AQ60" s="25" t="str">
        <f>_xlfn.XLOOKUP(AP60,'TFS Details'!I:I,'TFS Details'!AE:AE)</f>
        <v>sowjanya.kari</v>
      </c>
    </row>
    <row r="61" spans="1:43" ht="27.95">
      <c r="A61" s="24" t="s">
        <v>311</v>
      </c>
      <c r="B61" s="24" t="str">
        <f>_xlfn.XLOOKUP(F61,'TFS Details'!F:F,'TFS Details'!A:A)</f>
        <v>Value Shaping –Enhancements</v>
      </c>
      <c r="C61" s="64">
        <f>_xlfn.XLOOKUP(F61,'TFS Details'!F:F,'TFS Details'!E:E)</f>
        <v>4330994</v>
      </c>
      <c r="D61" s="17" t="s">
        <v>15</v>
      </c>
      <c r="E61" s="17" t="s">
        <v>312</v>
      </c>
      <c r="F61" s="116">
        <v>4364562</v>
      </c>
      <c r="G61" s="83" t="s">
        <v>236</v>
      </c>
      <c r="H61" s="83" t="s">
        <v>286</v>
      </c>
      <c r="I61" s="239"/>
      <c r="J61" s="67" t="s">
        <v>63</v>
      </c>
      <c r="K61" s="68" t="s">
        <v>1</v>
      </c>
      <c r="L61" s="188"/>
      <c r="M61" s="23"/>
      <c r="N61" s="17" t="s">
        <v>277</v>
      </c>
      <c r="O61" s="134">
        <v>1</v>
      </c>
      <c r="P61" s="33">
        <v>1</v>
      </c>
      <c r="Q61" s="176">
        <v>28</v>
      </c>
      <c r="R61" s="176">
        <v>5</v>
      </c>
      <c r="S61" s="176">
        <v>0</v>
      </c>
      <c r="T61" s="176">
        <v>5</v>
      </c>
      <c r="U61" s="33">
        <v>0.6</v>
      </c>
      <c r="V61" s="33">
        <v>0.6</v>
      </c>
      <c r="W61" s="17" t="s">
        <v>183</v>
      </c>
      <c r="X61" s="17" t="s">
        <v>183</v>
      </c>
      <c r="Y61" s="17" t="s">
        <v>183</v>
      </c>
      <c r="Z61" s="17" t="s">
        <v>183</v>
      </c>
      <c r="AA61" s="176">
        <v>13</v>
      </c>
      <c r="AB61" s="176">
        <v>13</v>
      </c>
      <c r="AC61" s="176">
        <v>0</v>
      </c>
      <c r="AD61" s="176">
        <v>13</v>
      </c>
      <c r="AE61" s="33">
        <v>0.9</v>
      </c>
      <c r="AF61" s="33">
        <v>0.9</v>
      </c>
      <c r="AG61" s="25" t="str">
        <f>_xlfn.XLOOKUP(F61,'TFS Details'!F:F,'TFS Details'!H:H)</f>
        <v>Test Complete</v>
      </c>
      <c r="AH61" s="44">
        <v>13</v>
      </c>
      <c r="AI61" s="44">
        <v>0</v>
      </c>
      <c r="AJ61" s="44">
        <v>0</v>
      </c>
      <c r="AK61" s="44">
        <v>0</v>
      </c>
      <c r="AL61" s="40">
        <f t="shared" si="8"/>
        <v>13</v>
      </c>
      <c r="AM61" s="41">
        <f t="shared" si="0"/>
        <v>1</v>
      </c>
      <c r="AN61" s="41">
        <f t="shared" si="6"/>
        <v>1</v>
      </c>
      <c r="AO61" s="126" t="s">
        <v>313</v>
      </c>
      <c r="AP61" s="25" t="str">
        <f>_xlfn.XLOOKUP(F61,'TFS Details'!F:F,'TFS Details'!I:I)</f>
        <v>Pirates</v>
      </c>
      <c r="AQ61" s="25" t="str">
        <f>_xlfn.XLOOKUP(AP61,'TFS Details'!I:I,'TFS Details'!AE:AE)</f>
        <v>pandidurai.ks</v>
      </c>
    </row>
    <row r="62" spans="1:43" ht="27.95">
      <c r="A62" s="24" t="s">
        <v>311</v>
      </c>
      <c r="B62" s="24" t="str">
        <f>_xlfn.XLOOKUP(F62,'TFS Details'!F:F,'TFS Details'!A:A)</f>
        <v>PLD - Advisory SA Role</v>
      </c>
      <c r="C62" s="64">
        <f>_xlfn.XLOOKUP(F62,'TFS Details'!F:F,'TFS Details'!E:E)</f>
        <v>4386527</v>
      </c>
      <c r="D62" s="17" t="s">
        <v>15</v>
      </c>
      <c r="E62" s="17" t="s">
        <v>314</v>
      </c>
      <c r="F62" s="116">
        <v>4373066</v>
      </c>
      <c r="G62" s="83" t="s">
        <v>236</v>
      </c>
      <c r="H62" s="83" t="s">
        <v>286</v>
      </c>
      <c r="I62" s="239"/>
      <c r="J62" s="67" t="s">
        <v>83</v>
      </c>
      <c r="K62" s="68" t="s">
        <v>1</v>
      </c>
      <c r="L62" s="188"/>
      <c r="M62" s="23"/>
      <c r="N62" s="17" t="s">
        <v>182</v>
      </c>
      <c r="O62" s="134">
        <v>1</v>
      </c>
      <c r="P62" s="33">
        <v>1</v>
      </c>
      <c r="Q62" s="176">
        <v>25</v>
      </c>
      <c r="R62" s="176">
        <v>5</v>
      </c>
      <c r="S62" s="176">
        <v>0</v>
      </c>
      <c r="T62" s="176">
        <v>5</v>
      </c>
      <c r="U62" s="33">
        <v>0.7</v>
      </c>
      <c r="V62" s="33">
        <v>0.7</v>
      </c>
      <c r="W62" s="17" t="s">
        <v>183</v>
      </c>
      <c r="X62" s="17" t="s">
        <v>183</v>
      </c>
      <c r="Y62" s="17" t="s">
        <v>183</v>
      </c>
      <c r="Z62" s="17" t="s">
        <v>183</v>
      </c>
      <c r="AA62" s="176">
        <v>10</v>
      </c>
      <c r="AB62" s="176">
        <v>10</v>
      </c>
      <c r="AC62" s="176">
        <v>0</v>
      </c>
      <c r="AD62" s="176">
        <v>10</v>
      </c>
      <c r="AE62" s="33">
        <v>0.9</v>
      </c>
      <c r="AF62" s="33">
        <v>0.9</v>
      </c>
      <c r="AG62" s="25" t="str">
        <f>_xlfn.XLOOKUP(F62,'TFS Details'!F:F,'TFS Details'!H:H)</f>
        <v>UAT In Test</v>
      </c>
      <c r="AH62" s="44">
        <v>10</v>
      </c>
      <c r="AI62" s="44">
        <v>0</v>
      </c>
      <c r="AJ62" s="44">
        <v>0</v>
      </c>
      <c r="AK62" s="44">
        <v>0</v>
      </c>
      <c r="AL62" s="40">
        <f t="shared" si="8"/>
        <v>10</v>
      </c>
      <c r="AM62" s="41">
        <f t="shared" si="0"/>
        <v>1</v>
      </c>
      <c r="AN62" s="41">
        <f t="shared" si="6"/>
        <v>1</v>
      </c>
      <c r="AO62" s="126" t="s">
        <v>315</v>
      </c>
      <c r="AP62" s="25" t="str">
        <f>_xlfn.XLOOKUP(F62,'TFS Details'!F:F,'TFS Details'!I:I)</f>
        <v>Pirates</v>
      </c>
      <c r="AQ62" s="25" t="str">
        <f>_xlfn.XLOOKUP(AP62,'TFS Details'!I:I,'TFS Details'!AE:AE)</f>
        <v>pandidurai.ks</v>
      </c>
    </row>
    <row r="63" spans="1:43" ht="27.95">
      <c r="A63" s="24" t="s">
        <v>280</v>
      </c>
      <c r="B63" s="24" t="str">
        <f>_xlfn.XLOOKUP(F63,'TFS Details'!F:F,'TFS Details'!A:A)</f>
        <v>Value Shaping –Enhancements</v>
      </c>
      <c r="C63" s="64">
        <f>_xlfn.XLOOKUP(F63,'TFS Details'!F:F,'TFS Details'!E:E)</f>
        <v>4330994</v>
      </c>
      <c r="D63" s="17" t="s">
        <v>15</v>
      </c>
      <c r="E63" s="17" t="s">
        <v>316</v>
      </c>
      <c r="F63" s="116">
        <v>4364419</v>
      </c>
      <c r="G63" s="83" t="s">
        <v>236</v>
      </c>
      <c r="H63" s="83" t="s">
        <v>286</v>
      </c>
      <c r="I63" s="237"/>
      <c r="J63" s="184" t="s">
        <v>98</v>
      </c>
      <c r="K63" s="68" t="s">
        <v>1</v>
      </c>
      <c r="L63" s="188"/>
      <c r="M63" s="23"/>
      <c r="N63" s="97" t="s">
        <v>182</v>
      </c>
      <c r="O63" s="134">
        <v>1</v>
      </c>
      <c r="P63" s="33">
        <v>1</v>
      </c>
      <c r="Q63" s="176">
        <v>13</v>
      </c>
      <c r="R63" s="176">
        <v>5</v>
      </c>
      <c r="S63" s="176">
        <v>0</v>
      </c>
      <c r="T63" s="176">
        <v>5</v>
      </c>
      <c r="U63" s="33">
        <v>0.6</v>
      </c>
      <c r="V63" s="33">
        <v>0.7</v>
      </c>
      <c r="W63" s="17" t="s">
        <v>183</v>
      </c>
      <c r="X63" s="17" t="s">
        <v>183</v>
      </c>
      <c r="Y63" s="17" t="s">
        <v>183</v>
      </c>
      <c r="Z63" s="17" t="s">
        <v>183</v>
      </c>
      <c r="AA63" s="176">
        <v>34</v>
      </c>
      <c r="AB63" s="176">
        <v>14</v>
      </c>
      <c r="AC63" s="176">
        <v>0</v>
      </c>
      <c r="AD63" s="176">
        <v>14</v>
      </c>
      <c r="AE63" s="33">
        <v>0.9</v>
      </c>
      <c r="AF63" s="33">
        <v>0.9</v>
      </c>
      <c r="AG63" s="25" t="str">
        <f>_xlfn.XLOOKUP(F63,'TFS Details'!F:F,'TFS Details'!H:H)</f>
        <v>Test Complete</v>
      </c>
      <c r="AH63" s="44">
        <v>14</v>
      </c>
      <c r="AI63" s="44">
        <v>0</v>
      </c>
      <c r="AJ63" s="44">
        <v>0</v>
      </c>
      <c r="AK63" s="44">
        <v>0</v>
      </c>
      <c r="AL63" s="40">
        <f t="shared" si="8"/>
        <v>14</v>
      </c>
      <c r="AM63" s="41">
        <f t="shared" si="0"/>
        <v>1</v>
      </c>
      <c r="AN63" s="41">
        <f t="shared" si="6"/>
        <v>1</v>
      </c>
      <c r="AO63" s="126" t="s">
        <v>317</v>
      </c>
      <c r="AP63" s="25" t="str">
        <f>_xlfn.XLOOKUP(F63,'TFS Details'!F:F,'TFS Details'!I:I)</f>
        <v>TechPhantoms</v>
      </c>
      <c r="AQ63" s="25" t="str">
        <f>_xlfn.XLOOKUP(AP63,'TFS Details'!I:I,'TFS Details'!AE:AE)</f>
        <v>sowjanya.kari</v>
      </c>
    </row>
    <row r="64" spans="1:43">
      <c r="A64" s="24" t="s">
        <v>318</v>
      </c>
      <c r="B64" s="24" t="str">
        <f>_xlfn.XLOOKUP(F64,'TFS Details'!F:F,'TFS Details'!A:A)</f>
        <v>Value Shaping –Enhancements</v>
      </c>
      <c r="C64" s="64">
        <f>_xlfn.XLOOKUP(F64,'TFS Details'!F:F,'TFS Details'!E:E)</f>
        <v>4330994</v>
      </c>
      <c r="D64" s="17" t="s">
        <v>15</v>
      </c>
      <c r="E64" s="17" t="s">
        <v>319</v>
      </c>
      <c r="F64" s="116">
        <v>4364536</v>
      </c>
      <c r="G64" s="83" t="s">
        <v>240</v>
      </c>
      <c r="H64" s="19" t="s">
        <v>257</v>
      </c>
      <c r="I64" s="237"/>
      <c r="J64" s="184" t="s">
        <v>94</v>
      </c>
      <c r="K64" s="68" t="s">
        <v>1</v>
      </c>
      <c r="L64" s="188"/>
      <c r="M64" s="23"/>
      <c r="N64" s="17" t="s">
        <v>191</v>
      </c>
      <c r="O64" s="134">
        <v>9</v>
      </c>
      <c r="P64" s="33">
        <v>1</v>
      </c>
      <c r="Q64" s="176">
        <v>7</v>
      </c>
      <c r="R64" s="176">
        <v>7</v>
      </c>
      <c r="S64" s="176">
        <v>2</v>
      </c>
      <c r="T64" s="176">
        <v>9</v>
      </c>
      <c r="U64" s="33">
        <v>0.85</v>
      </c>
      <c r="V64" s="33">
        <v>0.85</v>
      </c>
      <c r="W64" s="17" t="s">
        <v>183</v>
      </c>
      <c r="X64" s="17" t="s">
        <v>183</v>
      </c>
      <c r="Y64" s="17" t="s">
        <v>183</v>
      </c>
      <c r="Z64" s="17" t="s">
        <v>183</v>
      </c>
      <c r="AA64" s="176">
        <v>70</v>
      </c>
      <c r="AB64" s="176">
        <v>7</v>
      </c>
      <c r="AC64" s="176">
        <v>0</v>
      </c>
      <c r="AD64" s="176">
        <v>7</v>
      </c>
      <c r="AE64" s="33">
        <v>1</v>
      </c>
      <c r="AF64" s="33">
        <v>1</v>
      </c>
      <c r="AG64" s="25" t="str">
        <f>_xlfn.XLOOKUP(F64,'TFS Details'!F:F,'TFS Details'!H:H)</f>
        <v>Test Complete</v>
      </c>
      <c r="AH64" s="44">
        <v>7</v>
      </c>
      <c r="AI64" s="44">
        <v>0</v>
      </c>
      <c r="AJ64" s="44">
        <v>0</v>
      </c>
      <c r="AK64" s="44">
        <v>0</v>
      </c>
      <c r="AL64" s="40">
        <f t="shared" si="8"/>
        <v>7</v>
      </c>
      <c r="AM64" s="41">
        <f t="shared" si="0"/>
        <v>1</v>
      </c>
      <c r="AN64" s="41">
        <f t="shared" si="6"/>
        <v>1</v>
      </c>
      <c r="AO64" s="25" t="s">
        <v>320</v>
      </c>
      <c r="AP64" s="25" t="str">
        <f>_xlfn.XLOOKUP(F64,'TFS Details'!F:F,'TFS Details'!I:I)</f>
        <v>TechWarriors</v>
      </c>
      <c r="AQ64" s="25" t="str">
        <f>_xlfn.XLOOKUP(AP64,'TFS Details'!I:I,'TFS Details'!AE:AE)</f>
        <v>sowjanya.kari</v>
      </c>
    </row>
    <row r="65" spans="1:43">
      <c r="A65" s="24" t="s">
        <v>247</v>
      </c>
      <c r="B65" s="24" t="str">
        <f>_xlfn.XLOOKUP(F65,'TFS Details'!F:F,'TFS Details'!A:A)</f>
        <v>Value Shaping –Enhancements</v>
      </c>
      <c r="C65" s="64">
        <f>_xlfn.XLOOKUP(F65,'TFS Details'!F:F,'TFS Details'!E:E)</f>
        <v>4330994</v>
      </c>
      <c r="D65" s="17" t="s">
        <v>15</v>
      </c>
      <c r="E65" s="17" t="s">
        <v>321</v>
      </c>
      <c r="F65" s="116">
        <v>4364567</v>
      </c>
      <c r="G65" s="83" t="s">
        <v>240</v>
      </c>
      <c r="H65" s="83" t="s">
        <v>286</v>
      </c>
      <c r="I65" s="239"/>
      <c r="J65" s="67" t="s">
        <v>63</v>
      </c>
      <c r="K65" s="68" t="s">
        <v>1</v>
      </c>
      <c r="L65" s="188"/>
      <c r="M65" s="23"/>
      <c r="N65" s="17" t="s">
        <v>277</v>
      </c>
      <c r="O65" s="134">
        <v>1</v>
      </c>
      <c r="P65" s="33">
        <v>1</v>
      </c>
      <c r="Q65" s="176">
        <v>26</v>
      </c>
      <c r="R65" s="176">
        <v>5</v>
      </c>
      <c r="S65" s="176">
        <v>0</v>
      </c>
      <c r="T65" s="176">
        <v>5</v>
      </c>
      <c r="U65" s="33">
        <v>0.6</v>
      </c>
      <c r="V65" s="33">
        <v>0.6</v>
      </c>
      <c r="W65" s="17" t="s">
        <v>183</v>
      </c>
      <c r="X65" s="17" t="s">
        <v>183</v>
      </c>
      <c r="Y65" s="17" t="s">
        <v>183</v>
      </c>
      <c r="Z65" s="17" t="s">
        <v>183</v>
      </c>
      <c r="AA65" s="176">
        <v>70</v>
      </c>
      <c r="AB65" s="176">
        <v>7</v>
      </c>
      <c r="AC65" s="176">
        <v>0</v>
      </c>
      <c r="AD65" s="176">
        <v>7</v>
      </c>
      <c r="AE65" s="33">
        <v>0.9</v>
      </c>
      <c r="AF65" s="33">
        <v>0.9</v>
      </c>
      <c r="AG65" s="25" t="str">
        <f>_xlfn.XLOOKUP(F65,'TFS Details'!F:F,'TFS Details'!H:H)</f>
        <v>Test Complete</v>
      </c>
      <c r="AH65" s="44">
        <v>7</v>
      </c>
      <c r="AI65" s="44">
        <v>0</v>
      </c>
      <c r="AJ65" s="44">
        <v>0</v>
      </c>
      <c r="AK65" s="44">
        <v>0</v>
      </c>
      <c r="AL65" s="40">
        <f t="shared" si="8"/>
        <v>7</v>
      </c>
      <c r="AM65" s="41">
        <f t="shared" si="0"/>
        <v>1</v>
      </c>
      <c r="AN65" s="41">
        <f t="shared" si="6"/>
        <v>1</v>
      </c>
      <c r="AO65" s="25" t="s">
        <v>264</v>
      </c>
      <c r="AP65" s="25" t="str">
        <f>_xlfn.XLOOKUP(F65,'TFS Details'!F:F,'TFS Details'!I:I)</f>
        <v>TechWarriors</v>
      </c>
      <c r="AQ65" s="25" t="str">
        <f>_xlfn.XLOOKUP(AP65,'TFS Details'!I:I,'TFS Details'!AE:AE)</f>
        <v>sowjanya.kari</v>
      </c>
    </row>
    <row r="66" spans="1:43">
      <c r="A66" s="24" t="s">
        <v>303</v>
      </c>
      <c r="B66" s="24" t="str">
        <f>_xlfn.XLOOKUP(F66,'TFS Details'!F:F,'TFS Details'!A:A)</f>
        <v>PLD - Advisory SA Role</v>
      </c>
      <c r="C66" s="64">
        <f>_xlfn.XLOOKUP(F66,'TFS Details'!F:F,'TFS Details'!E:E)</f>
        <v>4386527</v>
      </c>
      <c r="D66" s="17" t="s">
        <v>15</v>
      </c>
      <c r="E66" s="17" t="s">
        <v>322</v>
      </c>
      <c r="F66" s="116">
        <v>4373070</v>
      </c>
      <c r="G66" s="83" t="s">
        <v>240</v>
      </c>
      <c r="H66" s="83" t="s">
        <v>286</v>
      </c>
      <c r="I66" s="239"/>
      <c r="J66" s="67" t="s">
        <v>63</v>
      </c>
      <c r="K66" s="68" t="s">
        <v>1</v>
      </c>
      <c r="L66" s="188"/>
      <c r="M66" s="23"/>
      <c r="N66" s="17" t="s">
        <v>277</v>
      </c>
      <c r="O66" s="134">
        <v>1</v>
      </c>
      <c r="P66" s="33">
        <v>1</v>
      </c>
      <c r="Q66" s="176">
        <v>10</v>
      </c>
      <c r="R66" s="176">
        <v>5</v>
      </c>
      <c r="S66" s="176">
        <v>0</v>
      </c>
      <c r="T66" s="176">
        <v>5</v>
      </c>
      <c r="U66" s="33">
        <v>0.9</v>
      </c>
      <c r="V66" s="33">
        <v>0.9</v>
      </c>
      <c r="W66" s="17" t="s">
        <v>183</v>
      </c>
      <c r="X66" s="17" t="s">
        <v>183</v>
      </c>
      <c r="Y66" s="17" t="s">
        <v>183</v>
      </c>
      <c r="Z66" s="17" t="s">
        <v>183</v>
      </c>
      <c r="AA66" s="176">
        <v>26</v>
      </c>
      <c r="AB66" s="176">
        <v>15</v>
      </c>
      <c r="AC66" s="176">
        <v>0</v>
      </c>
      <c r="AD66" s="176">
        <v>15</v>
      </c>
      <c r="AE66" s="33">
        <v>0.95</v>
      </c>
      <c r="AF66" s="33">
        <v>0.95</v>
      </c>
      <c r="AG66" s="25" t="str">
        <f>_xlfn.XLOOKUP(F66,'TFS Details'!F:F,'TFS Details'!H:H)</f>
        <v>UAT In Test</v>
      </c>
      <c r="AH66" s="44">
        <v>15</v>
      </c>
      <c r="AI66" s="44">
        <v>0</v>
      </c>
      <c r="AJ66" s="44">
        <v>0</v>
      </c>
      <c r="AK66" s="44">
        <v>0</v>
      </c>
      <c r="AL66" s="40">
        <f t="shared" si="8"/>
        <v>15</v>
      </c>
      <c r="AM66" s="41">
        <f t="shared" ref="AM66:AM129" si="9">IF(AH66+AI66=0,0,SUM(AH66:AI66)/AL66)</f>
        <v>1</v>
      </c>
      <c r="AN66" s="41">
        <f t="shared" si="6"/>
        <v>1</v>
      </c>
      <c r="AO66" s="25" t="s">
        <v>264</v>
      </c>
      <c r="AP66" s="25" t="str">
        <f>_xlfn.XLOOKUP(F66,'TFS Details'!F:F,'TFS Details'!I:I)</f>
        <v>TechWarriors</v>
      </c>
      <c r="AQ66" s="25" t="str">
        <f>_xlfn.XLOOKUP(AP66,'TFS Details'!I:I,'TFS Details'!AE:AE)</f>
        <v>sowjanya.kari</v>
      </c>
    </row>
    <row r="67" spans="1:43" ht="27.95">
      <c r="A67" s="24" t="s">
        <v>318</v>
      </c>
      <c r="B67" s="24" t="str">
        <f>_xlfn.XLOOKUP(F67,'TFS Details'!F:F,'TFS Details'!A:A)</f>
        <v>PLD - Advisory SA Role</v>
      </c>
      <c r="C67" s="64">
        <f>_xlfn.XLOOKUP(F67,'TFS Details'!F:F,'TFS Details'!E:E)</f>
        <v>4386527</v>
      </c>
      <c r="D67" s="17" t="s">
        <v>15</v>
      </c>
      <c r="E67" s="17" t="s">
        <v>323</v>
      </c>
      <c r="F67" s="116">
        <v>4373007</v>
      </c>
      <c r="G67" s="83" t="s">
        <v>240</v>
      </c>
      <c r="H67" s="83" t="s">
        <v>286</v>
      </c>
      <c r="I67" s="237"/>
      <c r="J67" s="184" t="s">
        <v>98</v>
      </c>
      <c r="K67" s="68" t="s">
        <v>1</v>
      </c>
      <c r="L67" s="188"/>
      <c r="M67" s="23"/>
      <c r="N67" s="17" t="s">
        <v>182</v>
      </c>
      <c r="O67" s="134">
        <v>1</v>
      </c>
      <c r="P67" s="33">
        <v>1</v>
      </c>
      <c r="Q67" s="176">
        <v>10</v>
      </c>
      <c r="R67" s="176">
        <v>6</v>
      </c>
      <c r="S67" s="176">
        <v>0</v>
      </c>
      <c r="T67" s="176">
        <v>6</v>
      </c>
      <c r="U67" s="33">
        <v>0.7</v>
      </c>
      <c r="V67" s="33">
        <v>0.7</v>
      </c>
      <c r="W67" s="17" t="s">
        <v>183</v>
      </c>
      <c r="X67" s="17" t="s">
        <v>183</v>
      </c>
      <c r="Y67" s="17" t="s">
        <v>183</v>
      </c>
      <c r="Z67" s="17" t="s">
        <v>183</v>
      </c>
      <c r="AA67" s="176">
        <v>26</v>
      </c>
      <c r="AB67" s="176">
        <v>13</v>
      </c>
      <c r="AC67" s="176">
        <v>0</v>
      </c>
      <c r="AD67" s="176">
        <v>13</v>
      </c>
      <c r="AE67" s="33">
        <v>0.95</v>
      </c>
      <c r="AF67" s="33">
        <v>0.95</v>
      </c>
      <c r="AG67" s="25" t="str">
        <f>_xlfn.XLOOKUP(F67,'TFS Details'!F:F,'TFS Details'!H:H)</f>
        <v>UAT In Test</v>
      </c>
      <c r="AH67" s="44">
        <v>13</v>
      </c>
      <c r="AI67" s="44">
        <v>0</v>
      </c>
      <c r="AJ67" s="44">
        <v>0</v>
      </c>
      <c r="AK67" s="44">
        <v>0</v>
      </c>
      <c r="AL67" s="40">
        <f t="shared" si="8"/>
        <v>13</v>
      </c>
      <c r="AM67" s="41">
        <f t="shared" si="9"/>
        <v>1</v>
      </c>
      <c r="AN67" s="41">
        <f t="shared" si="6"/>
        <v>1</v>
      </c>
      <c r="AO67" s="126" t="s">
        <v>317</v>
      </c>
      <c r="AP67" s="25" t="str">
        <f>_xlfn.XLOOKUP(F67,'TFS Details'!F:F,'TFS Details'!I:I)</f>
        <v>TechWarriors</v>
      </c>
      <c r="AQ67" s="25" t="str">
        <f>_xlfn.XLOOKUP(AP67,'TFS Details'!I:I,'TFS Details'!AE:AE)</f>
        <v>sowjanya.kari</v>
      </c>
    </row>
    <row r="68" spans="1:43">
      <c r="A68" s="24" t="str">
        <f>_xlfn.XLOOKUP(F68,'TFS Details'!F:F,'TFS Details'!D:D)</f>
        <v>Role Rename</v>
      </c>
      <c r="B68" s="24" t="str">
        <f>_xlfn.XLOOKUP(F68,'TFS Details'!F:F,'TFS Details'!A:A)</f>
        <v>March Release NextGen Enhancements</v>
      </c>
      <c r="C68" s="64">
        <f>_xlfn.XLOOKUP(F68,'TFS Details'!F:F,'TFS Details'!E:E)</f>
        <v>4365826</v>
      </c>
      <c r="D68" s="17" t="s">
        <v>15</v>
      </c>
      <c r="E68" s="17" t="s">
        <v>308</v>
      </c>
      <c r="F68" s="116">
        <v>4391289</v>
      </c>
      <c r="G68" s="83" t="s">
        <v>249</v>
      </c>
      <c r="H68" s="83" t="s">
        <v>250</v>
      </c>
      <c r="I68" s="239"/>
      <c r="J68" s="67"/>
      <c r="K68" s="97" t="s">
        <v>18</v>
      </c>
      <c r="L68" s="187" t="s">
        <v>272</v>
      </c>
      <c r="M68" s="23" t="s">
        <v>48</v>
      </c>
      <c r="N68" s="17"/>
      <c r="O68" s="134"/>
      <c r="Q68" s="176"/>
      <c r="R68" s="176"/>
      <c r="S68" s="176"/>
      <c r="T68" s="176"/>
      <c r="W68" s="17" t="s">
        <v>183</v>
      </c>
      <c r="X68" s="17" t="s">
        <v>183</v>
      </c>
      <c r="Y68" s="17" t="s">
        <v>201</v>
      </c>
      <c r="Z68" s="17" t="s">
        <v>183</v>
      </c>
      <c r="AA68" s="176">
        <v>24</v>
      </c>
      <c r="AB68" s="176">
        <v>18</v>
      </c>
      <c r="AC68" s="176">
        <v>10</v>
      </c>
      <c r="AD68" s="176">
        <v>10</v>
      </c>
      <c r="AE68" s="33">
        <v>1</v>
      </c>
      <c r="AF68" s="33">
        <v>0.9</v>
      </c>
      <c r="AG68" s="25" t="str">
        <f>_xlfn.XLOOKUP(F68,'TFS Details'!F:F,'TFS Details'!H:H)</f>
        <v>UAT In Test</v>
      </c>
      <c r="AH68" s="44">
        <v>24</v>
      </c>
      <c r="AI68" s="44">
        <v>0</v>
      </c>
      <c r="AJ68" s="44">
        <v>0</v>
      </c>
      <c r="AK68" s="44">
        <v>0</v>
      </c>
      <c r="AL68" s="40">
        <f t="shared" si="8"/>
        <v>24</v>
      </c>
      <c r="AM68" s="41">
        <f t="shared" si="9"/>
        <v>1</v>
      </c>
      <c r="AN68" s="41">
        <f t="shared" si="6"/>
        <v>1</v>
      </c>
      <c r="AO68" s="25"/>
      <c r="AP68" s="25" t="str">
        <f>_xlfn.XLOOKUP(F68,'TFS Details'!F:F,'TFS Details'!I:I)</f>
        <v>TechWarriors</v>
      </c>
      <c r="AQ68" s="25" t="str">
        <f>_xlfn.XLOOKUP(AP68,'TFS Details'!I:I,'TFS Details'!AE:AE)</f>
        <v>sowjanya.kari</v>
      </c>
    </row>
    <row r="69" spans="1:43">
      <c r="A69" s="24" t="str">
        <f>_xlfn.XLOOKUP(F69,'TFS Details'!F:F,'TFS Details'!D:D)</f>
        <v>DFD-myISP</v>
      </c>
      <c r="B69" s="24" t="str">
        <f>_xlfn.XLOOKUP(F69,'TFS Details'!F:F,'TFS Details'!A:A)</f>
        <v>Song Deals Compliant Logic Update</v>
      </c>
      <c r="C69" s="64">
        <f>_xlfn.XLOOKUP(F69,'TFS Details'!F:F,'TFS Details'!E:E)</f>
        <v>4317244</v>
      </c>
      <c r="D69" s="17" t="s">
        <v>15</v>
      </c>
      <c r="E69" s="17" t="s">
        <v>324</v>
      </c>
      <c r="F69" s="112">
        <v>4386412</v>
      </c>
      <c r="G69" s="69" t="s">
        <v>240</v>
      </c>
      <c r="H69" s="83" t="s">
        <v>286</v>
      </c>
      <c r="I69" s="83"/>
      <c r="K69" s="97" t="s">
        <v>18</v>
      </c>
      <c r="L69" s="185" t="s">
        <v>228</v>
      </c>
      <c r="M69" s="23" t="s">
        <v>64</v>
      </c>
      <c r="N69" s="17"/>
      <c r="O69" s="134"/>
      <c r="Q69" s="176"/>
      <c r="R69" s="176"/>
      <c r="S69" s="176"/>
      <c r="T69" s="176"/>
      <c r="W69" s="17" t="s">
        <v>183</v>
      </c>
      <c r="X69" s="17" t="s">
        <v>183</v>
      </c>
      <c r="Y69" s="17" t="s">
        <v>183</v>
      </c>
      <c r="Z69" s="17" t="s">
        <v>183</v>
      </c>
      <c r="AA69" s="176">
        <v>48</v>
      </c>
      <c r="AB69" s="176">
        <v>13</v>
      </c>
      <c r="AC69" s="176">
        <v>2</v>
      </c>
      <c r="AD69" s="176">
        <v>15</v>
      </c>
      <c r="AE69" s="33">
        <v>0.95</v>
      </c>
      <c r="AF69" s="33">
        <v>0.95</v>
      </c>
      <c r="AG69" s="25" t="str">
        <f>_xlfn.XLOOKUP(F69,'TFS Details'!F:F,'TFS Details'!H:H)</f>
        <v>UAT In Test</v>
      </c>
      <c r="AH69" s="44">
        <v>15</v>
      </c>
      <c r="AI69" s="44">
        <v>0</v>
      </c>
      <c r="AJ69" s="44">
        <v>0</v>
      </c>
      <c r="AK69" s="44">
        <v>0</v>
      </c>
      <c r="AL69" s="40">
        <f t="shared" si="8"/>
        <v>15</v>
      </c>
      <c r="AM69" s="41">
        <f t="shared" si="9"/>
        <v>1</v>
      </c>
      <c r="AN69" s="41">
        <f t="shared" si="6"/>
        <v>1</v>
      </c>
      <c r="AO69" s="25" t="s">
        <v>325</v>
      </c>
      <c r="AP69" s="25" t="str">
        <f>_xlfn.XLOOKUP(F69,'TFS Details'!F:F,'TFS Details'!I:I)</f>
        <v>MYISP_Revamp_UI</v>
      </c>
      <c r="AQ69" s="25" t="str">
        <f>_xlfn.XLOOKUP(AP69,'TFS Details'!I:I,'TFS Details'!AE:AE)</f>
        <v>vikrant.r.mohite</v>
      </c>
    </row>
    <row r="70" spans="1:43">
      <c r="A70" s="24" t="str">
        <f>_xlfn.XLOOKUP(F70,'TFS Details'!F:F,'TFS Details'!D:D)</f>
        <v>BPMS Onboarding</v>
      </c>
      <c r="B70" s="24" t="str">
        <f>_xlfn.XLOOKUP(F70,'TFS Details'!F:F,'TFS Details'!A:A)</f>
        <v>BPMS Reporting &amp; Compliance UI Suggestions post demo call</v>
      </c>
      <c r="C70" s="64">
        <f>_xlfn.XLOOKUP(F70,'TFS Details'!F:F,'TFS Details'!E:E)</f>
        <v>4316934</v>
      </c>
      <c r="D70" s="17" t="s">
        <v>29</v>
      </c>
      <c r="E70" s="17" t="s">
        <v>326</v>
      </c>
      <c r="F70" s="112">
        <v>4113135</v>
      </c>
      <c r="G70" s="17" t="s">
        <v>327</v>
      </c>
      <c r="I70" s="69"/>
      <c r="J70" s="166" t="s">
        <v>37</v>
      </c>
      <c r="K70" s="69" t="s">
        <v>1</v>
      </c>
      <c r="L70" s="72"/>
      <c r="N70" s="17" t="s">
        <v>182</v>
      </c>
      <c r="O70" s="134">
        <v>6</v>
      </c>
      <c r="P70" s="33">
        <v>1</v>
      </c>
      <c r="Q70" s="176">
        <v>6</v>
      </c>
      <c r="R70" s="176">
        <v>4</v>
      </c>
      <c r="S70" s="176">
        <v>0</v>
      </c>
      <c r="T70" s="176">
        <v>4</v>
      </c>
      <c r="U70" s="33">
        <v>0.6</v>
      </c>
      <c r="V70" s="33">
        <v>0.5</v>
      </c>
      <c r="W70" s="17" t="s">
        <v>183</v>
      </c>
      <c r="X70" s="17" t="s">
        <v>183</v>
      </c>
      <c r="Y70" s="17" t="s">
        <v>183</v>
      </c>
      <c r="Z70" s="17" t="s">
        <v>183</v>
      </c>
      <c r="AA70" s="176">
        <v>18</v>
      </c>
      <c r="AB70" s="176">
        <v>4</v>
      </c>
      <c r="AC70" s="176">
        <v>2</v>
      </c>
      <c r="AD70" s="176">
        <v>5</v>
      </c>
      <c r="AE70" s="33">
        <v>0.78</v>
      </c>
      <c r="AF70" s="33">
        <v>0.7</v>
      </c>
      <c r="AG70" s="25" t="str">
        <f>_xlfn.XLOOKUP(F70,'TFS Details'!F:F,'TFS Details'!H:H)</f>
        <v>Test Complete</v>
      </c>
      <c r="AH70" s="44">
        <v>5</v>
      </c>
      <c r="AI70" s="44">
        <v>0</v>
      </c>
      <c r="AJ70" s="44">
        <v>0</v>
      </c>
      <c r="AK70" s="44">
        <v>0</v>
      </c>
      <c r="AL70" s="40">
        <f t="shared" ref="AL70:AL72" si="10">SUM(AH70:AK70)</f>
        <v>5</v>
      </c>
      <c r="AM70" s="41">
        <f t="shared" si="9"/>
        <v>1</v>
      </c>
      <c r="AN70" s="41">
        <f t="shared" ref="AN70:AN131" si="11">IF(AH70=0,0,AH70/(SUM(AH70:AJ70)))</f>
        <v>1</v>
      </c>
      <c r="AO70" s="25"/>
      <c r="AP70" s="25" t="str">
        <f>_xlfn.XLOOKUP(F70,'TFS Details'!F:F,'TFS Details'!I:I)</f>
        <v>CodeCrafters</v>
      </c>
      <c r="AQ70" s="25" t="str">
        <f>_xlfn.XLOOKUP(AP70,'TFS Details'!I:I,'TFS Details'!AE:AE)</f>
        <v>sona.job</v>
      </c>
    </row>
    <row r="71" spans="1:43">
      <c r="A71" s="24" t="str">
        <f>_xlfn.XLOOKUP(F71,'TFS Details'!F:F,'TFS Details'!D:D)</f>
        <v>BPMS Onboarding</v>
      </c>
      <c r="B71" s="24" t="str">
        <f>_xlfn.XLOOKUP(F71,'TFS Details'!F:F,'TFS Details'!A:A)</f>
        <v>BPMS Reporting &amp; Compliance UI Suggestions post demo call</v>
      </c>
      <c r="C71" s="64">
        <f>_xlfn.XLOOKUP(F71,'TFS Details'!F:F,'TFS Details'!E:E)</f>
        <v>4316934</v>
      </c>
      <c r="D71" s="17" t="s">
        <v>29</v>
      </c>
      <c r="E71" s="17" t="s">
        <v>328</v>
      </c>
      <c r="F71" s="112">
        <v>4113172</v>
      </c>
      <c r="G71" s="17" t="s">
        <v>327</v>
      </c>
      <c r="I71" s="69"/>
      <c r="J71" s="166" t="s">
        <v>42</v>
      </c>
      <c r="K71" s="17" t="s">
        <v>1</v>
      </c>
      <c r="L71" s="16"/>
      <c r="N71" s="17" t="s">
        <v>277</v>
      </c>
      <c r="O71" s="134">
        <v>1</v>
      </c>
      <c r="P71" s="33">
        <v>1</v>
      </c>
      <c r="Q71" s="176">
        <v>16</v>
      </c>
      <c r="R71" s="176">
        <v>3</v>
      </c>
      <c r="S71" s="176">
        <v>1</v>
      </c>
      <c r="T71" s="176">
        <v>1</v>
      </c>
      <c r="U71" s="33">
        <v>0.65</v>
      </c>
      <c r="V71" s="33">
        <v>0.7</v>
      </c>
      <c r="W71" s="17" t="s">
        <v>183</v>
      </c>
      <c r="X71" s="17" t="s">
        <v>183</v>
      </c>
      <c r="Y71" s="17" t="s">
        <v>183</v>
      </c>
      <c r="Z71" s="17" t="s">
        <v>183</v>
      </c>
      <c r="AA71" s="176">
        <v>16</v>
      </c>
      <c r="AB71" s="176">
        <v>3</v>
      </c>
      <c r="AC71" s="176">
        <v>2</v>
      </c>
      <c r="AD71" s="176">
        <v>5</v>
      </c>
      <c r="AE71" s="33">
        <v>0.75</v>
      </c>
      <c r="AF71" s="33">
        <v>0.7</v>
      </c>
      <c r="AG71" s="25" t="str">
        <f>_xlfn.XLOOKUP(F71,'TFS Details'!F:F,'TFS Details'!H:H)</f>
        <v>Test Complete</v>
      </c>
      <c r="AH71" s="44">
        <v>5</v>
      </c>
      <c r="AI71" s="44">
        <v>0</v>
      </c>
      <c r="AJ71" s="44">
        <v>0</v>
      </c>
      <c r="AK71" s="44">
        <v>0</v>
      </c>
      <c r="AL71" s="40">
        <f t="shared" si="10"/>
        <v>5</v>
      </c>
      <c r="AM71" s="41">
        <f t="shared" si="9"/>
        <v>1</v>
      </c>
      <c r="AN71" s="41">
        <f t="shared" si="11"/>
        <v>1</v>
      </c>
      <c r="AO71" s="25"/>
      <c r="AP71" s="25" t="str">
        <f>_xlfn.XLOOKUP(F71,'TFS Details'!F:F,'TFS Details'!I:I)</f>
        <v>CodeCrafters</v>
      </c>
      <c r="AQ71" s="25" t="str">
        <f>_xlfn.XLOOKUP(AP71,'TFS Details'!I:I,'TFS Details'!AE:AE)</f>
        <v>sona.job</v>
      </c>
    </row>
    <row r="72" spans="1:43">
      <c r="A72" s="24" t="str">
        <f>_xlfn.XLOOKUP(F72,'TFS Details'!F:F,'TFS Details'!D:D)</f>
        <v>BPMS Onboarding</v>
      </c>
      <c r="B72" s="24" t="str">
        <f>_xlfn.XLOOKUP(F72,'TFS Details'!F:F,'TFS Details'!A:A)</f>
        <v>BPMS Reporting &amp; Compliance UI Suggestions post demo call</v>
      </c>
      <c r="C72" s="64">
        <f>_xlfn.XLOOKUP(F72,'TFS Details'!F:F,'TFS Details'!E:E)</f>
        <v>4316934</v>
      </c>
      <c r="D72" s="17" t="s">
        <v>29</v>
      </c>
      <c r="E72" s="17" t="s">
        <v>329</v>
      </c>
      <c r="F72" s="112">
        <v>4113178</v>
      </c>
      <c r="G72" s="17" t="s">
        <v>327</v>
      </c>
      <c r="I72" s="69"/>
      <c r="J72" s="166" t="s">
        <v>42</v>
      </c>
      <c r="K72" s="17" t="s">
        <v>1</v>
      </c>
      <c r="L72" s="16"/>
      <c r="N72" s="17" t="s">
        <v>277</v>
      </c>
      <c r="O72" s="134">
        <v>1</v>
      </c>
      <c r="P72" s="33">
        <v>1</v>
      </c>
      <c r="Q72" s="176">
        <v>8</v>
      </c>
      <c r="R72" s="176">
        <v>4</v>
      </c>
      <c r="S72" s="176">
        <v>1</v>
      </c>
      <c r="T72" s="176">
        <v>1</v>
      </c>
      <c r="U72" s="33">
        <v>0.9</v>
      </c>
      <c r="V72" s="33">
        <v>0.55000000000000004</v>
      </c>
      <c r="W72" s="17" t="s">
        <v>183</v>
      </c>
      <c r="X72" s="17" t="s">
        <v>183</v>
      </c>
      <c r="Y72" s="17" t="s">
        <v>183</v>
      </c>
      <c r="Z72" s="17" t="s">
        <v>183</v>
      </c>
      <c r="AA72" s="176">
        <v>18</v>
      </c>
      <c r="AB72" s="176">
        <v>8</v>
      </c>
      <c r="AC72" s="176">
        <v>1</v>
      </c>
      <c r="AD72" s="176">
        <v>8</v>
      </c>
      <c r="AE72" s="33">
        <v>0.9</v>
      </c>
      <c r="AF72" s="33">
        <v>0.8</v>
      </c>
      <c r="AG72" s="25" t="str">
        <f>_xlfn.XLOOKUP(F72,'TFS Details'!F:F,'TFS Details'!H:H)</f>
        <v>Test Complete</v>
      </c>
      <c r="AH72" s="44">
        <v>8</v>
      </c>
      <c r="AI72" s="44">
        <v>0</v>
      </c>
      <c r="AJ72" s="44">
        <v>0</v>
      </c>
      <c r="AK72" s="44">
        <v>0</v>
      </c>
      <c r="AL72" s="40">
        <f t="shared" si="10"/>
        <v>8</v>
      </c>
      <c r="AM72" s="41">
        <f t="shared" si="9"/>
        <v>1</v>
      </c>
      <c r="AN72" s="41">
        <f t="shared" si="11"/>
        <v>1</v>
      </c>
      <c r="AO72" s="25"/>
      <c r="AP72" s="25" t="str">
        <f>_xlfn.XLOOKUP(F72,'TFS Details'!F:F,'TFS Details'!I:I)</f>
        <v>CodeCrafters</v>
      </c>
      <c r="AQ72" s="25" t="str">
        <f>_xlfn.XLOOKUP(AP72,'TFS Details'!I:I,'TFS Details'!AE:AE)</f>
        <v>sona.job</v>
      </c>
    </row>
    <row r="73" spans="1:43" ht="48">
      <c r="A73" s="24" t="str">
        <f>_xlfn.XLOOKUP(F73,'TFS Details'!F:F,'TFS Details'!D:D)</f>
        <v>DCSO</v>
      </c>
      <c r="B73" s="24" t="str">
        <f>_xlfn.XLOOKUP(F73,'TFS Details'!F:F,'TFS Details'!A:A)</f>
        <v>myISP - Online SI API's for DSCO</v>
      </c>
      <c r="C73" s="64">
        <f>_xlfn.XLOOKUP(F73,'TFS Details'!F:F,'TFS Details'!E:E)</f>
        <v>4275381</v>
      </c>
      <c r="D73" s="17" t="s">
        <v>29</v>
      </c>
      <c r="E73" s="17" t="s">
        <v>330</v>
      </c>
      <c r="F73" s="112">
        <v>4275371</v>
      </c>
      <c r="G73" s="17" t="s">
        <v>331</v>
      </c>
      <c r="J73" s="17" t="s">
        <v>74</v>
      </c>
      <c r="K73" s="17" t="s">
        <v>18</v>
      </c>
      <c r="L73" s="16" t="s">
        <v>64</v>
      </c>
      <c r="M73" s="16" t="s">
        <v>64</v>
      </c>
      <c r="N73" s="17" t="s">
        <v>191</v>
      </c>
      <c r="O73" s="134"/>
      <c r="Q73" s="176"/>
      <c r="R73" s="176"/>
      <c r="S73" s="176"/>
      <c r="T73" s="176"/>
      <c r="W73" s="17" t="s">
        <v>183</v>
      </c>
      <c r="X73" s="17" t="s">
        <v>183</v>
      </c>
      <c r="Y73" s="17" t="s">
        <v>183</v>
      </c>
      <c r="Z73" s="17" t="s">
        <v>201</v>
      </c>
      <c r="AA73" s="176">
        <v>50</v>
      </c>
      <c r="AB73" s="176">
        <v>20</v>
      </c>
      <c r="AC73" s="176">
        <v>1</v>
      </c>
      <c r="AD73" s="176">
        <v>21</v>
      </c>
      <c r="AE73" s="33">
        <v>0.9</v>
      </c>
      <c r="AF73" s="33">
        <v>0.4</v>
      </c>
      <c r="AG73" s="25" t="str">
        <f>_xlfn.XLOOKUP(F73,'TFS Details'!F:F,'TFS Details'!H:H)</f>
        <v>UAT In Test</v>
      </c>
      <c r="AH73" s="44">
        <v>18</v>
      </c>
      <c r="AI73" s="44">
        <v>0</v>
      </c>
      <c r="AJ73" s="44">
        <v>0</v>
      </c>
      <c r="AK73" s="44">
        <v>0</v>
      </c>
      <c r="AL73" s="40">
        <f t="shared" ref="AL73:AL78" si="12">SUM(AH73:AK73)</f>
        <v>18</v>
      </c>
      <c r="AM73" s="41">
        <f t="shared" si="9"/>
        <v>1</v>
      </c>
      <c r="AN73" s="41">
        <f t="shared" si="11"/>
        <v>1</v>
      </c>
      <c r="AO73" s="206" t="s">
        <v>332</v>
      </c>
      <c r="AP73" s="25" t="str">
        <f>_xlfn.XLOOKUP(F73,'TFS Details'!F:F,'TFS Details'!I:I)</f>
        <v>TechWizards</v>
      </c>
      <c r="AQ73" s="25" t="str">
        <f>_xlfn.XLOOKUP(AP73,'TFS Details'!I:I,'TFS Details'!AE:AE)</f>
        <v>mervinkumar.manickam</v>
      </c>
    </row>
    <row r="74" spans="1:43">
      <c r="A74" s="24" t="str">
        <f>_xlfn.XLOOKUP(F74,'TFS Details'!F:F,'TFS Details'!D:D)</f>
        <v>DCSO</v>
      </c>
      <c r="B74" s="24" t="str">
        <f>_xlfn.XLOOKUP(F74,'TFS Details'!F:F,'TFS Details'!A:A)</f>
        <v>myISP - Digital DCSO</v>
      </c>
      <c r="C74" s="64">
        <f>_xlfn.XLOOKUP(F74,'TFS Details'!F:F,'TFS Details'!E:E)</f>
        <v>4278081</v>
      </c>
      <c r="D74" s="17" t="s">
        <v>29</v>
      </c>
      <c r="E74" s="17" t="s">
        <v>333</v>
      </c>
      <c r="F74" s="234">
        <v>4278129</v>
      </c>
      <c r="G74" s="17" t="s">
        <v>331</v>
      </c>
      <c r="J74" s="17" t="s">
        <v>74</v>
      </c>
      <c r="K74" s="17" t="s">
        <v>1</v>
      </c>
      <c r="L74" s="16"/>
      <c r="N74" s="17" t="s">
        <v>277</v>
      </c>
      <c r="O74" s="134">
        <v>6</v>
      </c>
      <c r="P74" s="33">
        <v>1</v>
      </c>
      <c r="Q74" s="176">
        <v>6</v>
      </c>
      <c r="R74" s="176">
        <v>4</v>
      </c>
      <c r="S74" s="176">
        <v>2</v>
      </c>
      <c r="T74" s="176">
        <v>6</v>
      </c>
      <c r="U74" s="33">
        <v>0.5</v>
      </c>
      <c r="V74" s="33">
        <v>0.4</v>
      </c>
      <c r="W74" s="17" t="s">
        <v>183</v>
      </c>
      <c r="X74" s="17" t="s">
        <v>183</v>
      </c>
      <c r="Y74" s="17" t="s">
        <v>183</v>
      </c>
      <c r="Z74" s="17" t="s">
        <v>183</v>
      </c>
      <c r="AA74" s="176">
        <v>12</v>
      </c>
      <c r="AB74" s="176">
        <v>5</v>
      </c>
      <c r="AC74" s="176">
        <v>1</v>
      </c>
      <c r="AD74" s="176">
        <v>6</v>
      </c>
      <c r="AE74" s="33">
        <v>0.85</v>
      </c>
      <c r="AF74" s="33">
        <v>0.6</v>
      </c>
      <c r="AG74" s="25" t="str">
        <f>_xlfn.XLOOKUP(F74,'TFS Details'!F:F,'TFS Details'!H:H)</f>
        <v>UAT In Test</v>
      </c>
      <c r="AH74" s="44">
        <v>6</v>
      </c>
      <c r="AI74" s="44">
        <v>0</v>
      </c>
      <c r="AJ74" s="44">
        <v>0</v>
      </c>
      <c r="AK74" s="44">
        <v>0</v>
      </c>
      <c r="AL74" s="40">
        <f>SUM(AH74:AK74)</f>
        <v>6</v>
      </c>
      <c r="AM74" s="41">
        <f t="shared" si="9"/>
        <v>1</v>
      </c>
      <c r="AN74" s="41">
        <f t="shared" si="11"/>
        <v>1</v>
      </c>
      <c r="AO74" s="25"/>
      <c r="AP74" s="25" t="str">
        <f>_xlfn.XLOOKUP(F74,'TFS Details'!F:F,'TFS Details'!I:I)</f>
        <v>TechStars</v>
      </c>
      <c r="AQ74" s="25" t="str">
        <f>_xlfn.XLOOKUP(AP74,'TFS Details'!I:I,'TFS Details'!AE:AE)</f>
        <v>mohanraj.a.selvaraj</v>
      </c>
    </row>
    <row r="75" spans="1:43">
      <c r="A75" s="24" t="str">
        <f>_xlfn.XLOOKUP(F75,'TFS Details'!F:F,'TFS Details'!D:D)</f>
        <v>BPMS Onboarding</v>
      </c>
      <c r="B75" s="24" t="str">
        <f>_xlfn.XLOOKUP(F75,'TFS Details'!F:F,'TFS Details'!A:A)</f>
        <v>Solution Simplification mandatory field updates</v>
      </c>
      <c r="C75" s="64">
        <f>_xlfn.XLOOKUP(F75,'TFS Details'!F:F,'TFS Details'!E:E)</f>
        <v>4316945</v>
      </c>
      <c r="D75" s="17" t="s">
        <v>29</v>
      </c>
      <c r="E75" s="17" t="s">
        <v>334</v>
      </c>
      <c r="F75" s="112">
        <v>4279597</v>
      </c>
      <c r="G75" s="17" t="s">
        <v>335</v>
      </c>
      <c r="J75" s="21" t="s">
        <v>110</v>
      </c>
      <c r="K75" s="17" t="s">
        <v>1</v>
      </c>
      <c r="L75" s="16"/>
      <c r="N75" s="17" t="s">
        <v>182</v>
      </c>
      <c r="O75" s="228">
        <v>2</v>
      </c>
      <c r="P75" s="33">
        <v>1</v>
      </c>
      <c r="Q75" s="176">
        <v>6</v>
      </c>
      <c r="R75" s="176">
        <v>5</v>
      </c>
      <c r="S75" s="176">
        <v>2</v>
      </c>
      <c r="T75" s="176">
        <v>2</v>
      </c>
      <c r="U75" s="33">
        <v>1</v>
      </c>
      <c r="V75" s="33">
        <v>0.6</v>
      </c>
      <c r="W75" s="17" t="s">
        <v>183</v>
      </c>
      <c r="X75" s="17" t="s">
        <v>183</v>
      </c>
      <c r="Y75" s="17" t="s">
        <v>183</v>
      </c>
      <c r="Z75" s="17" t="s">
        <v>183</v>
      </c>
      <c r="AA75" s="176">
        <v>6</v>
      </c>
      <c r="AB75" s="176">
        <v>2</v>
      </c>
      <c r="AC75" s="176">
        <v>2</v>
      </c>
      <c r="AD75" s="176">
        <v>2</v>
      </c>
      <c r="AE75" s="33">
        <v>0.5</v>
      </c>
      <c r="AF75" s="33">
        <v>0.5</v>
      </c>
      <c r="AG75" s="25" t="str">
        <f>_xlfn.XLOOKUP(F75,'TFS Details'!F:F,'TFS Details'!H:H)</f>
        <v>Test Complete</v>
      </c>
      <c r="AH75" s="44">
        <v>2</v>
      </c>
      <c r="AI75" s="44">
        <v>0</v>
      </c>
      <c r="AJ75" s="44">
        <v>0</v>
      </c>
      <c r="AK75" s="44">
        <v>0</v>
      </c>
      <c r="AL75" s="40">
        <f>SUM(AH75:AK75)</f>
        <v>2</v>
      </c>
      <c r="AM75" s="41">
        <f t="shared" si="9"/>
        <v>1</v>
      </c>
      <c r="AN75" s="41">
        <f t="shared" si="11"/>
        <v>1</v>
      </c>
      <c r="AO75" s="25"/>
      <c r="AP75" s="25" t="str">
        <f>_xlfn.XLOOKUP(F75,'TFS Details'!F:F,'TFS Details'!I:I)</f>
        <v>CodeCrafters</v>
      </c>
      <c r="AQ75" s="25" t="str">
        <f>_xlfn.XLOOKUP(AP75,'TFS Details'!I:I,'TFS Details'!AE:AE)</f>
        <v>sona.job</v>
      </c>
    </row>
    <row r="76" spans="1:43">
      <c r="A76" s="24" t="str">
        <f>_xlfn.XLOOKUP(F76,'TFS Details'!F:F,'TFS Details'!D:D)</f>
        <v>BPMS Onboarding</v>
      </c>
      <c r="B76" s="24" t="str">
        <f>_xlfn.XLOOKUP(F76,'TFS Details'!F:F,'TFS Details'!A:A)</f>
        <v>Solution Simplification mandatory field updates</v>
      </c>
      <c r="C76" s="64">
        <f>_xlfn.XLOOKUP(F76,'TFS Details'!F:F,'TFS Details'!E:E)</f>
        <v>4316945</v>
      </c>
      <c r="D76" s="17" t="s">
        <v>29</v>
      </c>
      <c r="E76" s="17" t="s">
        <v>336</v>
      </c>
      <c r="F76" s="112">
        <v>4279677</v>
      </c>
      <c r="G76" s="17" t="s">
        <v>335</v>
      </c>
      <c r="J76" s="21" t="s">
        <v>110</v>
      </c>
      <c r="K76" s="17" t="s">
        <v>1</v>
      </c>
      <c r="L76" s="16"/>
      <c r="N76" s="17" t="s">
        <v>182</v>
      </c>
      <c r="O76" s="228">
        <v>3</v>
      </c>
      <c r="P76" s="33">
        <v>1</v>
      </c>
      <c r="Q76" s="176">
        <v>8</v>
      </c>
      <c r="R76" s="176">
        <v>6</v>
      </c>
      <c r="S76" s="176">
        <v>3</v>
      </c>
      <c r="T76" s="176">
        <v>3</v>
      </c>
      <c r="U76" s="33">
        <v>1</v>
      </c>
      <c r="V76" s="33">
        <v>0.7</v>
      </c>
      <c r="W76" s="17" t="s">
        <v>183</v>
      </c>
      <c r="X76" s="17" t="s">
        <v>183</v>
      </c>
      <c r="Y76" s="17" t="s">
        <v>183</v>
      </c>
      <c r="Z76" s="17" t="s">
        <v>183</v>
      </c>
      <c r="AA76" s="176">
        <v>10</v>
      </c>
      <c r="AB76" s="176">
        <v>5</v>
      </c>
      <c r="AC76" s="176">
        <v>3</v>
      </c>
      <c r="AD76" s="176">
        <v>3</v>
      </c>
      <c r="AE76" s="33">
        <v>0.5</v>
      </c>
      <c r="AF76" s="33">
        <v>0.5</v>
      </c>
      <c r="AG76" s="25" t="str">
        <f>_xlfn.XLOOKUP(F76,'TFS Details'!F:F,'TFS Details'!H:H)</f>
        <v>Test Complete</v>
      </c>
      <c r="AH76" s="44">
        <v>3</v>
      </c>
      <c r="AI76" s="44">
        <v>0</v>
      </c>
      <c r="AJ76" s="44">
        <v>0</v>
      </c>
      <c r="AK76" s="44">
        <v>0</v>
      </c>
      <c r="AL76" s="40">
        <f>SUM(AH76:AK76)</f>
        <v>3</v>
      </c>
      <c r="AM76" s="41">
        <f t="shared" si="9"/>
        <v>1</v>
      </c>
      <c r="AN76" s="41">
        <f t="shared" si="11"/>
        <v>1</v>
      </c>
      <c r="AO76" s="25"/>
      <c r="AP76" s="25" t="str">
        <f>_xlfn.XLOOKUP(F76,'TFS Details'!F:F,'TFS Details'!I:I)</f>
        <v>CodeCrafters</v>
      </c>
      <c r="AQ76" s="25" t="str">
        <f>_xlfn.XLOOKUP(AP76,'TFS Details'!I:I,'TFS Details'!AE:AE)</f>
        <v>sona.job</v>
      </c>
    </row>
    <row r="77" spans="1:43" ht="15">
      <c r="A77" s="24" t="str">
        <f>_xlfn.XLOOKUP(F77,'TFS Details'!F:F,'TFS Details'!D:D)</f>
        <v>DCSO</v>
      </c>
      <c r="B77" s="24" t="str">
        <f>_xlfn.XLOOKUP(F77,'TFS Details'!F:F,'TFS Details'!A:A)</f>
        <v>myISP - Digital DCSO</v>
      </c>
      <c r="C77" s="64">
        <f>_xlfn.XLOOKUP(F77,'TFS Details'!F:F,'TFS Details'!E:E)</f>
        <v>4278081</v>
      </c>
      <c r="D77" s="17" t="s">
        <v>29</v>
      </c>
      <c r="E77" s="17" t="s">
        <v>337</v>
      </c>
      <c r="F77" s="112">
        <v>4281629</v>
      </c>
      <c r="G77" s="17" t="s">
        <v>331</v>
      </c>
      <c r="J77" s="17" t="s">
        <v>37</v>
      </c>
      <c r="K77" s="17" t="s">
        <v>1</v>
      </c>
      <c r="L77" s="16"/>
      <c r="N77" s="17" t="s">
        <v>191</v>
      </c>
      <c r="O77" s="228">
        <v>10</v>
      </c>
      <c r="P77" s="33">
        <v>1</v>
      </c>
      <c r="Q77" s="176">
        <v>10</v>
      </c>
      <c r="R77" s="176">
        <v>6</v>
      </c>
      <c r="S77" s="176">
        <v>4</v>
      </c>
      <c r="T77" s="176">
        <v>10</v>
      </c>
      <c r="U77" s="33">
        <v>0.45</v>
      </c>
      <c r="V77" s="33">
        <v>0.45</v>
      </c>
      <c r="W77" s="17" t="s">
        <v>183</v>
      </c>
      <c r="X77" s="17" t="s">
        <v>183</v>
      </c>
      <c r="Y77" s="17" t="s">
        <v>183</v>
      </c>
      <c r="Z77" s="17" t="s">
        <v>183</v>
      </c>
      <c r="AA77" s="176">
        <v>12</v>
      </c>
      <c r="AB77" s="176">
        <v>8</v>
      </c>
      <c r="AC77" s="176">
        <v>6</v>
      </c>
      <c r="AD77" s="176">
        <v>14</v>
      </c>
      <c r="AE77" s="33">
        <v>0.6</v>
      </c>
      <c r="AF77" s="33">
        <v>0.6</v>
      </c>
      <c r="AG77" s="25" t="str">
        <f>_xlfn.XLOOKUP(F77,'TFS Details'!F:F,'TFS Details'!H:H)</f>
        <v>UAT In Test</v>
      </c>
      <c r="AH77" s="44">
        <v>14</v>
      </c>
      <c r="AI77" s="44">
        <v>0</v>
      </c>
      <c r="AJ77" s="44">
        <v>0</v>
      </c>
      <c r="AK77" s="44">
        <v>0</v>
      </c>
      <c r="AL77" s="40">
        <f>SUM(AH77:AK77)</f>
        <v>14</v>
      </c>
      <c r="AM77" s="41">
        <f t="shared" si="9"/>
        <v>1</v>
      </c>
      <c r="AN77" s="41">
        <f t="shared" si="11"/>
        <v>1</v>
      </c>
      <c r="AO77" s="207">
        <v>4426302</v>
      </c>
      <c r="AP77" s="25" t="str">
        <f>_xlfn.XLOOKUP(F77,'TFS Details'!F:F,'TFS Details'!I:I)</f>
        <v>TechStars</v>
      </c>
      <c r="AQ77" s="25" t="str">
        <f>_xlfn.XLOOKUP(AP77,'TFS Details'!I:I,'TFS Details'!AE:AE)</f>
        <v>mohanraj.a.selvaraj</v>
      </c>
    </row>
    <row r="78" spans="1:43">
      <c r="A78" s="24" t="str">
        <f>_xlfn.XLOOKUP(F78,'TFS Details'!F:F,'TFS Details'!D:D)</f>
        <v>BPMS Onboarding</v>
      </c>
      <c r="B78" s="24" t="str">
        <f>_xlfn.XLOOKUP(F78,'TFS Details'!F:F,'TFS Details'!A:A)</f>
        <v>Capco Template - Enhancement</v>
      </c>
      <c r="C78" s="64">
        <f>_xlfn.XLOOKUP(F78,'TFS Details'!F:F,'TFS Details'!E:E)</f>
        <v>4317373</v>
      </c>
      <c r="D78" s="17" t="s">
        <v>29</v>
      </c>
      <c r="E78" s="17" t="s">
        <v>338</v>
      </c>
      <c r="F78" s="112">
        <v>4309748</v>
      </c>
      <c r="G78" s="17" t="s">
        <v>339</v>
      </c>
      <c r="K78" s="97" t="s">
        <v>18</v>
      </c>
      <c r="L78" s="16" t="s">
        <v>340</v>
      </c>
      <c r="M78" s="16" t="s">
        <v>28</v>
      </c>
      <c r="N78" s="17"/>
      <c r="O78" s="228">
        <v>5</v>
      </c>
      <c r="Q78" s="176"/>
      <c r="R78" s="176"/>
      <c r="S78" s="176"/>
      <c r="T78" s="176"/>
      <c r="W78" s="17" t="s">
        <v>183</v>
      </c>
      <c r="X78" s="17" t="s">
        <v>183</v>
      </c>
      <c r="Y78" s="17" t="s">
        <v>183</v>
      </c>
      <c r="Z78" s="17" t="s">
        <v>183</v>
      </c>
      <c r="AA78" s="176">
        <v>35</v>
      </c>
      <c r="AB78" s="176">
        <v>3</v>
      </c>
      <c r="AC78" s="176">
        <v>0</v>
      </c>
      <c r="AD78" s="176">
        <v>3</v>
      </c>
      <c r="AE78" s="33">
        <v>0.5</v>
      </c>
      <c r="AF78" s="33">
        <v>0.7</v>
      </c>
      <c r="AG78" s="25" t="str">
        <f>_xlfn.XLOOKUP(F78,'TFS Details'!F:F,'TFS Details'!H:H)</f>
        <v>Test Complete</v>
      </c>
      <c r="AH78" s="44">
        <v>3</v>
      </c>
      <c r="AI78" s="44">
        <v>0</v>
      </c>
      <c r="AJ78" s="44">
        <v>0</v>
      </c>
      <c r="AK78" s="44">
        <v>0</v>
      </c>
      <c r="AL78" s="40">
        <f t="shared" si="12"/>
        <v>3</v>
      </c>
      <c r="AM78" s="41">
        <f t="shared" si="9"/>
        <v>1</v>
      </c>
      <c r="AN78" s="41">
        <f t="shared" si="11"/>
        <v>1</v>
      </c>
      <c r="AO78" s="25"/>
      <c r="AP78" s="25" t="str">
        <f>_xlfn.XLOOKUP(F78,'TFS Details'!F:F,'TFS Details'!I:I)</f>
        <v>CodeCrafters</v>
      </c>
      <c r="AQ78" s="25" t="str">
        <f>_xlfn.XLOOKUP(AP78,'TFS Details'!I:I,'TFS Details'!AE:AE)</f>
        <v>sona.job</v>
      </c>
    </row>
    <row r="79" spans="1:43">
      <c r="A79" s="24" t="str">
        <f>_xlfn.XLOOKUP(F79,'TFS Details'!F:F,'TFS Details'!D:D)</f>
        <v>DCSO</v>
      </c>
      <c r="B79" s="24" t="str">
        <f>_xlfn.XLOOKUP(F79,'TFS Details'!F:F,'TFS Details'!A:A)</f>
        <v>myISP - Digital DCSO</v>
      </c>
      <c r="C79" s="64">
        <f>_xlfn.XLOOKUP(F79,'TFS Details'!F:F,'TFS Details'!E:E)</f>
        <v>4278081</v>
      </c>
      <c r="D79" s="17" t="s">
        <v>29</v>
      </c>
      <c r="E79" s="17" t="s">
        <v>341</v>
      </c>
      <c r="F79" s="112">
        <v>4311857</v>
      </c>
      <c r="G79" s="17" t="s">
        <v>331</v>
      </c>
      <c r="J79" s="17" t="s">
        <v>74</v>
      </c>
      <c r="K79" s="17" t="s">
        <v>1</v>
      </c>
      <c r="L79" s="16"/>
      <c r="N79" s="17" t="s">
        <v>182</v>
      </c>
      <c r="O79" s="228">
        <v>7</v>
      </c>
      <c r="P79" s="33">
        <v>1</v>
      </c>
      <c r="Q79" s="176">
        <v>7</v>
      </c>
      <c r="R79" s="176">
        <v>4</v>
      </c>
      <c r="S79" s="176">
        <v>3</v>
      </c>
      <c r="T79" s="176">
        <v>7</v>
      </c>
      <c r="U79" s="33">
        <v>0.5</v>
      </c>
      <c r="V79" s="33">
        <v>0.4</v>
      </c>
      <c r="W79" s="17" t="s">
        <v>183</v>
      </c>
      <c r="X79" s="17" t="s">
        <v>183</v>
      </c>
      <c r="Y79" s="17" t="s">
        <v>183</v>
      </c>
      <c r="Z79" s="17" t="s">
        <v>183</v>
      </c>
      <c r="AA79" s="176">
        <v>12</v>
      </c>
      <c r="AB79" s="176">
        <v>5</v>
      </c>
      <c r="AC79" s="176">
        <v>2</v>
      </c>
      <c r="AD79" s="176">
        <v>7</v>
      </c>
      <c r="AE79" s="33">
        <v>0.7</v>
      </c>
      <c r="AF79" s="33">
        <v>0.4</v>
      </c>
      <c r="AG79" s="25" t="str">
        <f>_xlfn.XLOOKUP(F79,'TFS Details'!F:F,'TFS Details'!H:H)</f>
        <v>UAT In Test</v>
      </c>
      <c r="AH79" s="44">
        <v>7</v>
      </c>
      <c r="AI79" s="44">
        <v>0</v>
      </c>
      <c r="AJ79" s="44">
        <v>0</v>
      </c>
      <c r="AK79" s="44">
        <v>0</v>
      </c>
      <c r="AL79" s="40">
        <f t="shared" ref="AL79:AL89" si="13">SUM(AH79:AK79)</f>
        <v>7</v>
      </c>
      <c r="AM79" s="41">
        <f t="shared" si="9"/>
        <v>1</v>
      </c>
      <c r="AN79" s="41">
        <f t="shared" si="11"/>
        <v>1</v>
      </c>
      <c r="AO79" s="25"/>
      <c r="AP79" s="25" t="str">
        <f>_xlfn.XLOOKUP(F79,'TFS Details'!F:F,'TFS Details'!I:I)</f>
        <v>NGTransformers</v>
      </c>
      <c r="AQ79" s="25" t="str">
        <f>_xlfn.XLOOKUP(AP79,'TFS Details'!I:I,'TFS Details'!AE:AE)</f>
        <v>sowjanya.kari</v>
      </c>
    </row>
    <row r="80" spans="1:43">
      <c r="A80" s="24" t="str">
        <f>_xlfn.XLOOKUP(F80,'TFS Details'!F:F,'TFS Details'!D:D)</f>
        <v>BPMS Onboarding</v>
      </c>
      <c r="B80" s="24" t="str">
        <f>_xlfn.XLOOKUP(F80,'TFS Details'!F:F,'TFS Details'!A:A)</f>
        <v>RA BPMS Feedback</v>
      </c>
      <c r="C80" s="64">
        <f>_xlfn.XLOOKUP(F80,'TFS Details'!F:F,'TFS Details'!E:E)</f>
        <v>4275996</v>
      </c>
      <c r="D80" s="17" t="s">
        <v>29</v>
      </c>
      <c r="E80" s="17" t="s">
        <v>342</v>
      </c>
      <c r="F80" s="112">
        <v>4337740</v>
      </c>
      <c r="G80" s="17" t="s">
        <v>343</v>
      </c>
      <c r="J80" s="21" t="s">
        <v>123</v>
      </c>
      <c r="K80" s="17" t="s">
        <v>1</v>
      </c>
      <c r="L80" s="16"/>
      <c r="N80" s="17" t="s">
        <v>191</v>
      </c>
      <c r="O80" s="228">
        <v>1</v>
      </c>
      <c r="P80" s="33">
        <v>1</v>
      </c>
      <c r="Q80" s="176">
        <v>8</v>
      </c>
      <c r="R80" s="176">
        <v>4</v>
      </c>
      <c r="S80" s="176">
        <v>2</v>
      </c>
      <c r="T80" s="176">
        <v>6</v>
      </c>
      <c r="U80" s="33">
        <v>0.6</v>
      </c>
      <c r="V80" s="33">
        <v>0.6</v>
      </c>
      <c r="W80" s="17" t="s">
        <v>183</v>
      </c>
      <c r="X80" s="17" t="s">
        <v>183</v>
      </c>
      <c r="Y80" s="17" t="s">
        <v>183</v>
      </c>
      <c r="Z80" s="17" t="s">
        <v>183</v>
      </c>
      <c r="AA80" s="176">
        <v>15</v>
      </c>
      <c r="AB80" s="176">
        <v>4</v>
      </c>
      <c r="AC80" s="176">
        <v>8</v>
      </c>
      <c r="AD80" s="176">
        <v>12</v>
      </c>
      <c r="AE80" s="33">
        <v>0.4</v>
      </c>
      <c r="AF80" s="33">
        <v>0.4</v>
      </c>
      <c r="AG80" s="25" t="str">
        <f>_xlfn.XLOOKUP(F80,'TFS Details'!F:F,'TFS Details'!H:H)</f>
        <v>Test Complete</v>
      </c>
      <c r="AH80" s="44">
        <v>12</v>
      </c>
      <c r="AI80" s="44">
        <v>0</v>
      </c>
      <c r="AJ80" s="44">
        <v>0</v>
      </c>
      <c r="AK80" s="44">
        <v>0</v>
      </c>
      <c r="AL80" s="40">
        <f t="shared" si="13"/>
        <v>12</v>
      </c>
      <c r="AM80" s="41">
        <f t="shared" si="9"/>
        <v>1</v>
      </c>
      <c r="AN80" s="41">
        <f t="shared" si="11"/>
        <v>1</v>
      </c>
      <c r="AO80" s="25"/>
      <c r="AP80" s="25" t="str">
        <f>_xlfn.XLOOKUP(F80,'TFS Details'!F:F,'TFS Details'!I:I)</f>
        <v>BPMSBloggers</v>
      </c>
      <c r="AQ80" s="25" t="str">
        <f>_xlfn.XLOOKUP(AP80,'TFS Details'!I:I,'TFS Details'!AE:AE)</f>
        <v>sona.job</v>
      </c>
    </row>
    <row r="81" spans="1:43" ht="27.95">
      <c r="A81" s="24" t="str">
        <f>_xlfn.XLOOKUP(F81,'TFS Details'!F:F,'TFS Details'!D:D)</f>
        <v>DCSO</v>
      </c>
      <c r="B81" s="24" t="str">
        <f>_xlfn.XLOOKUP(F81,'TFS Details'!F:F,'TFS Details'!A:A)</f>
        <v>myISP - Digital DCSO</v>
      </c>
      <c r="C81" s="64">
        <f>_xlfn.XLOOKUP(F81,'TFS Details'!F:F,'TFS Details'!E:E)</f>
        <v>4278081</v>
      </c>
      <c r="D81" s="17" t="s">
        <v>29</v>
      </c>
      <c r="E81" s="17" t="s">
        <v>344</v>
      </c>
      <c r="F81" s="112">
        <v>4341403</v>
      </c>
      <c r="G81" s="17" t="s">
        <v>327</v>
      </c>
      <c r="J81" s="21" t="s">
        <v>82</v>
      </c>
      <c r="K81" s="17" t="s">
        <v>1</v>
      </c>
      <c r="L81" s="16"/>
      <c r="N81" s="17" t="s">
        <v>191</v>
      </c>
      <c r="O81" s="134">
        <v>5</v>
      </c>
      <c r="P81" s="33">
        <v>1</v>
      </c>
      <c r="Q81" s="176">
        <v>5</v>
      </c>
      <c r="R81" s="176">
        <v>3</v>
      </c>
      <c r="S81" s="176">
        <v>2</v>
      </c>
      <c r="T81" s="176">
        <v>5</v>
      </c>
      <c r="U81" s="33">
        <v>0.4</v>
      </c>
      <c r="V81" s="33">
        <v>0.4</v>
      </c>
      <c r="W81" s="17" t="s">
        <v>183</v>
      </c>
      <c r="X81" s="17" t="s">
        <v>183</v>
      </c>
      <c r="Y81" s="17" t="s">
        <v>183</v>
      </c>
      <c r="Z81" s="17" t="s">
        <v>183</v>
      </c>
      <c r="AA81" s="176">
        <v>16</v>
      </c>
      <c r="AB81" s="176">
        <v>4</v>
      </c>
      <c r="AC81" s="176">
        <v>1</v>
      </c>
      <c r="AD81" s="176">
        <v>5</v>
      </c>
      <c r="AE81" s="33">
        <v>0.8</v>
      </c>
      <c r="AF81" s="33">
        <v>0.6</v>
      </c>
      <c r="AG81" s="25" t="str">
        <f>_xlfn.XLOOKUP(F81,'TFS Details'!F:F,'TFS Details'!H:H)</f>
        <v>UAT In Test</v>
      </c>
      <c r="AH81" s="44">
        <v>5</v>
      </c>
      <c r="AI81" s="44">
        <v>0</v>
      </c>
      <c r="AJ81" s="44">
        <v>0</v>
      </c>
      <c r="AK81" s="44">
        <v>0</v>
      </c>
      <c r="AL81" s="40">
        <f t="shared" si="13"/>
        <v>5</v>
      </c>
      <c r="AM81" s="41">
        <f t="shared" si="9"/>
        <v>1</v>
      </c>
      <c r="AN81" s="41">
        <f t="shared" si="11"/>
        <v>1</v>
      </c>
      <c r="AO81" s="126" t="s">
        <v>345</v>
      </c>
      <c r="AP81" s="25" t="str">
        <f>_xlfn.XLOOKUP(F81,'TFS Details'!F:F,'TFS Details'!I:I)</f>
        <v>TechStars</v>
      </c>
      <c r="AQ81" s="25" t="str">
        <f>_xlfn.XLOOKUP(AP81,'TFS Details'!I:I,'TFS Details'!AE:AE)</f>
        <v>mohanraj.a.selvaraj</v>
      </c>
    </row>
    <row r="82" spans="1:43">
      <c r="A82" s="24" t="str">
        <f>_xlfn.XLOOKUP(F82,'TFS Details'!F:F,'TFS Details'!D:D)</f>
        <v>DCSO</v>
      </c>
      <c r="B82" s="24" t="str">
        <f>_xlfn.XLOOKUP(F82,'TFS Details'!F:F,'TFS Details'!A:A)</f>
        <v>myISP - Digital DCSO</v>
      </c>
      <c r="C82" s="64">
        <f>_xlfn.XLOOKUP(F82,'TFS Details'!F:F,'TFS Details'!E:E)</f>
        <v>4278081</v>
      </c>
      <c r="D82" s="17" t="s">
        <v>29</v>
      </c>
      <c r="E82" s="17" t="s">
        <v>346</v>
      </c>
      <c r="F82" s="112">
        <v>4355886</v>
      </c>
      <c r="G82" s="17" t="s">
        <v>347</v>
      </c>
      <c r="K82" s="17" t="s">
        <v>18</v>
      </c>
      <c r="L82" s="16" t="s">
        <v>348</v>
      </c>
      <c r="M82" s="97" t="s">
        <v>34</v>
      </c>
      <c r="N82" s="17" t="s">
        <v>182</v>
      </c>
      <c r="O82" s="134"/>
      <c r="Q82" s="176"/>
      <c r="R82" s="176"/>
      <c r="S82" s="176"/>
      <c r="T82" s="176"/>
      <c r="W82" s="17" t="s">
        <v>183</v>
      </c>
      <c r="X82" s="17" t="s">
        <v>183</v>
      </c>
      <c r="Y82" s="17" t="s">
        <v>183</v>
      </c>
      <c r="Z82" s="17" t="s">
        <v>201</v>
      </c>
      <c r="AA82" s="176">
        <v>20</v>
      </c>
      <c r="AB82" s="176">
        <v>9</v>
      </c>
      <c r="AC82" s="176">
        <v>0</v>
      </c>
      <c r="AD82" s="176">
        <v>9</v>
      </c>
      <c r="AE82" s="33">
        <v>1</v>
      </c>
      <c r="AF82" s="33">
        <v>0.98</v>
      </c>
      <c r="AG82" s="25" t="str">
        <f>_xlfn.XLOOKUP(F82,'TFS Details'!F:F,'TFS Details'!H:H)</f>
        <v>UAT In Test</v>
      </c>
      <c r="AH82" s="44">
        <v>9</v>
      </c>
      <c r="AI82" s="44">
        <v>0</v>
      </c>
      <c r="AJ82" s="44">
        <v>0</v>
      </c>
      <c r="AK82" s="44">
        <v>0</v>
      </c>
      <c r="AL82" s="40">
        <f t="shared" si="13"/>
        <v>9</v>
      </c>
      <c r="AM82" s="41">
        <f t="shared" si="9"/>
        <v>1</v>
      </c>
      <c r="AN82" s="41">
        <f t="shared" si="11"/>
        <v>1</v>
      </c>
      <c r="AO82" s="25"/>
      <c r="AP82" s="25" t="str">
        <f>_xlfn.XLOOKUP(F82,'TFS Details'!F:F,'TFS Details'!I:I)</f>
        <v>TechStars</v>
      </c>
      <c r="AQ82" s="25" t="str">
        <f>_xlfn.XLOOKUP(AP82,'TFS Details'!I:I,'TFS Details'!AE:AE)</f>
        <v>mohanraj.a.selvaraj</v>
      </c>
    </row>
    <row r="83" spans="1:43">
      <c r="A83" s="24" t="str">
        <f>_xlfn.XLOOKUP(F83,'TFS Details'!F:F,'TFS Details'!D:D)</f>
        <v>Mobilization Calculator</v>
      </c>
      <c r="B83" s="24" t="str">
        <f>_xlfn.XLOOKUP(F83,'TFS Details'!F:F,'TFS Details'!A:A)</f>
        <v>Mobilization - CXTA Calculator : CXTA enhancements</v>
      </c>
      <c r="C83" s="64">
        <f>_xlfn.XLOOKUP(F83,'TFS Details'!F:F,'TFS Details'!E:E)</f>
        <v>4358815</v>
      </c>
      <c r="D83" s="17" t="s">
        <v>29</v>
      </c>
      <c r="E83" s="17" t="s">
        <v>349</v>
      </c>
      <c r="F83" s="112">
        <v>4358192</v>
      </c>
      <c r="G83" s="17" t="s">
        <v>350</v>
      </c>
      <c r="J83" s="17" t="s">
        <v>117</v>
      </c>
      <c r="K83" s="17" t="s">
        <v>1</v>
      </c>
      <c r="L83" s="16"/>
      <c r="N83" s="17" t="s">
        <v>277</v>
      </c>
      <c r="O83" s="134">
        <v>2</v>
      </c>
      <c r="P83" s="33">
        <v>1</v>
      </c>
      <c r="Q83" s="176">
        <v>7</v>
      </c>
      <c r="R83" s="176">
        <v>4</v>
      </c>
      <c r="S83" s="176">
        <v>1</v>
      </c>
      <c r="T83" s="176">
        <v>2</v>
      </c>
      <c r="U83" s="105">
        <v>0.7</v>
      </c>
      <c r="V83" s="105">
        <v>0.6</v>
      </c>
      <c r="W83" s="17" t="s">
        <v>183</v>
      </c>
      <c r="X83" s="17" t="s">
        <v>183</v>
      </c>
      <c r="Y83" s="17" t="s">
        <v>183</v>
      </c>
      <c r="Z83" s="17" t="s">
        <v>183</v>
      </c>
      <c r="AA83" s="176">
        <v>8</v>
      </c>
      <c r="AB83" s="176">
        <v>6</v>
      </c>
      <c r="AC83" s="176">
        <v>0</v>
      </c>
      <c r="AD83" s="176">
        <v>3</v>
      </c>
      <c r="AE83" s="191">
        <v>1</v>
      </c>
      <c r="AF83" s="191">
        <v>1</v>
      </c>
      <c r="AG83" s="25" t="str">
        <f>_xlfn.XLOOKUP(F83,'TFS Details'!F:F,'TFS Details'!H:H)</f>
        <v>Test Complete</v>
      </c>
      <c r="AH83" s="44">
        <v>6</v>
      </c>
      <c r="AI83" s="44">
        <v>0</v>
      </c>
      <c r="AJ83" s="44">
        <v>0</v>
      </c>
      <c r="AK83" s="44">
        <v>0</v>
      </c>
      <c r="AL83" s="40">
        <f t="shared" si="13"/>
        <v>6</v>
      </c>
      <c r="AM83" s="41">
        <f t="shared" si="9"/>
        <v>1</v>
      </c>
      <c r="AN83" s="41">
        <f t="shared" si="11"/>
        <v>1</v>
      </c>
      <c r="AO83" s="25">
        <v>4412622</v>
      </c>
      <c r="AP83" s="25" t="str">
        <f>_xlfn.XLOOKUP(F83,'TFS Details'!F:F,'TFS Details'!I:I)</f>
        <v>CodeCatalyst</v>
      </c>
      <c r="AQ83" s="25" t="str">
        <f>_xlfn.XLOOKUP(AP83,'TFS Details'!I:I,'TFS Details'!AE:AE)</f>
        <v>nityanand.giri</v>
      </c>
    </row>
    <row r="84" spans="1:43">
      <c r="A84" s="24" t="str">
        <f>_xlfn.XLOOKUP(F84,'TFS Details'!F:F,'TFS Details'!D:D)</f>
        <v>Mobilization Calculator</v>
      </c>
      <c r="B84" s="24" t="str">
        <f>_xlfn.XLOOKUP(F84,'TFS Details'!F:F,'TFS Details'!A:A)</f>
        <v>Mobilization - CXTA Calculator : CXTA enhancements</v>
      </c>
      <c r="C84" s="64">
        <f>_xlfn.XLOOKUP(F84,'TFS Details'!F:F,'TFS Details'!E:E)</f>
        <v>4358815</v>
      </c>
      <c r="D84" s="17" t="s">
        <v>29</v>
      </c>
      <c r="E84" s="17" t="s">
        <v>351</v>
      </c>
      <c r="F84" s="112">
        <v>4358812</v>
      </c>
      <c r="G84" s="17" t="s">
        <v>350</v>
      </c>
      <c r="J84" s="17" t="s">
        <v>117</v>
      </c>
      <c r="K84" s="17" t="s">
        <v>1</v>
      </c>
      <c r="L84" s="16"/>
      <c r="N84" s="17" t="s">
        <v>191</v>
      </c>
      <c r="O84" s="134">
        <v>5</v>
      </c>
      <c r="P84" s="33">
        <v>1</v>
      </c>
      <c r="Q84" s="176">
        <v>7</v>
      </c>
      <c r="R84" s="176">
        <v>5</v>
      </c>
      <c r="S84" s="176">
        <v>0</v>
      </c>
      <c r="T84" s="176">
        <v>5</v>
      </c>
      <c r="U84" s="105">
        <v>0.8</v>
      </c>
      <c r="V84" s="105">
        <v>0.8</v>
      </c>
      <c r="W84" s="17" t="s">
        <v>183</v>
      </c>
      <c r="X84" s="17" t="s">
        <v>183</v>
      </c>
      <c r="Y84" s="17" t="s">
        <v>183</v>
      </c>
      <c r="Z84" s="17" t="s">
        <v>183</v>
      </c>
      <c r="AA84" s="176">
        <v>8</v>
      </c>
      <c r="AB84" s="176">
        <v>2</v>
      </c>
      <c r="AC84" s="176">
        <v>10</v>
      </c>
      <c r="AD84" s="176">
        <v>13</v>
      </c>
      <c r="AE84" s="191">
        <v>0.4</v>
      </c>
      <c r="AF84" s="191">
        <v>0.4</v>
      </c>
      <c r="AG84" s="25" t="str">
        <f>_xlfn.XLOOKUP(F84,'TFS Details'!F:F,'TFS Details'!H:H)</f>
        <v>Test Complete</v>
      </c>
      <c r="AH84" s="44">
        <v>13</v>
      </c>
      <c r="AI84" s="44">
        <v>0</v>
      </c>
      <c r="AJ84" s="44">
        <v>0</v>
      </c>
      <c r="AK84" s="44">
        <v>0</v>
      </c>
      <c r="AL84" s="40">
        <f t="shared" si="13"/>
        <v>13</v>
      </c>
      <c r="AM84" s="41">
        <f t="shared" si="9"/>
        <v>1</v>
      </c>
      <c r="AN84" s="41">
        <f t="shared" si="11"/>
        <v>1</v>
      </c>
      <c r="AO84" s="25"/>
      <c r="AP84" s="25" t="str">
        <f>_xlfn.XLOOKUP(F84,'TFS Details'!F:F,'TFS Details'!I:I)</f>
        <v>CodeCatalyst</v>
      </c>
      <c r="AQ84" s="25" t="str">
        <f>_xlfn.XLOOKUP(AP84,'TFS Details'!I:I,'TFS Details'!AE:AE)</f>
        <v>nityanand.giri</v>
      </c>
    </row>
    <row r="85" spans="1:43" ht="15">
      <c r="A85" s="24" t="str">
        <f>_xlfn.XLOOKUP(F85,'TFS Details'!F:F,'TFS Details'!D:D)</f>
        <v>DCSO</v>
      </c>
      <c r="B85" s="24" t="str">
        <f>_xlfn.XLOOKUP(F85,'TFS Details'!F:F,'TFS Details'!A:A)</f>
        <v>myISP - Digital DCSO</v>
      </c>
      <c r="C85" s="64">
        <f>_xlfn.XLOOKUP(F85,'TFS Details'!F:F,'TFS Details'!E:E)</f>
        <v>4278081</v>
      </c>
      <c r="D85" s="17" t="s">
        <v>29</v>
      </c>
      <c r="E85" s="17" t="s">
        <v>352</v>
      </c>
      <c r="F85" s="112">
        <v>4359566</v>
      </c>
      <c r="G85" s="17" t="s">
        <v>331</v>
      </c>
      <c r="J85" s="17" t="s">
        <v>74</v>
      </c>
      <c r="K85" s="17" t="s">
        <v>1</v>
      </c>
      <c r="L85" s="192"/>
      <c r="N85" s="17" t="s">
        <v>277</v>
      </c>
      <c r="O85" s="134">
        <v>8</v>
      </c>
      <c r="P85" s="33">
        <v>1</v>
      </c>
      <c r="Q85" s="176">
        <v>8</v>
      </c>
      <c r="R85" s="176">
        <v>6</v>
      </c>
      <c r="S85" s="176">
        <v>2</v>
      </c>
      <c r="T85" s="176">
        <v>8</v>
      </c>
      <c r="U85" s="33">
        <v>0.5</v>
      </c>
      <c r="V85" s="33">
        <v>0.4</v>
      </c>
      <c r="W85" s="17" t="s">
        <v>183</v>
      </c>
      <c r="X85" s="17" t="s">
        <v>183</v>
      </c>
      <c r="Y85" s="17" t="s">
        <v>183</v>
      </c>
      <c r="Z85" s="17" t="s">
        <v>183</v>
      </c>
      <c r="AA85" s="176">
        <v>12</v>
      </c>
      <c r="AB85" s="176">
        <v>5</v>
      </c>
      <c r="AC85" s="176">
        <v>6</v>
      </c>
      <c r="AD85" s="176">
        <v>11</v>
      </c>
      <c r="AE85" s="33">
        <v>0.45</v>
      </c>
      <c r="AF85" s="33">
        <v>0.3</v>
      </c>
      <c r="AG85" s="25" t="str">
        <f>_xlfn.XLOOKUP(F85,'TFS Details'!F:F,'TFS Details'!H:H)</f>
        <v>UAT In Test</v>
      </c>
      <c r="AH85" s="44">
        <v>11</v>
      </c>
      <c r="AI85" s="44">
        <v>0</v>
      </c>
      <c r="AJ85" s="44">
        <v>0</v>
      </c>
      <c r="AK85" s="44">
        <v>0</v>
      </c>
      <c r="AL85" s="40">
        <f t="shared" si="13"/>
        <v>11</v>
      </c>
      <c r="AM85" s="41">
        <f t="shared" si="9"/>
        <v>1</v>
      </c>
      <c r="AN85" s="41">
        <f t="shared" si="11"/>
        <v>1</v>
      </c>
      <c r="AO85" s="179" t="s">
        <v>353</v>
      </c>
      <c r="AP85" s="25" t="str">
        <f>_xlfn.XLOOKUP(F85,'TFS Details'!F:F,'TFS Details'!I:I)</f>
        <v>TechStars</v>
      </c>
      <c r="AQ85" s="25" t="str">
        <f>_xlfn.XLOOKUP(AP85,'TFS Details'!I:I,'TFS Details'!AE:AE)</f>
        <v>mohanraj.a.selvaraj</v>
      </c>
    </row>
    <row r="86" spans="1:43" ht="15">
      <c r="A86" s="24" t="str">
        <f>_xlfn.XLOOKUP(F86,'TFS Details'!F:F,'TFS Details'!D:D)</f>
        <v>DCSO</v>
      </c>
      <c r="B86" s="24" t="str">
        <f>_xlfn.XLOOKUP(F86,'TFS Details'!F:F,'TFS Details'!A:A)</f>
        <v>myISP - Digital DCSO</v>
      </c>
      <c r="C86" s="64">
        <f>_xlfn.XLOOKUP(F86,'TFS Details'!F:F,'TFS Details'!E:E)</f>
        <v>4278081</v>
      </c>
      <c r="D86" s="17" t="s">
        <v>29</v>
      </c>
      <c r="E86" s="17" t="s">
        <v>354</v>
      </c>
      <c r="F86" s="112">
        <v>4359567</v>
      </c>
      <c r="G86" s="17" t="s">
        <v>331</v>
      </c>
      <c r="J86" s="17" t="s">
        <v>74</v>
      </c>
      <c r="K86" s="17" t="s">
        <v>1</v>
      </c>
      <c r="L86" s="16"/>
      <c r="N86" s="17" t="s">
        <v>191</v>
      </c>
      <c r="O86" s="134">
        <v>8</v>
      </c>
      <c r="P86" s="33">
        <v>1</v>
      </c>
      <c r="Q86" s="176">
        <v>8</v>
      </c>
      <c r="R86" s="176">
        <v>4</v>
      </c>
      <c r="S86" s="176">
        <v>4</v>
      </c>
      <c r="T86" s="176">
        <v>8</v>
      </c>
      <c r="U86" s="33">
        <v>0.5</v>
      </c>
      <c r="V86" s="33">
        <v>0.4</v>
      </c>
      <c r="W86" s="17" t="s">
        <v>183</v>
      </c>
      <c r="X86" s="17" t="s">
        <v>183</v>
      </c>
      <c r="Y86" s="17" t="s">
        <v>183</v>
      </c>
      <c r="Z86" s="17" t="s">
        <v>183</v>
      </c>
      <c r="AA86" s="176">
        <v>11</v>
      </c>
      <c r="AB86" s="176">
        <v>7</v>
      </c>
      <c r="AC86" s="176">
        <v>6</v>
      </c>
      <c r="AD86" s="176">
        <v>13</v>
      </c>
      <c r="AE86" s="33">
        <v>0.5</v>
      </c>
      <c r="AF86" s="33">
        <v>0.5</v>
      </c>
      <c r="AG86" s="25" t="str">
        <f>_xlfn.XLOOKUP(F86,'TFS Details'!F:F,'TFS Details'!H:H)</f>
        <v>UAT In Test</v>
      </c>
      <c r="AH86" s="44">
        <v>13</v>
      </c>
      <c r="AI86" s="44">
        <v>0</v>
      </c>
      <c r="AJ86" s="44">
        <v>0</v>
      </c>
      <c r="AK86" s="44">
        <v>0</v>
      </c>
      <c r="AL86" s="40">
        <f t="shared" si="13"/>
        <v>13</v>
      </c>
      <c r="AM86" s="41">
        <f t="shared" si="9"/>
        <v>1</v>
      </c>
      <c r="AN86" s="41">
        <f t="shared" si="11"/>
        <v>1</v>
      </c>
      <c r="AO86" s="179" t="s">
        <v>353</v>
      </c>
      <c r="AP86" s="25" t="str">
        <f>_xlfn.XLOOKUP(F86,'TFS Details'!F:F,'TFS Details'!I:I)</f>
        <v>TechStars</v>
      </c>
      <c r="AQ86" s="25" t="str">
        <f>_xlfn.XLOOKUP(AP86,'TFS Details'!I:I,'TFS Details'!AE:AE)</f>
        <v>mohanraj.a.selvaraj</v>
      </c>
    </row>
    <row r="87" spans="1:43">
      <c r="A87" s="24" t="str">
        <f>_xlfn.XLOOKUP(F87,'TFS Details'!F:F,'TFS Details'!D:D)</f>
        <v>DCSO</v>
      </c>
      <c r="B87" s="24" t="str">
        <f>_xlfn.XLOOKUP(F87,'TFS Details'!F:F,'TFS Details'!A:A)</f>
        <v>myISP - Digital DCSO</v>
      </c>
      <c r="C87" s="64">
        <f>_xlfn.XLOOKUP(F87,'TFS Details'!F:F,'TFS Details'!E:E)</f>
        <v>4278081</v>
      </c>
      <c r="D87" s="17" t="s">
        <v>29</v>
      </c>
      <c r="E87" s="17" t="s">
        <v>355</v>
      </c>
      <c r="F87" s="112">
        <v>4359568</v>
      </c>
      <c r="G87" s="17" t="s">
        <v>356</v>
      </c>
      <c r="J87" s="21" t="s">
        <v>97</v>
      </c>
      <c r="K87" s="17" t="s">
        <v>1</v>
      </c>
      <c r="L87" s="16"/>
      <c r="N87" s="17" t="s">
        <v>191</v>
      </c>
      <c r="O87" s="134">
        <v>10</v>
      </c>
      <c r="P87" s="33">
        <v>1</v>
      </c>
      <c r="Q87" s="176">
        <v>10</v>
      </c>
      <c r="R87" s="176">
        <v>5</v>
      </c>
      <c r="S87" s="176">
        <v>5</v>
      </c>
      <c r="T87" s="176">
        <v>10</v>
      </c>
      <c r="U87" s="33">
        <v>0.5</v>
      </c>
      <c r="V87" s="33">
        <v>0.3</v>
      </c>
      <c r="W87" s="17" t="s">
        <v>183</v>
      </c>
      <c r="X87" s="17" t="s">
        <v>183</v>
      </c>
      <c r="Y87" s="17" t="s">
        <v>183</v>
      </c>
      <c r="Z87" s="17" t="s">
        <v>201</v>
      </c>
      <c r="AA87" s="176">
        <v>38</v>
      </c>
      <c r="AB87" s="176">
        <v>4</v>
      </c>
      <c r="AC87" s="176">
        <v>15</v>
      </c>
      <c r="AD87" s="176">
        <v>15</v>
      </c>
      <c r="AE87" s="33">
        <v>0.5</v>
      </c>
      <c r="AF87" s="33">
        <v>0.4</v>
      </c>
      <c r="AG87" s="25" t="str">
        <f>_xlfn.XLOOKUP(F87,'TFS Details'!F:F,'TFS Details'!H:H)</f>
        <v>UAT In Test</v>
      </c>
      <c r="AH87" s="44">
        <v>13</v>
      </c>
      <c r="AI87" s="44">
        <v>0</v>
      </c>
      <c r="AJ87" s="44">
        <v>0</v>
      </c>
      <c r="AK87" s="44">
        <v>0</v>
      </c>
      <c r="AL87" s="40">
        <f t="shared" si="13"/>
        <v>13</v>
      </c>
      <c r="AM87" s="41">
        <f t="shared" si="9"/>
        <v>1</v>
      </c>
      <c r="AN87" s="41">
        <f t="shared" si="11"/>
        <v>1</v>
      </c>
      <c r="AO87" s="25" t="s">
        <v>357</v>
      </c>
      <c r="AP87" s="25" t="str">
        <f>_xlfn.XLOOKUP(F87,'TFS Details'!F:F,'TFS Details'!I:I)</f>
        <v>TechStars</v>
      </c>
      <c r="AQ87" s="25" t="str">
        <f>_xlfn.XLOOKUP(AP87,'TFS Details'!I:I,'TFS Details'!AE:AE)</f>
        <v>mohanraj.a.selvaraj</v>
      </c>
    </row>
    <row r="88" spans="1:43">
      <c r="A88" s="24" t="str">
        <f>_xlfn.XLOOKUP(F88,'TFS Details'!F:F,'TFS Details'!D:D)</f>
        <v>DCSO</v>
      </c>
      <c r="B88" s="24" t="str">
        <f>_xlfn.XLOOKUP(F88,'TFS Details'!F:F,'TFS Details'!A:A)</f>
        <v>myISP - Digital DCSO</v>
      </c>
      <c r="C88" s="64">
        <f>_xlfn.XLOOKUP(F88,'TFS Details'!F:F,'TFS Details'!E:E)</f>
        <v>4278081</v>
      </c>
      <c r="D88" s="17" t="s">
        <v>29</v>
      </c>
      <c r="E88" s="17" t="s">
        <v>358</v>
      </c>
      <c r="F88" s="112">
        <v>4359569</v>
      </c>
      <c r="G88" s="17" t="s">
        <v>356</v>
      </c>
      <c r="J88" s="21" t="s">
        <v>97</v>
      </c>
      <c r="K88" s="17" t="s">
        <v>1</v>
      </c>
      <c r="L88" s="16"/>
      <c r="N88" s="97"/>
      <c r="O88" s="134">
        <v>5</v>
      </c>
      <c r="P88" s="33">
        <v>1</v>
      </c>
      <c r="Q88" s="176">
        <v>5</v>
      </c>
      <c r="R88" s="176">
        <v>5</v>
      </c>
      <c r="S88" s="176">
        <v>5</v>
      </c>
      <c r="T88" s="176">
        <v>5</v>
      </c>
      <c r="U88" s="33">
        <v>0.4</v>
      </c>
      <c r="V88" s="33">
        <v>0.3</v>
      </c>
      <c r="W88" s="17" t="s">
        <v>183</v>
      </c>
      <c r="X88" s="17" t="s">
        <v>183</v>
      </c>
      <c r="Y88" s="17" t="s">
        <v>183</v>
      </c>
      <c r="Z88" s="17" t="s">
        <v>183</v>
      </c>
      <c r="AA88" s="176">
        <v>20</v>
      </c>
      <c r="AB88" s="176">
        <v>2</v>
      </c>
      <c r="AC88" s="176">
        <v>5</v>
      </c>
      <c r="AD88" s="176">
        <v>5</v>
      </c>
      <c r="AE88" s="33">
        <v>0.4</v>
      </c>
      <c r="AF88" s="33">
        <v>0.3</v>
      </c>
      <c r="AG88" s="25" t="str">
        <f>_xlfn.XLOOKUP(F88,'TFS Details'!F:F,'TFS Details'!H:H)</f>
        <v>UAT In Test</v>
      </c>
      <c r="AH88" s="44">
        <v>5</v>
      </c>
      <c r="AI88" s="44">
        <v>0</v>
      </c>
      <c r="AJ88" s="44">
        <v>0</v>
      </c>
      <c r="AK88" s="44">
        <v>0</v>
      </c>
      <c r="AL88" s="40">
        <f t="shared" si="13"/>
        <v>5</v>
      </c>
      <c r="AM88" s="41">
        <f t="shared" si="9"/>
        <v>1</v>
      </c>
      <c r="AN88" s="41">
        <f t="shared" si="11"/>
        <v>1</v>
      </c>
      <c r="AO88" s="25" t="s">
        <v>359</v>
      </c>
      <c r="AP88" s="25" t="str">
        <f>_xlfn.XLOOKUP(F88,'TFS Details'!F:F,'TFS Details'!I:I)</f>
        <v>TechStars</v>
      </c>
      <c r="AQ88" s="25" t="str">
        <f>_xlfn.XLOOKUP(AP88,'TFS Details'!I:I,'TFS Details'!AE:AE)</f>
        <v>mohanraj.a.selvaraj</v>
      </c>
    </row>
    <row r="89" spans="1:43">
      <c r="A89" s="24" t="str">
        <f>_xlfn.XLOOKUP(F89,'TFS Details'!F:F,'TFS Details'!D:D)</f>
        <v>DCSO</v>
      </c>
      <c r="B89" s="24" t="str">
        <f>_xlfn.XLOOKUP(F89,'TFS Details'!F:F,'TFS Details'!A:A)</f>
        <v>myISP - Digital DCSO</v>
      </c>
      <c r="C89" s="64">
        <f>_xlfn.XLOOKUP(F89,'TFS Details'!F:F,'TFS Details'!E:E)</f>
        <v>4278081</v>
      </c>
      <c r="D89" s="17" t="s">
        <v>29</v>
      </c>
      <c r="E89" s="17" t="s">
        <v>360</v>
      </c>
      <c r="F89" s="112">
        <v>4359570</v>
      </c>
      <c r="G89" s="17" t="s">
        <v>356</v>
      </c>
      <c r="J89" s="21" t="s">
        <v>82</v>
      </c>
      <c r="K89" s="17" t="s">
        <v>1</v>
      </c>
      <c r="L89" s="16"/>
      <c r="N89" s="17" t="s">
        <v>191</v>
      </c>
      <c r="O89" s="134">
        <v>6</v>
      </c>
      <c r="P89" s="33">
        <v>1</v>
      </c>
      <c r="Q89" s="176">
        <v>6</v>
      </c>
      <c r="R89" s="176">
        <v>5</v>
      </c>
      <c r="S89" s="176">
        <v>1</v>
      </c>
      <c r="T89" s="176">
        <v>6</v>
      </c>
      <c r="U89" s="141">
        <v>0.7</v>
      </c>
      <c r="V89" s="141">
        <v>0.7</v>
      </c>
      <c r="W89" s="17" t="s">
        <v>183</v>
      </c>
      <c r="X89" s="17" t="s">
        <v>183</v>
      </c>
      <c r="Y89" s="17" t="s">
        <v>183</v>
      </c>
      <c r="Z89" s="17" t="s">
        <v>201</v>
      </c>
      <c r="AA89" s="176">
        <v>50</v>
      </c>
      <c r="AB89" s="176">
        <v>2</v>
      </c>
      <c r="AC89" s="176">
        <v>7</v>
      </c>
      <c r="AD89" s="176">
        <v>7</v>
      </c>
      <c r="AE89" s="33">
        <v>0.6</v>
      </c>
      <c r="AF89" s="33">
        <v>0.4</v>
      </c>
      <c r="AG89" s="25" t="str">
        <f>_xlfn.XLOOKUP(F89,'TFS Details'!F:F,'TFS Details'!H:H)</f>
        <v>UAT In Test</v>
      </c>
      <c r="AH89" s="44">
        <v>6</v>
      </c>
      <c r="AI89" s="44">
        <v>0</v>
      </c>
      <c r="AJ89" s="44">
        <v>0</v>
      </c>
      <c r="AK89" s="44">
        <v>0</v>
      </c>
      <c r="AL89" s="40">
        <f t="shared" si="13"/>
        <v>6</v>
      </c>
      <c r="AM89" s="41">
        <f t="shared" si="9"/>
        <v>1</v>
      </c>
      <c r="AN89" s="41">
        <f t="shared" si="11"/>
        <v>1</v>
      </c>
      <c r="AO89" s="25" t="s">
        <v>361</v>
      </c>
      <c r="AP89" s="25" t="str">
        <f>_xlfn.XLOOKUP(F89,'TFS Details'!F:F,'TFS Details'!I:I)</f>
        <v>TechStars</v>
      </c>
      <c r="AQ89" s="25" t="str">
        <f>_xlfn.XLOOKUP(AP89,'TFS Details'!I:I,'TFS Details'!AE:AE)</f>
        <v>mohanraj.a.selvaraj</v>
      </c>
    </row>
    <row r="90" spans="1:43" ht="14.25" customHeight="1">
      <c r="A90" s="24" t="str">
        <f>_xlfn.XLOOKUP(F90,'TFS Details'!F:F,'TFS Details'!D:D)</f>
        <v>DCSO</v>
      </c>
      <c r="B90" s="24" t="str">
        <f>_xlfn.XLOOKUP(F90,'TFS Details'!F:F,'TFS Details'!A:A)</f>
        <v>myISP - Digital DCSO</v>
      </c>
      <c r="C90" s="64">
        <f>_xlfn.XLOOKUP(F90,'TFS Details'!F:F,'TFS Details'!E:E)</f>
        <v>4278081</v>
      </c>
      <c r="D90" s="17" t="s">
        <v>29</v>
      </c>
      <c r="E90" s="17" t="s">
        <v>362</v>
      </c>
      <c r="F90" s="112">
        <v>4359571</v>
      </c>
      <c r="G90" s="17" t="s">
        <v>356</v>
      </c>
      <c r="K90" s="97" t="s">
        <v>18</v>
      </c>
      <c r="L90" s="16" t="s">
        <v>363</v>
      </c>
      <c r="M90" s="97" t="s">
        <v>34</v>
      </c>
      <c r="N90" s="17"/>
      <c r="O90" s="134"/>
      <c r="Q90" s="176"/>
      <c r="R90" s="176"/>
      <c r="S90" s="176"/>
      <c r="T90" s="176"/>
      <c r="W90" s="17" t="s">
        <v>183</v>
      </c>
      <c r="X90" s="17" t="s">
        <v>183</v>
      </c>
      <c r="Y90" s="17" t="s">
        <v>183</v>
      </c>
      <c r="Z90" s="17" t="s">
        <v>201</v>
      </c>
      <c r="AA90" s="176">
        <v>40</v>
      </c>
      <c r="AB90" s="176">
        <v>1</v>
      </c>
      <c r="AC90" s="176">
        <v>24</v>
      </c>
      <c r="AD90" s="176">
        <v>24</v>
      </c>
      <c r="AE90" s="33">
        <v>0.4</v>
      </c>
      <c r="AF90" s="33">
        <v>0.3</v>
      </c>
      <c r="AG90" s="25" t="str">
        <f>_xlfn.XLOOKUP(F90,'TFS Details'!F:F,'TFS Details'!H:H)</f>
        <v>UAT In Test</v>
      </c>
      <c r="AH90" s="44">
        <v>24</v>
      </c>
      <c r="AI90" s="44">
        <v>0</v>
      </c>
      <c r="AJ90" s="44">
        <v>0</v>
      </c>
      <c r="AK90" s="44">
        <v>0</v>
      </c>
      <c r="AL90" s="40">
        <f t="shared" ref="AL90:AL91" si="14">SUM(AH90:AK90)</f>
        <v>24</v>
      </c>
      <c r="AM90" s="41">
        <f t="shared" si="9"/>
        <v>1</v>
      </c>
      <c r="AN90" s="41">
        <f t="shared" si="11"/>
        <v>1</v>
      </c>
      <c r="AO90" s="126" t="s">
        <v>364</v>
      </c>
      <c r="AP90" s="25" t="str">
        <f>_xlfn.XLOOKUP(F90,'TFS Details'!F:F,'TFS Details'!I:I)</f>
        <v>TechStars</v>
      </c>
      <c r="AQ90" s="25" t="str">
        <f>_xlfn.XLOOKUP(AP90,'TFS Details'!I:I,'TFS Details'!AE:AE)</f>
        <v>mohanraj.a.selvaraj</v>
      </c>
    </row>
    <row r="91" spans="1:43" ht="14.25" customHeight="1">
      <c r="A91" s="24" t="str">
        <f>_xlfn.XLOOKUP(F91,'TFS Details'!F:F,'TFS Details'!D:D)</f>
        <v>DCSO</v>
      </c>
      <c r="B91" s="24" t="str">
        <f>_xlfn.XLOOKUP(F91,'TFS Details'!F:F,'TFS Details'!A:A)</f>
        <v>myISP - Digital DCSO</v>
      </c>
      <c r="C91" s="64">
        <f>_xlfn.XLOOKUP(F91,'TFS Details'!F:F,'TFS Details'!E:E)</f>
        <v>4278081</v>
      </c>
      <c r="D91" s="17" t="s">
        <v>29</v>
      </c>
      <c r="E91" s="17" t="s">
        <v>365</v>
      </c>
      <c r="F91" s="112">
        <v>4359572</v>
      </c>
      <c r="G91" s="17" t="s">
        <v>356</v>
      </c>
      <c r="K91" s="17" t="s">
        <v>18</v>
      </c>
      <c r="L91" s="82" t="s">
        <v>366</v>
      </c>
      <c r="M91" s="16" t="s">
        <v>34</v>
      </c>
      <c r="N91" s="17" t="s">
        <v>191</v>
      </c>
      <c r="O91" s="134"/>
      <c r="Q91" s="176"/>
      <c r="R91" s="176"/>
      <c r="S91" s="176"/>
      <c r="T91" s="176"/>
      <c r="U91" s="176"/>
      <c r="V91" s="176"/>
      <c r="W91" s="17" t="s">
        <v>183</v>
      </c>
      <c r="X91" s="17" t="s">
        <v>183</v>
      </c>
      <c r="Y91" s="17" t="s">
        <v>183</v>
      </c>
      <c r="Z91" s="17" t="s">
        <v>201</v>
      </c>
      <c r="AA91" s="176">
        <v>10</v>
      </c>
      <c r="AB91" s="176">
        <v>2</v>
      </c>
      <c r="AC91" s="176">
        <v>6</v>
      </c>
      <c r="AD91" s="176">
        <v>6</v>
      </c>
      <c r="AE91" s="33">
        <v>0.4</v>
      </c>
      <c r="AF91" s="33">
        <v>0.2</v>
      </c>
      <c r="AG91" s="25" t="str">
        <f>_xlfn.XLOOKUP(F91,'TFS Details'!F:F,'TFS Details'!H:H)</f>
        <v>UAT In Test</v>
      </c>
      <c r="AH91" s="44">
        <v>6</v>
      </c>
      <c r="AI91" s="44">
        <v>0</v>
      </c>
      <c r="AJ91" s="44">
        <v>0</v>
      </c>
      <c r="AK91" s="44">
        <v>0</v>
      </c>
      <c r="AL91" s="40">
        <f t="shared" si="14"/>
        <v>6</v>
      </c>
      <c r="AM91" s="41">
        <f t="shared" si="9"/>
        <v>1</v>
      </c>
      <c r="AN91" s="41">
        <f t="shared" si="11"/>
        <v>1</v>
      </c>
      <c r="AO91" s="126" t="s">
        <v>367</v>
      </c>
      <c r="AP91" s="25" t="str">
        <f>_xlfn.XLOOKUP(F91,'TFS Details'!F:F,'TFS Details'!I:I)</f>
        <v>TechStars</v>
      </c>
      <c r="AQ91" s="25" t="str">
        <f>_xlfn.XLOOKUP(AP91,'TFS Details'!I:I,'TFS Details'!AE:AE)</f>
        <v>mohanraj.a.selvaraj</v>
      </c>
    </row>
    <row r="92" spans="1:43">
      <c r="A92" s="24" t="str">
        <f>_xlfn.XLOOKUP(F92,'TFS Details'!F:F,'TFS Details'!D:D)</f>
        <v>DCSO</v>
      </c>
      <c r="B92" s="24" t="str">
        <f>_xlfn.XLOOKUP(F92,'TFS Details'!F:F,'TFS Details'!A:A)</f>
        <v>myISP - Digital DCSO</v>
      </c>
      <c r="C92" s="64">
        <f>_xlfn.XLOOKUP(F92,'TFS Details'!F:F,'TFS Details'!E:E)</f>
        <v>4278081</v>
      </c>
      <c r="D92" s="17" t="s">
        <v>29</v>
      </c>
      <c r="E92" s="17" t="s">
        <v>368</v>
      </c>
      <c r="F92" s="112">
        <v>4359573</v>
      </c>
      <c r="G92" s="17" t="s">
        <v>347</v>
      </c>
      <c r="J92" s="17" t="s">
        <v>86</v>
      </c>
      <c r="K92" s="17" t="s">
        <v>1</v>
      </c>
      <c r="L92" s="16"/>
      <c r="N92" s="17" t="s">
        <v>369</v>
      </c>
      <c r="O92" s="134">
        <v>6</v>
      </c>
      <c r="P92" s="33">
        <v>1</v>
      </c>
      <c r="Q92" s="176">
        <v>6</v>
      </c>
      <c r="R92" s="176">
        <v>6</v>
      </c>
      <c r="S92" s="176">
        <v>0</v>
      </c>
      <c r="T92" s="176">
        <v>6</v>
      </c>
      <c r="U92" s="33">
        <v>0.86</v>
      </c>
      <c r="V92" s="33">
        <v>0.7</v>
      </c>
      <c r="W92" s="17" t="s">
        <v>183</v>
      </c>
      <c r="X92" s="17" t="s">
        <v>183</v>
      </c>
      <c r="Y92" s="17" t="s">
        <v>183</v>
      </c>
      <c r="Z92" s="17" t="s">
        <v>183</v>
      </c>
      <c r="AA92" s="176">
        <v>15</v>
      </c>
      <c r="AB92" s="176">
        <v>6</v>
      </c>
      <c r="AC92" s="176">
        <v>7</v>
      </c>
      <c r="AD92" s="176">
        <v>7</v>
      </c>
      <c r="AE92" s="33">
        <v>0.86</v>
      </c>
      <c r="AF92" s="33">
        <v>0.86</v>
      </c>
      <c r="AG92" s="25" t="str">
        <f>_xlfn.XLOOKUP(F92,'TFS Details'!F:F,'TFS Details'!H:H)</f>
        <v>UAT In Test</v>
      </c>
      <c r="AH92" s="44">
        <v>7</v>
      </c>
      <c r="AI92" s="44">
        <v>0</v>
      </c>
      <c r="AJ92" s="44">
        <v>0</v>
      </c>
      <c r="AK92" s="44">
        <v>0</v>
      </c>
      <c r="AL92" s="40">
        <f t="shared" ref="AL92:AL100" si="15">SUM(AH92:AK92)</f>
        <v>7</v>
      </c>
      <c r="AM92" s="41">
        <f t="shared" si="9"/>
        <v>1</v>
      </c>
      <c r="AN92" s="41">
        <f t="shared" si="11"/>
        <v>1</v>
      </c>
      <c r="AO92" s="25" t="s">
        <v>370</v>
      </c>
      <c r="AP92" s="25" t="str">
        <f>_xlfn.XLOOKUP(F92,'TFS Details'!F:F,'TFS Details'!I:I)</f>
        <v>TechWarriors</v>
      </c>
      <c r="AQ92" s="25" t="str">
        <f>_xlfn.XLOOKUP(AP92,'TFS Details'!I:I,'TFS Details'!AE:AE)</f>
        <v>sowjanya.kari</v>
      </c>
    </row>
    <row r="93" spans="1:43">
      <c r="A93" s="24" t="str">
        <f>_xlfn.XLOOKUP(F93,'TFS Details'!F:F,'TFS Details'!D:D)</f>
        <v>DCSO</v>
      </c>
      <c r="B93" s="24" t="str">
        <f>_xlfn.XLOOKUP(F93,'TFS Details'!F:F,'TFS Details'!A:A)</f>
        <v>myISP - Digital DCSO</v>
      </c>
      <c r="C93" s="64">
        <f>_xlfn.XLOOKUP(F93,'TFS Details'!F:F,'TFS Details'!E:E)</f>
        <v>4278081</v>
      </c>
      <c r="D93" s="17" t="s">
        <v>29</v>
      </c>
      <c r="E93" s="17" t="s">
        <v>371</v>
      </c>
      <c r="F93" s="112">
        <v>4359574</v>
      </c>
      <c r="G93" s="17" t="s">
        <v>347</v>
      </c>
      <c r="J93" s="17" t="s">
        <v>86</v>
      </c>
      <c r="K93" s="17" t="s">
        <v>1</v>
      </c>
      <c r="L93" s="16"/>
      <c r="N93" s="17" t="s">
        <v>369</v>
      </c>
      <c r="O93" s="134">
        <v>6</v>
      </c>
      <c r="P93" s="33">
        <v>1</v>
      </c>
      <c r="Q93" s="176">
        <v>6</v>
      </c>
      <c r="R93" s="176">
        <v>6</v>
      </c>
      <c r="S93" s="176">
        <v>0</v>
      </c>
      <c r="T93" s="176">
        <v>6</v>
      </c>
      <c r="U93" s="33">
        <v>0.86</v>
      </c>
      <c r="V93" s="33">
        <v>0.7</v>
      </c>
      <c r="W93" s="17" t="s">
        <v>183</v>
      </c>
      <c r="X93" s="17" t="s">
        <v>183</v>
      </c>
      <c r="Y93" s="17" t="s">
        <v>183</v>
      </c>
      <c r="Z93" s="17" t="s">
        <v>183</v>
      </c>
      <c r="AA93" s="176">
        <v>15</v>
      </c>
      <c r="AB93" s="176">
        <v>6</v>
      </c>
      <c r="AC93" s="176">
        <v>7</v>
      </c>
      <c r="AD93" s="176">
        <v>7</v>
      </c>
      <c r="AE93" s="33">
        <v>0.86</v>
      </c>
      <c r="AF93" s="33">
        <v>0.86</v>
      </c>
      <c r="AG93" s="25" t="str">
        <f>_xlfn.XLOOKUP(F93,'TFS Details'!F:F,'TFS Details'!H:H)</f>
        <v>UAT In Test</v>
      </c>
      <c r="AH93" s="44">
        <v>7</v>
      </c>
      <c r="AI93" s="44">
        <v>0</v>
      </c>
      <c r="AJ93" s="44">
        <v>0</v>
      </c>
      <c r="AK93" s="44">
        <v>0</v>
      </c>
      <c r="AL93" s="40">
        <f t="shared" si="15"/>
        <v>7</v>
      </c>
      <c r="AM93" s="41">
        <f t="shared" si="9"/>
        <v>1</v>
      </c>
      <c r="AN93" s="41">
        <f t="shared" si="11"/>
        <v>1</v>
      </c>
      <c r="AO93" s="170"/>
      <c r="AP93" s="25" t="str">
        <f>_xlfn.XLOOKUP(F93,'TFS Details'!F:F,'TFS Details'!I:I)</f>
        <v>TechWarriors</v>
      </c>
      <c r="AQ93" s="25" t="str">
        <f>_xlfn.XLOOKUP(AP93,'TFS Details'!I:I,'TFS Details'!AE:AE)</f>
        <v>sowjanya.kari</v>
      </c>
    </row>
    <row r="94" spans="1:43">
      <c r="A94" s="24" t="str">
        <f>_xlfn.XLOOKUP(F94,'TFS Details'!F:F,'TFS Details'!D:D)</f>
        <v>DCSO</v>
      </c>
      <c r="B94" s="24" t="str">
        <f>_xlfn.XLOOKUP(F94,'TFS Details'!F:F,'TFS Details'!A:A)</f>
        <v>myISP - Digital DCSO</v>
      </c>
      <c r="C94" s="64">
        <f>_xlfn.XLOOKUP(F94,'TFS Details'!F:F,'TFS Details'!E:E)</f>
        <v>4278081</v>
      </c>
      <c r="D94" s="17" t="s">
        <v>29</v>
      </c>
      <c r="E94" s="17" t="s">
        <v>372</v>
      </c>
      <c r="F94" s="112">
        <v>4359575</v>
      </c>
      <c r="G94" s="17" t="s">
        <v>347</v>
      </c>
      <c r="J94" s="17" t="s">
        <v>86</v>
      </c>
      <c r="K94" s="17" t="s">
        <v>1</v>
      </c>
      <c r="L94" s="16"/>
      <c r="N94" s="17" t="s">
        <v>369</v>
      </c>
      <c r="O94" s="134">
        <v>6</v>
      </c>
      <c r="P94" s="33">
        <v>1</v>
      </c>
      <c r="Q94" s="176">
        <v>6</v>
      </c>
      <c r="R94" s="176">
        <v>6</v>
      </c>
      <c r="S94" s="176">
        <v>0</v>
      </c>
      <c r="T94" s="176">
        <v>6</v>
      </c>
      <c r="U94" s="33">
        <v>0.86</v>
      </c>
      <c r="V94" s="33">
        <v>0.7</v>
      </c>
      <c r="W94" s="17" t="s">
        <v>183</v>
      </c>
      <c r="X94" s="17" t="s">
        <v>183</v>
      </c>
      <c r="Y94" s="17" t="s">
        <v>183</v>
      </c>
      <c r="Z94" s="17" t="s">
        <v>183</v>
      </c>
      <c r="AA94" s="176">
        <v>15</v>
      </c>
      <c r="AB94" s="176">
        <v>6</v>
      </c>
      <c r="AC94" s="176">
        <v>7</v>
      </c>
      <c r="AD94" s="176">
        <v>7</v>
      </c>
      <c r="AE94" s="33">
        <v>0.86</v>
      </c>
      <c r="AF94" s="33">
        <v>0.86</v>
      </c>
      <c r="AG94" s="25" t="str">
        <f>_xlfn.XLOOKUP(F94,'TFS Details'!F:F,'TFS Details'!H:H)</f>
        <v>UAT In Test</v>
      </c>
      <c r="AH94" s="44">
        <v>7</v>
      </c>
      <c r="AI94" s="44">
        <v>0</v>
      </c>
      <c r="AJ94" s="44">
        <v>0</v>
      </c>
      <c r="AK94" s="44">
        <v>0</v>
      </c>
      <c r="AL94" s="40">
        <f t="shared" si="15"/>
        <v>7</v>
      </c>
      <c r="AM94" s="41">
        <f t="shared" si="9"/>
        <v>1</v>
      </c>
      <c r="AN94" s="41">
        <f t="shared" si="11"/>
        <v>1</v>
      </c>
      <c r="AO94" s="170"/>
      <c r="AP94" s="25" t="str">
        <f>_xlfn.XLOOKUP(F94,'TFS Details'!F:F,'TFS Details'!I:I)</f>
        <v>TechWarriors</v>
      </c>
      <c r="AQ94" s="25" t="str">
        <f>_xlfn.XLOOKUP(AP94,'TFS Details'!I:I,'TFS Details'!AE:AE)</f>
        <v>sowjanya.kari</v>
      </c>
    </row>
    <row r="95" spans="1:43">
      <c r="A95" s="24" t="str">
        <f>_xlfn.XLOOKUP(F95,'TFS Details'!F:F,'TFS Details'!D:D)</f>
        <v>DCSO</v>
      </c>
      <c r="B95" s="24" t="str">
        <f>_xlfn.XLOOKUP(F95,'TFS Details'!F:F,'TFS Details'!A:A)</f>
        <v>myISP - Digital DCSO</v>
      </c>
      <c r="C95" s="64">
        <f>_xlfn.XLOOKUP(F95,'TFS Details'!F:F,'TFS Details'!E:E)</f>
        <v>4278081</v>
      </c>
      <c r="D95" s="17" t="s">
        <v>29</v>
      </c>
      <c r="E95" s="17" t="s">
        <v>373</v>
      </c>
      <c r="F95" s="112">
        <v>4359576</v>
      </c>
      <c r="G95" s="17" t="s">
        <v>347</v>
      </c>
      <c r="J95" s="21" t="s">
        <v>37</v>
      </c>
      <c r="K95" s="17" t="s">
        <v>1</v>
      </c>
      <c r="L95" s="16"/>
      <c r="N95" s="17" t="s">
        <v>369</v>
      </c>
      <c r="O95" s="134">
        <v>3</v>
      </c>
      <c r="P95" s="33">
        <v>1</v>
      </c>
      <c r="Q95" s="176">
        <v>3</v>
      </c>
      <c r="R95" s="176">
        <v>3</v>
      </c>
      <c r="S95" s="176">
        <v>0</v>
      </c>
      <c r="T95" s="176">
        <v>3</v>
      </c>
      <c r="U95" s="33">
        <v>1</v>
      </c>
      <c r="V95" s="33">
        <v>1</v>
      </c>
      <c r="W95" s="17" t="s">
        <v>183</v>
      </c>
      <c r="X95" s="17" t="s">
        <v>183</v>
      </c>
      <c r="Y95" s="17" t="s">
        <v>183</v>
      </c>
      <c r="Z95" s="17" t="s">
        <v>183</v>
      </c>
      <c r="AA95" s="176">
        <v>10</v>
      </c>
      <c r="AB95" s="176">
        <v>2</v>
      </c>
      <c r="AC95" s="176">
        <v>3</v>
      </c>
      <c r="AD95" s="176">
        <v>3</v>
      </c>
      <c r="AE95" s="33">
        <v>0.66</v>
      </c>
      <c r="AF95" s="33">
        <v>0.66</v>
      </c>
      <c r="AG95" s="25" t="str">
        <f>_xlfn.XLOOKUP(F95,'TFS Details'!F:F,'TFS Details'!H:H)</f>
        <v>UAT In Test</v>
      </c>
      <c r="AH95" s="44">
        <v>3</v>
      </c>
      <c r="AI95" s="44">
        <v>0</v>
      </c>
      <c r="AJ95" s="44">
        <v>0</v>
      </c>
      <c r="AK95" s="44">
        <v>0</v>
      </c>
      <c r="AL95" s="40">
        <f t="shared" si="15"/>
        <v>3</v>
      </c>
      <c r="AM95" s="41">
        <f t="shared" si="9"/>
        <v>1</v>
      </c>
      <c r="AN95" s="41">
        <f t="shared" si="11"/>
        <v>1</v>
      </c>
      <c r="AO95" s="25"/>
      <c r="AP95" s="25" t="str">
        <f>_xlfn.XLOOKUP(F95,'TFS Details'!F:F,'TFS Details'!I:I)</f>
        <v>TechWarriors</v>
      </c>
      <c r="AQ95" s="25" t="str">
        <f>_xlfn.XLOOKUP(AP95,'TFS Details'!I:I,'TFS Details'!AE:AE)</f>
        <v>sowjanya.kari</v>
      </c>
    </row>
    <row r="96" spans="1:43">
      <c r="A96" s="24" t="str">
        <f>_xlfn.XLOOKUP(F96,'TFS Details'!F:F,'TFS Details'!D:D)</f>
        <v>DCSO</v>
      </c>
      <c r="B96" s="24" t="str">
        <f>_xlfn.XLOOKUP(F96,'TFS Details'!F:F,'TFS Details'!A:A)</f>
        <v>myISP - Digital DCSO</v>
      </c>
      <c r="C96" s="64">
        <f>_xlfn.XLOOKUP(F96,'TFS Details'!F:F,'TFS Details'!E:E)</f>
        <v>4278081</v>
      </c>
      <c r="D96" s="17" t="s">
        <v>29</v>
      </c>
      <c r="E96" s="17" t="s">
        <v>374</v>
      </c>
      <c r="F96" s="112">
        <v>4359577</v>
      </c>
      <c r="G96" s="17" t="s">
        <v>347</v>
      </c>
      <c r="J96" s="21" t="s">
        <v>37</v>
      </c>
      <c r="K96" s="17" t="s">
        <v>1</v>
      </c>
      <c r="L96" s="16"/>
      <c r="N96" s="17" t="s">
        <v>369</v>
      </c>
      <c r="O96" s="134">
        <v>11</v>
      </c>
      <c r="P96" s="33">
        <v>1</v>
      </c>
      <c r="Q96" s="176">
        <v>11</v>
      </c>
      <c r="R96" s="176">
        <v>6</v>
      </c>
      <c r="S96" s="176">
        <v>5</v>
      </c>
      <c r="T96" s="176">
        <v>11</v>
      </c>
      <c r="U96" s="33">
        <v>0.6</v>
      </c>
      <c r="V96" s="33">
        <v>0.6</v>
      </c>
      <c r="W96" s="17" t="s">
        <v>183</v>
      </c>
      <c r="X96" s="17" t="s">
        <v>183</v>
      </c>
      <c r="Y96" s="17" t="s">
        <v>183</v>
      </c>
      <c r="Z96" s="17" t="s">
        <v>183</v>
      </c>
      <c r="AA96" s="176">
        <v>20</v>
      </c>
      <c r="AB96" s="176">
        <v>8</v>
      </c>
      <c r="AC96" s="176">
        <v>11</v>
      </c>
      <c r="AD96" s="176">
        <v>11</v>
      </c>
      <c r="AE96" s="33">
        <v>0.72</v>
      </c>
      <c r="AF96" s="33">
        <v>0.72</v>
      </c>
      <c r="AG96" s="25" t="str">
        <f>_xlfn.XLOOKUP(F96,'TFS Details'!F:F,'TFS Details'!H:H)</f>
        <v>UAT In Test</v>
      </c>
      <c r="AH96" s="44">
        <v>11</v>
      </c>
      <c r="AI96" s="44">
        <v>0</v>
      </c>
      <c r="AJ96" s="44">
        <v>0</v>
      </c>
      <c r="AK96" s="44">
        <v>0</v>
      </c>
      <c r="AL96" s="40">
        <f t="shared" si="15"/>
        <v>11</v>
      </c>
      <c r="AM96" s="41">
        <f t="shared" si="9"/>
        <v>1</v>
      </c>
      <c r="AN96" s="41">
        <f t="shared" si="11"/>
        <v>1</v>
      </c>
      <c r="AO96" s="25"/>
      <c r="AP96" s="25" t="str">
        <f>_xlfn.XLOOKUP(F96,'TFS Details'!F:F,'TFS Details'!I:I)</f>
        <v>Pirates</v>
      </c>
      <c r="AQ96" s="25" t="str">
        <f>_xlfn.XLOOKUP(AP96,'TFS Details'!I:I,'TFS Details'!AE:AE)</f>
        <v>pandidurai.ks</v>
      </c>
    </row>
    <row r="97" spans="1:43">
      <c r="A97" s="24" t="str">
        <f>_xlfn.XLOOKUP(F97,'TFS Details'!F:F,'TFS Details'!D:D)</f>
        <v>DCSO</v>
      </c>
      <c r="B97" s="24" t="str">
        <f>_xlfn.XLOOKUP(F97,'TFS Details'!F:F,'TFS Details'!A:A)</f>
        <v>myISP - Digital DCSO</v>
      </c>
      <c r="C97" s="64">
        <f>_xlfn.XLOOKUP(F97,'TFS Details'!F:F,'TFS Details'!E:E)</f>
        <v>4278081</v>
      </c>
      <c r="D97" s="17" t="s">
        <v>29</v>
      </c>
      <c r="E97" s="17" t="s">
        <v>375</v>
      </c>
      <c r="F97" s="112">
        <v>4359578</v>
      </c>
      <c r="G97" s="17" t="s">
        <v>350</v>
      </c>
      <c r="J97" s="17" t="s">
        <v>117</v>
      </c>
      <c r="K97" s="17" t="s">
        <v>1</v>
      </c>
      <c r="L97" s="16"/>
      <c r="N97" s="17" t="s">
        <v>277</v>
      </c>
      <c r="O97" s="134">
        <v>3</v>
      </c>
      <c r="P97" s="33">
        <v>1</v>
      </c>
      <c r="Q97" s="176">
        <v>3</v>
      </c>
      <c r="R97" s="176">
        <v>2</v>
      </c>
      <c r="S97" s="176">
        <v>1</v>
      </c>
      <c r="T97" s="176">
        <v>3</v>
      </c>
      <c r="U97" s="105">
        <v>0.8</v>
      </c>
      <c r="V97" s="105">
        <v>0.7</v>
      </c>
      <c r="W97" s="17" t="s">
        <v>183</v>
      </c>
      <c r="X97" s="17" t="s">
        <v>183</v>
      </c>
      <c r="Y97" s="17" t="s">
        <v>183</v>
      </c>
      <c r="Z97" s="17" t="s">
        <v>183</v>
      </c>
      <c r="AA97" s="176">
        <v>10</v>
      </c>
      <c r="AB97" s="176">
        <v>5</v>
      </c>
      <c r="AC97" s="176">
        <v>0</v>
      </c>
      <c r="AD97" s="176">
        <v>3</v>
      </c>
      <c r="AE97" s="191">
        <v>1</v>
      </c>
      <c r="AF97" s="191">
        <v>1</v>
      </c>
      <c r="AG97" s="25" t="str">
        <f>_xlfn.XLOOKUP(F97,'TFS Details'!F:F,'TFS Details'!H:H)</f>
        <v>UAT In Test</v>
      </c>
      <c r="AH97" s="44">
        <v>5</v>
      </c>
      <c r="AI97" s="44">
        <v>0</v>
      </c>
      <c r="AJ97" s="44">
        <v>0</v>
      </c>
      <c r="AK97" s="44">
        <v>0</v>
      </c>
      <c r="AL97" s="40">
        <f t="shared" si="15"/>
        <v>5</v>
      </c>
      <c r="AM97" s="41">
        <f t="shared" si="9"/>
        <v>1</v>
      </c>
      <c r="AN97" s="41">
        <f t="shared" si="11"/>
        <v>1</v>
      </c>
      <c r="AO97" s="25"/>
      <c r="AP97" s="25" t="str">
        <f>_xlfn.XLOOKUP(F97,'TFS Details'!F:F,'TFS Details'!I:I)</f>
        <v>TechWarriors</v>
      </c>
      <c r="AQ97" s="25" t="str">
        <f>_xlfn.XLOOKUP(AP97,'TFS Details'!I:I,'TFS Details'!AE:AE)</f>
        <v>sowjanya.kari</v>
      </c>
    </row>
    <row r="98" spans="1:43">
      <c r="A98" s="24" t="str">
        <f>_xlfn.XLOOKUP(F98,'TFS Details'!F:F,'TFS Details'!D:D)</f>
        <v>DCSO</v>
      </c>
      <c r="B98" s="24" t="str">
        <f>_xlfn.XLOOKUP(F98,'TFS Details'!F:F,'TFS Details'!A:A)</f>
        <v>myISP - Digital DCSO</v>
      </c>
      <c r="C98" s="64">
        <f>_xlfn.XLOOKUP(F98,'TFS Details'!F:F,'TFS Details'!E:E)</f>
        <v>4278081</v>
      </c>
      <c r="D98" s="17" t="s">
        <v>29</v>
      </c>
      <c r="E98" s="17" t="s">
        <v>376</v>
      </c>
      <c r="F98" s="112">
        <v>4359579</v>
      </c>
      <c r="G98" s="17" t="s">
        <v>350</v>
      </c>
      <c r="J98" s="17" t="s">
        <v>117</v>
      </c>
      <c r="K98" s="17" t="s">
        <v>1</v>
      </c>
      <c r="L98" s="16"/>
      <c r="N98" s="17" t="s">
        <v>182</v>
      </c>
      <c r="O98" s="134">
        <v>5</v>
      </c>
      <c r="P98" s="33">
        <v>1</v>
      </c>
      <c r="Q98" s="176">
        <v>5</v>
      </c>
      <c r="R98" s="176">
        <v>3</v>
      </c>
      <c r="S98" s="176">
        <v>2</v>
      </c>
      <c r="T98" s="176">
        <v>5</v>
      </c>
      <c r="U98" s="105">
        <v>0.7</v>
      </c>
      <c r="V98" s="105">
        <v>0.7</v>
      </c>
      <c r="W98" s="17" t="s">
        <v>183</v>
      </c>
      <c r="X98" s="17" t="s">
        <v>183</v>
      </c>
      <c r="Y98" s="17" t="s">
        <v>183</v>
      </c>
      <c r="Z98" s="17" t="s">
        <v>183</v>
      </c>
      <c r="AA98" s="176">
        <v>10</v>
      </c>
      <c r="AB98" s="176">
        <v>2</v>
      </c>
      <c r="AC98" s="176">
        <v>6</v>
      </c>
      <c r="AD98" s="176">
        <v>8</v>
      </c>
      <c r="AE98" s="191">
        <v>0.4</v>
      </c>
      <c r="AF98" s="191">
        <v>0.4</v>
      </c>
      <c r="AG98" s="25" t="str">
        <f>_xlfn.XLOOKUP(F98,'TFS Details'!F:F,'TFS Details'!H:H)</f>
        <v>UAT In Test</v>
      </c>
      <c r="AH98" s="44">
        <v>8</v>
      </c>
      <c r="AI98" s="44">
        <v>0</v>
      </c>
      <c r="AJ98" s="44">
        <v>0</v>
      </c>
      <c r="AK98" s="44">
        <v>0</v>
      </c>
      <c r="AL98" s="40">
        <f t="shared" si="15"/>
        <v>8</v>
      </c>
      <c r="AM98" s="41">
        <f t="shared" si="9"/>
        <v>1</v>
      </c>
      <c r="AN98" s="41">
        <f t="shared" si="11"/>
        <v>1</v>
      </c>
      <c r="AO98" s="25"/>
      <c r="AP98" s="25" t="str">
        <f>_xlfn.XLOOKUP(F98,'TFS Details'!F:F,'TFS Details'!I:I)</f>
        <v>Pirates</v>
      </c>
      <c r="AQ98" s="25" t="str">
        <f>_xlfn.XLOOKUP(AP98,'TFS Details'!I:I,'TFS Details'!AE:AE)</f>
        <v>pandidurai.ks</v>
      </c>
    </row>
    <row r="99" spans="1:43">
      <c r="A99" s="24" t="str">
        <f>_xlfn.XLOOKUP(F99,'TFS Details'!F:F,'TFS Details'!D:D)</f>
        <v>DCSO</v>
      </c>
      <c r="B99" s="24" t="str">
        <f>_xlfn.XLOOKUP(F99,'TFS Details'!F:F,'TFS Details'!A:A)</f>
        <v>myISP - Digital DCSO</v>
      </c>
      <c r="C99" s="64">
        <f>_xlfn.XLOOKUP(F99,'TFS Details'!F:F,'TFS Details'!E:E)</f>
        <v>4278081</v>
      </c>
      <c r="D99" s="17" t="s">
        <v>29</v>
      </c>
      <c r="E99" s="17" t="s">
        <v>377</v>
      </c>
      <c r="F99" s="112">
        <v>4359580</v>
      </c>
      <c r="G99" s="17" t="s">
        <v>350</v>
      </c>
      <c r="J99" s="17" t="s">
        <v>117</v>
      </c>
      <c r="K99" s="17" t="s">
        <v>1</v>
      </c>
      <c r="L99" s="16"/>
      <c r="N99" s="17" t="s">
        <v>277</v>
      </c>
      <c r="O99" s="134">
        <v>3</v>
      </c>
      <c r="P99" s="33">
        <v>1</v>
      </c>
      <c r="Q99" s="176">
        <v>3</v>
      </c>
      <c r="R99" s="176">
        <v>2</v>
      </c>
      <c r="S99" s="176">
        <v>1</v>
      </c>
      <c r="T99" s="176">
        <v>3</v>
      </c>
      <c r="U99" s="105">
        <v>0.8</v>
      </c>
      <c r="V99" s="105">
        <v>0.7</v>
      </c>
      <c r="W99" s="17" t="s">
        <v>183</v>
      </c>
      <c r="X99" s="17" t="s">
        <v>183</v>
      </c>
      <c r="Y99" s="17" t="s">
        <v>183</v>
      </c>
      <c r="Z99" s="17" t="s">
        <v>183</v>
      </c>
      <c r="AA99" s="176">
        <v>10</v>
      </c>
      <c r="AB99" s="176">
        <v>5</v>
      </c>
      <c r="AC99" s="176">
        <v>0</v>
      </c>
      <c r="AD99" s="176">
        <v>3</v>
      </c>
      <c r="AE99" s="191">
        <v>1</v>
      </c>
      <c r="AF99" s="191">
        <v>1</v>
      </c>
      <c r="AG99" s="25" t="str">
        <f>_xlfn.XLOOKUP(F99,'TFS Details'!F:F,'TFS Details'!H:H)</f>
        <v>UAT In Test</v>
      </c>
      <c r="AH99" s="44">
        <v>5</v>
      </c>
      <c r="AI99" s="44">
        <v>0</v>
      </c>
      <c r="AJ99" s="44">
        <v>0</v>
      </c>
      <c r="AK99" s="44">
        <v>0</v>
      </c>
      <c r="AL99" s="40">
        <f t="shared" si="15"/>
        <v>5</v>
      </c>
      <c r="AM99" s="41">
        <f t="shared" si="9"/>
        <v>1</v>
      </c>
      <c r="AN99" s="41">
        <f t="shared" si="11"/>
        <v>1</v>
      </c>
      <c r="AO99" s="25"/>
      <c r="AP99" s="25" t="str">
        <f>_xlfn.XLOOKUP(F99,'TFS Details'!F:F,'TFS Details'!I:I)</f>
        <v>TechWarriors</v>
      </c>
      <c r="AQ99" s="25" t="str">
        <f>_xlfn.XLOOKUP(AP99,'TFS Details'!I:I,'TFS Details'!AE:AE)</f>
        <v>sowjanya.kari</v>
      </c>
    </row>
    <row r="100" spans="1:43">
      <c r="A100" s="24" t="str">
        <f>_xlfn.XLOOKUP(F100,'TFS Details'!F:F,'TFS Details'!D:D)</f>
        <v>DCSO</v>
      </c>
      <c r="B100" s="24" t="str">
        <f>_xlfn.XLOOKUP(F100,'TFS Details'!F:F,'TFS Details'!A:A)</f>
        <v>myISP - Digital DCSO</v>
      </c>
      <c r="C100" s="64">
        <f>_xlfn.XLOOKUP(F100,'TFS Details'!F:F,'TFS Details'!E:E)</f>
        <v>4278081</v>
      </c>
      <c r="D100" s="17" t="s">
        <v>29</v>
      </c>
      <c r="E100" s="17" t="s">
        <v>378</v>
      </c>
      <c r="F100" s="112">
        <v>4359581</v>
      </c>
      <c r="G100" s="17" t="s">
        <v>350</v>
      </c>
      <c r="J100" s="17" t="s">
        <v>117</v>
      </c>
      <c r="K100" s="17" t="s">
        <v>1</v>
      </c>
      <c r="L100" s="16"/>
      <c r="N100" s="17" t="s">
        <v>182</v>
      </c>
      <c r="O100" s="134">
        <v>5</v>
      </c>
      <c r="P100" s="33">
        <v>1</v>
      </c>
      <c r="Q100" s="176">
        <v>5</v>
      </c>
      <c r="R100" s="176">
        <v>4</v>
      </c>
      <c r="S100" s="176">
        <v>1</v>
      </c>
      <c r="T100" s="176">
        <v>5</v>
      </c>
      <c r="U100" s="105">
        <v>0.7</v>
      </c>
      <c r="V100" s="105">
        <v>0.65</v>
      </c>
      <c r="W100" s="17" t="s">
        <v>183</v>
      </c>
      <c r="X100" s="17" t="s">
        <v>183</v>
      </c>
      <c r="Y100" s="17" t="s">
        <v>183</v>
      </c>
      <c r="Z100" s="17" t="s">
        <v>183</v>
      </c>
      <c r="AA100" s="176">
        <v>10</v>
      </c>
      <c r="AB100" s="176">
        <v>2</v>
      </c>
      <c r="AC100" s="176">
        <v>6</v>
      </c>
      <c r="AD100" s="176">
        <v>8</v>
      </c>
      <c r="AE100" s="191">
        <v>0.4</v>
      </c>
      <c r="AF100" s="191">
        <v>0.4</v>
      </c>
      <c r="AG100" s="25" t="str">
        <f>_xlfn.XLOOKUP(F100,'TFS Details'!F:F,'TFS Details'!H:H)</f>
        <v>UAT In Test</v>
      </c>
      <c r="AH100" s="44">
        <v>8</v>
      </c>
      <c r="AI100" s="44">
        <v>0</v>
      </c>
      <c r="AJ100" s="44">
        <v>0</v>
      </c>
      <c r="AK100" s="44">
        <v>0</v>
      </c>
      <c r="AL100" s="40">
        <f t="shared" si="15"/>
        <v>8</v>
      </c>
      <c r="AM100" s="41">
        <f t="shared" si="9"/>
        <v>1</v>
      </c>
      <c r="AN100" s="41">
        <f t="shared" si="11"/>
        <v>1</v>
      </c>
      <c r="AO100" s="25"/>
      <c r="AP100" s="25" t="str">
        <f>_xlfn.XLOOKUP(F100,'TFS Details'!F:F,'TFS Details'!I:I)</f>
        <v>Pirates</v>
      </c>
      <c r="AQ100" s="25" t="str">
        <f>_xlfn.XLOOKUP(AP100,'TFS Details'!I:I,'TFS Details'!AE:AE)</f>
        <v>pandidurai.ks</v>
      </c>
    </row>
    <row r="101" spans="1:43">
      <c r="A101" s="24" t="str">
        <f>_xlfn.XLOOKUP(F101,'TFS Details'!F:F,'TFS Details'!D:D)</f>
        <v>DCSO</v>
      </c>
      <c r="B101" s="24" t="str">
        <f>_xlfn.XLOOKUP(F101,'TFS Details'!F:F,'TFS Details'!A:A)</f>
        <v>myISP - Digital DCSO</v>
      </c>
      <c r="C101" s="64">
        <f>_xlfn.XLOOKUP(F101,'TFS Details'!F:F,'TFS Details'!E:E)</f>
        <v>4278081</v>
      </c>
      <c r="D101" s="17" t="s">
        <v>29</v>
      </c>
      <c r="E101" s="17" t="s">
        <v>379</v>
      </c>
      <c r="F101" s="112">
        <v>4359586</v>
      </c>
      <c r="G101" s="17" t="s">
        <v>380</v>
      </c>
      <c r="K101" s="97" t="s">
        <v>18</v>
      </c>
      <c r="L101" s="16" t="s">
        <v>348</v>
      </c>
      <c r="M101" s="97" t="s">
        <v>34</v>
      </c>
      <c r="N101" s="17" t="s">
        <v>191</v>
      </c>
      <c r="O101" s="134"/>
      <c r="Q101" s="176"/>
      <c r="R101" s="176"/>
      <c r="S101" s="176"/>
      <c r="T101" s="176"/>
      <c r="W101" s="17" t="s">
        <v>183</v>
      </c>
      <c r="X101" s="17" t="s">
        <v>183</v>
      </c>
      <c r="Y101" s="17" t="s">
        <v>183</v>
      </c>
      <c r="Z101" s="17" t="s">
        <v>201</v>
      </c>
      <c r="AA101" s="176">
        <v>25</v>
      </c>
      <c r="AB101" s="176">
        <v>10</v>
      </c>
      <c r="AC101" s="176">
        <v>7</v>
      </c>
      <c r="AD101" s="176">
        <v>17</v>
      </c>
      <c r="AE101" s="33">
        <v>0.6</v>
      </c>
      <c r="AF101" s="33">
        <v>0.6</v>
      </c>
      <c r="AG101" s="25" t="str">
        <f>_xlfn.XLOOKUP(F101,'TFS Details'!F:F,'TFS Details'!H:H)</f>
        <v>UAT In Test</v>
      </c>
      <c r="AH101" s="44">
        <v>11</v>
      </c>
      <c r="AI101" s="44">
        <v>0</v>
      </c>
      <c r="AJ101" s="44">
        <v>0</v>
      </c>
      <c r="AK101" s="44">
        <v>0</v>
      </c>
      <c r="AL101" s="40">
        <f t="shared" ref="AL101:AL120" si="16">SUM(AH101:AK101)</f>
        <v>11</v>
      </c>
      <c r="AM101" s="41">
        <f t="shared" si="9"/>
        <v>1</v>
      </c>
      <c r="AN101" s="41">
        <f t="shared" si="11"/>
        <v>1</v>
      </c>
      <c r="AO101" s="25"/>
      <c r="AP101" s="25" t="str">
        <f>_xlfn.XLOOKUP(F101,'TFS Details'!F:F,'TFS Details'!I:I)</f>
        <v>TechStars</v>
      </c>
      <c r="AQ101" s="25" t="str">
        <f>_xlfn.XLOOKUP(AP101,'TFS Details'!I:I,'TFS Details'!AE:AE)</f>
        <v>mohanraj.a.selvaraj</v>
      </c>
    </row>
    <row r="102" spans="1:43">
      <c r="A102" s="24" t="str">
        <f>_xlfn.XLOOKUP(F102,'TFS Details'!F:F,'TFS Details'!D:D)</f>
        <v>DCSO</v>
      </c>
      <c r="B102" s="24" t="str">
        <f>_xlfn.XLOOKUP(F102,'TFS Details'!F:F,'TFS Details'!A:A)</f>
        <v>myISP - Digital DCSO</v>
      </c>
      <c r="C102" s="64">
        <f>_xlfn.XLOOKUP(F102,'TFS Details'!F:F,'TFS Details'!E:E)</f>
        <v>4278081</v>
      </c>
      <c r="D102" s="17" t="s">
        <v>29</v>
      </c>
      <c r="E102" s="17" t="s">
        <v>381</v>
      </c>
      <c r="F102" s="112">
        <v>4362519</v>
      </c>
      <c r="G102" s="17" t="s">
        <v>382</v>
      </c>
      <c r="K102" s="97" t="s">
        <v>18</v>
      </c>
      <c r="L102" s="16" t="s">
        <v>348</v>
      </c>
      <c r="M102" s="97" t="s">
        <v>34</v>
      </c>
      <c r="N102" s="17"/>
      <c r="O102" s="134"/>
      <c r="Q102" s="176"/>
      <c r="R102" s="176"/>
      <c r="S102" s="176"/>
      <c r="T102" s="176"/>
      <c r="W102" s="17" t="s">
        <v>183</v>
      </c>
      <c r="X102" s="17" t="s">
        <v>183</v>
      </c>
      <c r="Y102" s="17" t="s">
        <v>183</v>
      </c>
      <c r="Z102" s="17" t="s">
        <v>183</v>
      </c>
      <c r="AA102" s="176">
        <v>15</v>
      </c>
      <c r="AB102" s="176">
        <v>7</v>
      </c>
      <c r="AC102" s="176">
        <v>1</v>
      </c>
      <c r="AD102" s="176">
        <v>9</v>
      </c>
      <c r="AE102" s="33">
        <v>0.95</v>
      </c>
      <c r="AF102" s="33">
        <v>0.95</v>
      </c>
      <c r="AG102" s="25" t="str">
        <f>_xlfn.XLOOKUP(F102,'TFS Details'!F:F,'TFS Details'!H:H)</f>
        <v>UAT In Test</v>
      </c>
      <c r="AH102" s="44">
        <v>9</v>
      </c>
      <c r="AI102" s="44">
        <v>0</v>
      </c>
      <c r="AJ102" s="44">
        <v>0</v>
      </c>
      <c r="AK102" s="44">
        <v>0</v>
      </c>
      <c r="AL102" s="40">
        <f t="shared" si="16"/>
        <v>9</v>
      </c>
      <c r="AM102" s="41">
        <f t="shared" si="9"/>
        <v>1</v>
      </c>
      <c r="AN102" s="41">
        <f t="shared" si="11"/>
        <v>1</v>
      </c>
      <c r="AO102" s="25"/>
      <c r="AP102" s="25" t="str">
        <f>_xlfn.XLOOKUP(F102,'TFS Details'!F:F,'TFS Details'!I:I)</f>
        <v>TechAvengers</v>
      </c>
      <c r="AQ102" s="25" t="str">
        <f>_xlfn.XLOOKUP(AP102,'TFS Details'!I:I,'TFS Details'!AE:AE)</f>
        <v>mervinkumar.manickam</v>
      </c>
    </row>
    <row r="103" spans="1:43">
      <c r="A103" s="24" t="str">
        <f>_xlfn.XLOOKUP(F103,'TFS Details'!F:F,'TFS Details'!D:D)</f>
        <v>DCSO</v>
      </c>
      <c r="B103" s="24" t="str">
        <f>_xlfn.XLOOKUP(F103,'TFS Details'!F:F,'TFS Details'!A:A)</f>
        <v>myISP - Digital DCSO</v>
      </c>
      <c r="C103" s="64">
        <f>_xlfn.XLOOKUP(F103,'TFS Details'!F:F,'TFS Details'!E:E)</f>
        <v>4278081</v>
      </c>
      <c r="D103" s="17" t="s">
        <v>29</v>
      </c>
      <c r="E103" s="17" t="s">
        <v>383</v>
      </c>
      <c r="F103" s="112">
        <v>4362595</v>
      </c>
      <c r="G103" s="17" t="s">
        <v>382</v>
      </c>
      <c r="K103" s="97" t="s">
        <v>18</v>
      </c>
      <c r="L103" s="16" t="s">
        <v>348</v>
      </c>
      <c r="M103" s="97" t="s">
        <v>34</v>
      </c>
      <c r="N103" s="17"/>
      <c r="O103" s="134"/>
      <c r="Q103" s="176"/>
      <c r="R103" s="176"/>
      <c r="S103" s="176"/>
      <c r="T103" s="176"/>
      <c r="W103" s="17" t="s">
        <v>183</v>
      </c>
      <c r="X103" s="17" t="s">
        <v>183</v>
      </c>
      <c r="Y103" s="17" t="s">
        <v>183</v>
      </c>
      <c r="Z103" s="17" t="s">
        <v>183</v>
      </c>
      <c r="AA103" s="176">
        <v>15</v>
      </c>
      <c r="AB103" s="176">
        <v>7</v>
      </c>
      <c r="AC103" s="176">
        <v>1</v>
      </c>
      <c r="AD103" s="176">
        <v>9</v>
      </c>
      <c r="AE103" s="33">
        <v>0.95</v>
      </c>
      <c r="AF103" s="33">
        <v>0.95</v>
      </c>
      <c r="AG103" s="25" t="str">
        <f>_xlfn.XLOOKUP(F103,'TFS Details'!F:F,'TFS Details'!H:H)</f>
        <v>UAT In Test</v>
      </c>
      <c r="AH103" s="44">
        <v>9</v>
      </c>
      <c r="AI103" s="44">
        <v>0</v>
      </c>
      <c r="AJ103" s="44">
        <v>0</v>
      </c>
      <c r="AK103" s="44">
        <v>0</v>
      </c>
      <c r="AL103" s="40">
        <f t="shared" si="16"/>
        <v>9</v>
      </c>
      <c r="AM103" s="41">
        <f t="shared" si="9"/>
        <v>1</v>
      </c>
      <c r="AN103" s="41">
        <f t="shared" si="11"/>
        <v>1</v>
      </c>
      <c r="AO103" s="25"/>
      <c r="AP103" s="25" t="str">
        <f>_xlfn.XLOOKUP(F103,'TFS Details'!F:F,'TFS Details'!I:I)</f>
        <v>TechCoders</v>
      </c>
      <c r="AQ103" s="25" t="str">
        <f>_xlfn.XLOOKUP(AP103,'TFS Details'!I:I,'TFS Details'!AE:AE)</f>
        <v>Francis.Deepak</v>
      </c>
    </row>
    <row r="104" spans="1:43" ht="15">
      <c r="A104" s="24" t="str">
        <f>_xlfn.XLOOKUP(F104,'TFS Details'!F:F,'TFS Details'!D:D)</f>
        <v>BPMS Onboarding</v>
      </c>
      <c r="B104" s="24" t="str">
        <f>_xlfn.XLOOKUP(F104,'TFS Details'!F:F,'TFS Details'!A:A)</f>
        <v>Addition of information in mobilization SA and CXTA User request email</v>
      </c>
      <c r="C104" s="64">
        <f>_xlfn.XLOOKUP(F104,'TFS Details'!F:F,'TFS Details'!E:E)</f>
        <v>4385939</v>
      </c>
      <c r="D104" s="17" t="s">
        <v>29</v>
      </c>
      <c r="E104" s="17" t="s">
        <v>384</v>
      </c>
      <c r="F104" s="112">
        <v>4366445</v>
      </c>
      <c r="G104" s="17" t="s">
        <v>339</v>
      </c>
      <c r="K104" s="97" t="s">
        <v>18</v>
      </c>
      <c r="L104" s="16" t="s">
        <v>385</v>
      </c>
      <c r="M104" s="16" t="s">
        <v>28</v>
      </c>
      <c r="N104" s="17"/>
      <c r="O104" s="134"/>
      <c r="Q104" s="176"/>
      <c r="R104" s="176"/>
      <c r="S104" s="176"/>
      <c r="T104" s="176"/>
      <c r="W104" s="17" t="s">
        <v>183</v>
      </c>
      <c r="X104" s="17" t="s">
        <v>183</v>
      </c>
      <c r="Y104" s="17" t="s">
        <v>183</v>
      </c>
      <c r="Z104" s="17" t="s">
        <v>183</v>
      </c>
      <c r="AA104" s="176">
        <v>45</v>
      </c>
      <c r="AB104" s="176">
        <v>6</v>
      </c>
      <c r="AC104" s="176">
        <v>4</v>
      </c>
      <c r="AD104" s="176">
        <v>10</v>
      </c>
      <c r="AE104" s="33">
        <v>0.45</v>
      </c>
      <c r="AF104" s="33">
        <v>0.6</v>
      </c>
      <c r="AG104" s="25" t="str">
        <f>_xlfn.XLOOKUP(F104,'TFS Details'!F:F,'TFS Details'!H:H)</f>
        <v>Test Complete</v>
      </c>
      <c r="AH104" s="44">
        <v>10</v>
      </c>
      <c r="AI104" s="44">
        <v>0</v>
      </c>
      <c r="AJ104" s="44">
        <v>0</v>
      </c>
      <c r="AK104" s="44">
        <v>0</v>
      </c>
      <c r="AL104" s="40">
        <f t="shared" si="16"/>
        <v>10</v>
      </c>
      <c r="AM104" s="41">
        <f t="shared" si="9"/>
        <v>1</v>
      </c>
      <c r="AN104" s="41">
        <f t="shared" si="11"/>
        <v>1</v>
      </c>
      <c r="AO104" s="207"/>
      <c r="AP104" s="25" t="str">
        <f>_xlfn.XLOOKUP(F104,'TFS Details'!F:F,'TFS Details'!I:I)</f>
        <v>TechPhantoms</v>
      </c>
      <c r="AQ104" s="25" t="str">
        <f>_xlfn.XLOOKUP(AP104,'TFS Details'!I:I,'TFS Details'!AE:AE)</f>
        <v>sowjanya.kari</v>
      </c>
    </row>
    <row r="105" spans="1:43">
      <c r="A105" s="24" t="str">
        <f>_xlfn.XLOOKUP(F105,'TFS Details'!F:F,'TFS Details'!D:D)</f>
        <v>DCSO</v>
      </c>
      <c r="B105" s="24" t="str">
        <f>_xlfn.XLOOKUP(F105,'TFS Details'!F:F,'TFS Details'!A:A)</f>
        <v>myISP - Digital DCSO</v>
      </c>
      <c r="C105" s="64">
        <f>_xlfn.XLOOKUP(F105,'TFS Details'!F:F,'TFS Details'!E:E)</f>
        <v>4278081</v>
      </c>
      <c r="D105" s="17" t="s">
        <v>29</v>
      </c>
      <c r="E105" s="17" t="s">
        <v>386</v>
      </c>
      <c r="F105" s="112">
        <v>4367415</v>
      </c>
      <c r="G105" s="17" t="s">
        <v>380</v>
      </c>
      <c r="J105" s="21" t="s">
        <v>37</v>
      </c>
      <c r="K105" s="17" t="s">
        <v>1</v>
      </c>
      <c r="L105" s="16"/>
      <c r="N105" s="17" t="s">
        <v>182</v>
      </c>
      <c r="O105" s="134">
        <v>6</v>
      </c>
      <c r="P105" s="33">
        <v>1</v>
      </c>
      <c r="Q105" s="176">
        <v>6</v>
      </c>
      <c r="R105" s="176">
        <v>3</v>
      </c>
      <c r="S105" s="176">
        <v>3</v>
      </c>
      <c r="T105" s="176">
        <v>6</v>
      </c>
      <c r="U105" s="33">
        <v>0.5</v>
      </c>
      <c r="V105" s="33">
        <v>0.5</v>
      </c>
      <c r="W105" s="17" t="s">
        <v>183</v>
      </c>
      <c r="X105" s="17" t="s">
        <v>183</v>
      </c>
      <c r="Y105" s="17" t="s">
        <v>183</v>
      </c>
      <c r="Z105" s="17" t="s">
        <v>201</v>
      </c>
      <c r="AA105" s="176">
        <v>18</v>
      </c>
      <c r="AB105" s="176">
        <v>6</v>
      </c>
      <c r="AC105" s="176">
        <v>1</v>
      </c>
      <c r="AD105" s="176">
        <v>7</v>
      </c>
      <c r="AE105" s="33">
        <v>0.8</v>
      </c>
      <c r="AF105" s="33">
        <v>0.8</v>
      </c>
      <c r="AG105" s="25" t="str">
        <f>_xlfn.XLOOKUP(F105,'TFS Details'!F:F,'TFS Details'!H:H)</f>
        <v>UAT In Test</v>
      </c>
      <c r="AH105" s="44">
        <v>7</v>
      </c>
      <c r="AI105" s="44">
        <v>0</v>
      </c>
      <c r="AJ105" s="44">
        <v>0</v>
      </c>
      <c r="AK105" s="44">
        <v>0</v>
      </c>
      <c r="AL105" s="40">
        <f t="shared" si="16"/>
        <v>7</v>
      </c>
      <c r="AM105" s="41">
        <f t="shared" si="9"/>
        <v>1</v>
      </c>
      <c r="AN105" s="41">
        <f t="shared" si="11"/>
        <v>1</v>
      </c>
      <c r="AO105" s="25"/>
      <c r="AP105" s="25" t="str">
        <f>_xlfn.XLOOKUP(F105,'TFS Details'!F:F,'TFS Details'!I:I)</f>
        <v>TechStars</v>
      </c>
      <c r="AQ105" s="25" t="str">
        <f>_xlfn.XLOOKUP(AP105,'TFS Details'!I:I,'TFS Details'!AE:AE)</f>
        <v>mohanraj.a.selvaraj</v>
      </c>
    </row>
    <row r="106" spans="1:43">
      <c r="A106" s="24" t="str">
        <f>_xlfn.XLOOKUP(F106,'TFS Details'!F:F,'TFS Details'!D:D)</f>
        <v>DCSO</v>
      </c>
      <c r="B106" s="24" t="str">
        <f>_xlfn.XLOOKUP(F106,'TFS Details'!F:F,'TFS Details'!A:A)</f>
        <v>myISP - Digital DCSO</v>
      </c>
      <c r="C106" s="64">
        <f>_xlfn.XLOOKUP(F106,'TFS Details'!F:F,'TFS Details'!E:E)</f>
        <v>4278081</v>
      </c>
      <c r="D106" s="17" t="s">
        <v>29</v>
      </c>
      <c r="E106" s="17" t="s">
        <v>387</v>
      </c>
      <c r="F106" s="112">
        <v>4367420</v>
      </c>
      <c r="G106" s="17" t="s">
        <v>380</v>
      </c>
      <c r="K106" s="97" t="s">
        <v>18</v>
      </c>
      <c r="L106" s="16" t="s">
        <v>348</v>
      </c>
      <c r="M106" s="97" t="s">
        <v>34</v>
      </c>
      <c r="N106" s="17" t="s">
        <v>277</v>
      </c>
      <c r="O106" s="134"/>
      <c r="Q106" s="176"/>
      <c r="R106" s="176"/>
      <c r="S106" s="176"/>
      <c r="T106" s="176"/>
      <c r="W106" s="17" t="s">
        <v>183</v>
      </c>
      <c r="X106" s="17" t="s">
        <v>183</v>
      </c>
      <c r="Y106" s="17" t="s">
        <v>183</v>
      </c>
      <c r="Z106" s="17" t="s">
        <v>201</v>
      </c>
      <c r="AA106" s="176">
        <v>20</v>
      </c>
      <c r="AB106" s="176">
        <v>10</v>
      </c>
      <c r="AC106" s="176">
        <v>4</v>
      </c>
      <c r="AD106" s="176">
        <v>14</v>
      </c>
      <c r="AE106" s="33">
        <v>0.75</v>
      </c>
      <c r="AF106" s="33">
        <v>0.75</v>
      </c>
      <c r="AG106" s="25" t="str">
        <f>_xlfn.XLOOKUP(F106,'TFS Details'!F:F,'TFS Details'!H:H)</f>
        <v>UAT In Test</v>
      </c>
      <c r="AH106" s="44">
        <v>10</v>
      </c>
      <c r="AI106" s="44">
        <v>0</v>
      </c>
      <c r="AJ106" s="44">
        <v>0</v>
      </c>
      <c r="AK106" s="44">
        <v>0</v>
      </c>
      <c r="AL106" s="40">
        <f t="shared" si="16"/>
        <v>10</v>
      </c>
      <c r="AM106" s="41">
        <f t="shared" si="9"/>
        <v>1</v>
      </c>
      <c r="AN106" s="41">
        <f t="shared" si="11"/>
        <v>1</v>
      </c>
      <c r="AO106" s="25"/>
      <c r="AP106" s="25" t="str">
        <f>_xlfn.XLOOKUP(F106,'TFS Details'!F:F,'TFS Details'!I:I)</f>
        <v>TechStars</v>
      </c>
      <c r="AQ106" s="25" t="str">
        <f>_xlfn.XLOOKUP(AP106,'TFS Details'!I:I,'TFS Details'!AE:AE)</f>
        <v>mohanraj.a.selvaraj</v>
      </c>
    </row>
    <row r="107" spans="1:43">
      <c r="A107" s="24" t="str">
        <f>_xlfn.XLOOKUP(F107,'TFS Details'!F:F,'TFS Details'!D:D)</f>
        <v>BPMS Onboarding</v>
      </c>
      <c r="B107" s="24" t="str">
        <f>_xlfn.XLOOKUP(F107,'TFS Details'!F:F,'TFS Details'!A:A)</f>
        <v>Diel hierarchy - rolled up revenue</v>
      </c>
      <c r="C107" s="64">
        <f>_xlfn.XLOOKUP(F107,'TFS Details'!F:F,'TFS Details'!E:E)</f>
        <v>4378908</v>
      </c>
      <c r="D107" s="17" t="s">
        <v>29</v>
      </c>
      <c r="E107" s="17" t="s">
        <v>388</v>
      </c>
      <c r="F107" s="112">
        <v>4367455</v>
      </c>
      <c r="G107" s="17" t="s">
        <v>380</v>
      </c>
      <c r="J107" s="21" t="s">
        <v>37</v>
      </c>
      <c r="K107" s="17" t="s">
        <v>1</v>
      </c>
      <c r="L107" s="16"/>
      <c r="N107" s="97" t="s">
        <v>182</v>
      </c>
      <c r="O107" s="134">
        <v>10</v>
      </c>
      <c r="P107" s="33">
        <v>1</v>
      </c>
      <c r="Q107" s="176">
        <v>10</v>
      </c>
      <c r="R107" s="176">
        <v>4</v>
      </c>
      <c r="S107" s="176">
        <v>6</v>
      </c>
      <c r="T107" s="176">
        <v>10</v>
      </c>
      <c r="U107" s="33">
        <v>0.45</v>
      </c>
      <c r="V107" s="33">
        <v>0.5</v>
      </c>
      <c r="W107" s="17" t="s">
        <v>183</v>
      </c>
      <c r="X107" s="17" t="s">
        <v>183</v>
      </c>
      <c r="Y107" s="17" t="s">
        <v>183</v>
      </c>
      <c r="Z107" s="17" t="s">
        <v>183</v>
      </c>
      <c r="AA107" s="176">
        <v>20</v>
      </c>
      <c r="AB107" s="176">
        <v>8</v>
      </c>
      <c r="AC107" s="176">
        <v>2</v>
      </c>
      <c r="AD107" s="176">
        <v>10</v>
      </c>
      <c r="AE107" s="33">
        <v>0.75</v>
      </c>
      <c r="AF107" s="33">
        <v>0.75</v>
      </c>
      <c r="AG107" s="25" t="str">
        <f>_xlfn.XLOOKUP(F107,'TFS Details'!F:F,'TFS Details'!H:H)</f>
        <v>Test Complete</v>
      </c>
      <c r="AH107" s="44">
        <v>6</v>
      </c>
      <c r="AI107" s="44">
        <v>0</v>
      </c>
      <c r="AJ107" s="44">
        <v>0</v>
      </c>
      <c r="AK107" s="44">
        <v>0</v>
      </c>
      <c r="AL107" s="40">
        <f t="shared" ref="AL107:AL115" si="17">SUM(AH107:AK107)</f>
        <v>6</v>
      </c>
      <c r="AM107" s="41">
        <f t="shared" si="9"/>
        <v>1</v>
      </c>
      <c r="AN107" s="41">
        <f t="shared" si="11"/>
        <v>1</v>
      </c>
      <c r="AO107" s="25"/>
      <c r="AP107" s="25" t="str">
        <f>_xlfn.XLOOKUP(F107,'TFS Details'!F:F,'TFS Details'!I:I)</f>
        <v>CodeCrafters</v>
      </c>
      <c r="AQ107" s="25" t="str">
        <f>_xlfn.XLOOKUP(AP107,'TFS Details'!I:I,'TFS Details'!AE:AE)</f>
        <v>sona.job</v>
      </c>
    </row>
    <row r="108" spans="1:43">
      <c r="A108" s="24" t="str">
        <f>_xlfn.XLOOKUP(F108,'TFS Details'!F:F,'TFS Details'!D:D)</f>
        <v>BPMS Onboarding</v>
      </c>
      <c r="B108" s="24" t="str">
        <f>_xlfn.XLOOKUP(F108,'TFS Details'!F:F,'TFS Details'!A:A)</f>
        <v>TfO Internal Approvals: Enable auto‑approval when lead does not approve the  approval request</v>
      </c>
      <c r="C108" s="64">
        <f>_xlfn.XLOOKUP(F108,'TFS Details'!F:F,'TFS Details'!E:E)</f>
        <v>4368357</v>
      </c>
      <c r="D108" s="17" t="s">
        <v>29</v>
      </c>
      <c r="E108" s="17" t="s">
        <v>389</v>
      </c>
      <c r="F108" s="112">
        <v>4368356</v>
      </c>
      <c r="G108" s="17" t="s">
        <v>343</v>
      </c>
      <c r="J108" s="21" t="s">
        <v>123</v>
      </c>
      <c r="K108" s="17" t="s">
        <v>1</v>
      </c>
      <c r="L108" s="16"/>
      <c r="N108" s="17" t="s">
        <v>191</v>
      </c>
      <c r="O108" s="134">
        <v>4</v>
      </c>
      <c r="P108" s="33">
        <v>1</v>
      </c>
      <c r="Q108" s="176">
        <v>8</v>
      </c>
      <c r="R108" s="176">
        <v>2</v>
      </c>
      <c r="S108" s="176">
        <v>2</v>
      </c>
      <c r="T108" s="176">
        <v>6</v>
      </c>
      <c r="U108" s="33">
        <v>0.8</v>
      </c>
      <c r="V108" s="33">
        <v>0.6</v>
      </c>
      <c r="W108" s="17" t="s">
        <v>183</v>
      </c>
      <c r="X108" s="17" t="s">
        <v>183</v>
      </c>
      <c r="Y108" s="17" t="s">
        <v>183</v>
      </c>
      <c r="Z108" s="17" t="s">
        <v>183</v>
      </c>
      <c r="AA108" s="176">
        <v>15</v>
      </c>
      <c r="AB108" s="176">
        <v>8</v>
      </c>
      <c r="AC108" s="176">
        <v>4</v>
      </c>
      <c r="AD108" s="176">
        <v>12</v>
      </c>
      <c r="AE108" s="33">
        <v>0.6</v>
      </c>
      <c r="AF108" s="33">
        <v>0.4</v>
      </c>
      <c r="AG108" s="25" t="str">
        <f>_xlfn.XLOOKUP(F108,'TFS Details'!F:F,'TFS Details'!H:H)</f>
        <v>Test Complete</v>
      </c>
      <c r="AH108" s="44">
        <v>12</v>
      </c>
      <c r="AI108" s="44">
        <v>0</v>
      </c>
      <c r="AJ108" s="44">
        <v>0</v>
      </c>
      <c r="AK108" s="44">
        <v>0</v>
      </c>
      <c r="AL108" s="40">
        <f t="shared" si="17"/>
        <v>12</v>
      </c>
      <c r="AM108" s="41">
        <f t="shared" si="9"/>
        <v>1</v>
      </c>
      <c r="AN108" s="41">
        <f t="shared" si="11"/>
        <v>1</v>
      </c>
      <c r="AO108" s="25"/>
      <c r="AP108" s="25" t="str">
        <f>_xlfn.XLOOKUP(F108,'TFS Details'!F:F,'TFS Details'!I:I)</f>
        <v>BPMSBloggers</v>
      </c>
      <c r="AQ108" s="25" t="str">
        <f>_xlfn.XLOOKUP(AP108,'TFS Details'!I:I,'TFS Details'!AE:AE)</f>
        <v>sona.job</v>
      </c>
    </row>
    <row r="109" spans="1:43">
      <c r="A109" s="24" t="str">
        <f>_xlfn.XLOOKUP(F109,'TFS Details'!F:F,'TFS Details'!D:D)</f>
        <v>BPMS Onboarding</v>
      </c>
      <c r="B109" s="24" t="str">
        <f>_xlfn.XLOOKUP(F109,'TFS Details'!F:F,'TFS Details'!A:A)</f>
        <v>Custom meeting slots for BPMS meeting scheduler</v>
      </c>
      <c r="C109" s="64">
        <f>_xlfn.XLOOKUP(F109,'TFS Details'!F:F,'TFS Details'!E:E)</f>
        <v>4368359</v>
      </c>
      <c r="D109" s="17" t="s">
        <v>29</v>
      </c>
      <c r="E109" s="17" t="s">
        <v>390</v>
      </c>
      <c r="F109" s="112">
        <v>4368358</v>
      </c>
      <c r="G109" s="17" t="s">
        <v>343</v>
      </c>
      <c r="J109" s="21" t="s">
        <v>82</v>
      </c>
      <c r="K109" s="17" t="s">
        <v>1</v>
      </c>
      <c r="L109" s="16"/>
      <c r="N109" s="17" t="s">
        <v>191</v>
      </c>
      <c r="O109" s="134">
        <v>8</v>
      </c>
      <c r="P109" s="33">
        <v>1</v>
      </c>
      <c r="Q109" s="176">
        <v>8</v>
      </c>
      <c r="R109" s="176">
        <v>3</v>
      </c>
      <c r="S109" s="176">
        <v>5</v>
      </c>
      <c r="T109" s="176">
        <v>8</v>
      </c>
      <c r="U109" s="33">
        <v>0.45</v>
      </c>
      <c r="V109" s="33">
        <v>0.45</v>
      </c>
      <c r="W109" s="17" t="s">
        <v>183</v>
      </c>
      <c r="X109" s="17" t="s">
        <v>183</v>
      </c>
      <c r="Y109" s="17" t="s">
        <v>183</v>
      </c>
      <c r="Z109" s="17" t="s">
        <v>183</v>
      </c>
      <c r="AA109" s="176">
        <v>15</v>
      </c>
      <c r="AB109" s="176">
        <v>4</v>
      </c>
      <c r="AC109" s="176">
        <v>8</v>
      </c>
      <c r="AD109" s="176">
        <v>12</v>
      </c>
      <c r="AE109" s="33">
        <v>0.6</v>
      </c>
      <c r="AF109" s="33">
        <v>0.6</v>
      </c>
      <c r="AG109" s="25" t="str">
        <f>_xlfn.XLOOKUP(F109,'TFS Details'!F:F,'TFS Details'!H:H)</f>
        <v>Test Complete</v>
      </c>
      <c r="AH109" s="44">
        <v>12</v>
      </c>
      <c r="AI109" s="44">
        <v>0</v>
      </c>
      <c r="AJ109" s="44">
        <v>0</v>
      </c>
      <c r="AK109" s="44">
        <v>0</v>
      </c>
      <c r="AL109" s="40">
        <f t="shared" si="17"/>
        <v>12</v>
      </c>
      <c r="AM109" s="41">
        <f t="shared" si="9"/>
        <v>1</v>
      </c>
      <c r="AN109" s="41">
        <f t="shared" si="11"/>
        <v>1</v>
      </c>
      <c r="AO109" s="25"/>
      <c r="AP109" s="25" t="str">
        <f>_xlfn.XLOOKUP(F109,'TFS Details'!F:F,'TFS Details'!I:I)</f>
        <v>BPMSBloggers</v>
      </c>
      <c r="AQ109" s="25" t="str">
        <f>_xlfn.XLOOKUP(AP109,'TFS Details'!I:I,'TFS Details'!AE:AE)</f>
        <v>sona.job</v>
      </c>
    </row>
    <row r="110" spans="1:43">
      <c r="A110" s="24" t="str">
        <f>_xlfn.XLOOKUP(F110,'TFS Details'!F:F,'TFS Details'!D:D)</f>
        <v>BPMS Onboarding</v>
      </c>
      <c r="B110" s="24" t="str">
        <f>_xlfn.XLOOKUP(F110,'TFS Details'!F:F,'TFS Details'!A:A)</f>
        <v>VMM out of scope status and risk and compliance auto insert block for Foxtrot Q1 = No</v>
      </c>
      <c r="C110" s="64">
        <f>_xlfn.XLOOKUP(F110,'TFS Details'!F:F,'TFS Details'!E:E)</f>
        <v>4368361</v>
      </c>
      <c r="D110" s="17" t="s">
        <v>29</v>
      </c>
      <c r="E110" s="17" t="s">
        <v>391</v>
      </c>
      <c r="F110" s="112">
        <v>4368360</v>
      </c>
      <c r="G110" s="17" t="s">
        <v>343</v>
      </c>
      <c r="J110" s="21" t="s">
        <v>82</v>
      </c>
      <c r="K110" s="17" t="s">
        <v>1</v>
      </c>
      <c r="L110" s="16"/>
      <c r="N110" s="17" t="s">
        <v>191</v>
      </c>
      <c r="O110" s="134">
        <v>7</v>
      </c>
      <c r="P110" s="33">
        <v>1</v>
      </c>
      <c r="Q110" s="176">
        <v>7</v>
      </c>
      <c r="R110" s="176">
        <v>4</v>
      </c>
      <c r="S110" s="176">
        <v>3</v>
      </c>
      <c r="T110" s="176">
        <v>7</v>
      </c>
      <c r="U110" s="33">
        <v>0.6</v>
      </c>
      <c r="V110" s="33">
        <v>0.6</v>
      </c>
      <c r="W110" s="17" t="s">
        <v>183</v>
      </c>
      <c r="X110" s="17" t="s">
        <v>183</v>
      </c>
      <c r="Y110" s="17" t="s">
        <v>183</v>
      </c>
      <c r="Z110" s="17" t="s">
        <v>183</v>
      </c>
      <c r="AA110" s="176">
        <v>15</v>
      </c>
      <c r="AB110" s="176">
        <v>4</v>
      </c>
      <c r="AC110" s="176">
        <v>8</v>
      </c>
      <c r="AD110" s="176">
        <v>12</v>
      </c>
      <c r="AE110" s="33">
        <v>0.4</v>
      </c>
      <c r="AF110" s="33">
        <v>0.4</v>
      </c>
      <c r="AG110" s="25" t="str">
        <f>_xlfn.XLOOKUP(F110,'TFS Details'!F:F,'TFS Details'!H:H)</f>
        <v>Test Complete</v>
      </c>
      <c r="AH110" s="44">
        <v>12</v>
      </c>
      <c r="AI110" s="44">
        <v>0</v>
      </c>
      <c r="AJ110" s="44">
        <v>0</v>
      </c>
      <c r="AK110" s="44">
        <v>0</v>
      </c>
      <c r="AL110" s="40">
        <f t="shared" si="17"/>
        <v>12</v>
      </c>
      <c r="AM110" s="41">
        <f t="shared" si="9"/>
        <v>1</v>
      </c>
      <c r="AN110" s="41">
        <f t="shared" si="11"/>
        <v>1</v>
      </c>
      <c r="AO110" s="25"/>
      <c r="AP110" s="25" t="str">
        <f>_xlfn.XLOOKUP(F110,'TFS Details'!F:F,'TFS Details'!I:I)</f>
        <v>BPMSBloggers</v>
      </c>
      <c r="AQ110" s="25" t="str">
        <f>_xlfn.XLOOKUP(AP110,'TFS Details'!I:I,'TFS Details'!AE:AE)</f>
        <v>sona.job</v>
      </c>
    </row>
    <row r="111" spans="1:43">
      <c r="A111" s="24" t="str">
        <f>_xlfn.XLOOKUP(F111,'TFS Details'!F:F,'TFS Details'!D:D)</f>
        <v>DCSO</v>
      </c>
      <c r="B111" s="24" t="str">
        <f>_xlfn.XLOOKUP(F111,'TFS Details'!F:F,'TFS Details'!A:A)</f>
        <v>myISP - Digital DCSO</v>
      </c>
      <c r="C111" s="64">
        <f>_xlfn.XLOOKUP(F111,'TFS Details'!F:F,'TFS Details'!E:E)</f>
        <v>4278081</v>
      </c>
      <c r="D111" s="17" t="s">
        <v>29</v>
      </c>
      <c r="E111" s="17" t="s">
        <v>392</v>
      </c>
      <c r="F111" s="112">
        <v>4370079</v>
      </c>
      <c r="G111" s="17" t="s">
        <v>380</v>
      </c>
      <c r="J111" s="21" t="s">
        <v>100</v>
      </c>
      <c r="K111" s="17" t="s">
        <v>1</v>
      </c>
      <c r="L111" s="16"/>
      <c r="N111" s="17" t="s">
        <v>191</v>
      </c>
      <c r="O111" s="134">
        <v>8</v>
      </c>
      <c r="P111" s="33">
        <v>1</v>
      </c>
      <c r="Q111" s="176">
        <v>8</v>
      </c>
      <c r="R111" s="176">
        <v>6</v>
      </c>
      <c r="S111" s="176">
        <v>2</v>
      </c>
      <c r="T111" s="176">
        <v>8</v>
      </c>
      <c r="U111" s="33">
        <v>0.8</v>
      </c>
      <c r="V111" s="33">
        <v>0.85</v>
      </c>
      <c r="W111" s="17" t="s">
        <v>183</v>
      </c>
      <c r="X111" s="17" t="s">
        <v>183</v>
      </c>
      <c r="Y111" s="17" t="s">
        <v>183</v>
      </c>
      <c r="Z111" s="17" t="s">
        <v>183</v>
      </c>
      <c r="AA111" s="176">
        <v>15</v>
      </c>
      <c r="AB111" s="176">
        <v>7</v>
      </c>
      <c r="AC111" s="176">
        <v>3</v>
      </c>
      <c r="AD111" s="176">
        <v>10</v>
      </c>
      <c r="AE111" s="33">
        <v>0.7</v>
      </c>
      <c r="AF111" s="33">
        <v>0.75</v>
      </c>
      <c r="AG111" s="25" t="str">
        <f>_xlfn.XLOOKUP(F111,'TFS Details'!F:F,'TFS Details'!H:H)</f>
        <v>UAT In Test</v>
      </c>
      <c r="AH111" s="44">
        <v>8</v>
      </c>
      <c r="AI111" s="44">
        <v>0</v>
      </c>
      <c r="AJ111" s="44">
        <v>0</v>
      </c>
      <c r="AK111" s="44">
        <v>0</v>
      </c>
      <c r="AL111" s="40">
        <f t="shared" si="17"/>
        <v>8</v>
      </c>
      <c r="AM111" s="41">
        <f t="shared" si="9"/>
        <v>1</v>
      </c>
      <c r="AN111" s="41">
        <f t="shared" si="11"/>
        <v>1</v>
      </c>
      <c r="AO111" s="25"/>
      <c r="AP111" s="25" t="str">
        <f>_xlfn.XLOOKUP(F111,'TFS Details'!F:F,'TFS Details'!I:I)</f>
        <v>TechStars</v>
      </c>
      <c r="AQ111" s="25" t="str">
        <f>_xlfn.XLOOKUP(AP111,'TFS Details'!I:I,'TFS Details'!AE:AE)</f>
        <v>mohanraj.a.selvaraj</v>
      </c>
    </row>
    <row r="112" spans="1:43">
      <c r="A112" s="24" t="str">
        <f>_xlfn.XLOOKUP(F112,'TFS Details'!F:F,'TFS Details'!D:D)</f>
        <v>BPMS Onboarding</v>
      </c>
      <c r="B112" s="24" t="str">
        <f>_xlfn.XLOOKUP(F112,'TFS Details'!F:F,'TFS Details'!A:A)</f>
        <v>Enterprise SA should have Read–Write access to the Reporting &amp; Compliance module</v>
      </c>
      <c r="C112" s="64">
        <f>_xlfn.XLOOKUP(F112,'TFS Details'!F:F,'TFS Details'!E:E)</f>
        <v>4387610</v>
      </c>
      <c r="D112" s="17" t="s">
        <v>29</v>
      </c>
      <c r="E112" s="17" t="s">
        <v>393</v>
      </c>
      <c r="F112" s="112">
        <v>4372114</v>
      </c>
      <c r="G112" s="17" t="s">
        <v>380</v>
      </c>
      <c r="J112" s="21" t="s">
        <v>100</v>
      </c>
      <c r="K112" s="17" t="s">
        <v>1</v>
      </c>
      <c r="L112" s="16"/>
      <c r="N112" s="17" t="s">
        <v>277</v>
      </c>
      <c r="O112" s="134">
        <v>1</v>
      </c>
      <c r="P112" s="33">
        <v>1</v>
      </c>
      <c r="Q112" s="176">
        <v>8</v>
      </c>
      <c r="R112" s="176">
        <v>7</v>
      </c>
      <c r="S112" s="176">
        <v>1</v>
      </c>
      <c r="T112" s="176">
        <v>8</v>
      </c>
      <c r="U112" s="33">
        <v>0.9</v>
      </c>
      <c r="V112" s="33">
        <v>0.9</v>
      </c>
      <c r="W112" s="17" t="s">
        <v>183</v>
      </c>
      <c r="X112" s="17" t="s">
        <v>183</v>
      </c>
      <c r="Y112" s="17" t="s">
        <v>183</v>
      </c>
      <c r="Z112" s="17" t="s">
        <v>183</v>
      </c>
      <c r="AA112" s="176">
        <v>20</v>
      </c>
      <c r="AB112" s="176">
        <v>8</v>
      </c>
      <c r="AC112" s="176">
        <v>5</v>
      </c>
      <c r="AD112" s="176">
        <v>13</v>
      </c>
      <c r="AE112" s="33">
        <v>0.65</v>
      </c>
      <c r="AF112" s="33">
        <v>0.6</v>
      </c>
      <c r="AG112" s="25" t="str">
        <f>_xlfn.XLOOKUP(F112,'TFS Details'!F:F,'TFS Details'!H:H)</f>
        <v>Test Complete</v>
      </c>
      <c r="AH112" s="44">
        <v>11</v>
      </c>
      <c r="AI112" s="44">
        <v>0</v>
      </c>
      <c r="AJ112" s="44">
        <v>0</v>
      </c>
      <c r="AK112" s="44">
        <v>0</v>
      </c>
      <c r="AL112" s="40">
        <f t="shared" si="17"/>
        <v>11</v>
      </c>
      <c r="AM112" s="41">
        <f t="shared" si="9"/>
        <v>1</v>
      </c>
      <c r="AN112" s="41">
        <f t="shared" si="11"/>
        <v>1</v>
      </c>
      <c r="AO112" s="25"/>
      <c r="AP112" s="25" t="str">
        <f>_xlfn.XLOOKUP(F112,'TFS Details'!F:F,'TFS Details'!I:I)</f>
        <v>CodeCrafters</v>
      </c>
      <c r="AQ112" s="25" t="str">
        <f>_xlfn.XLOOKUP(AP112,'TFS Details'!I:I,'TFS Details'!AE:AE)</f>
        <v>sona.job</v>
      </c>
    </row>
    <row r="113" spans="1:43">
      <c r="A113" s="24" t="str">
        <f>_xlfn.XLOOKUP(F113,'TFS Details'!F:F,'TFS Details'!D:D)</f>
        <v>BPMS Onboarding</v>
      </c>
      <c r="B113" s="24" t="str">
        <f>_xlfn.XLOOKUP(F113,'TFS Details'!F:F,'TFS Details'!A:A)</f>
        <v>Diel hierarchy - rolled up revenue</v>
      </c>
      <c r="C113" s="64">
        <f>_xlfn.XLOOKUP(F113,'TFS Details'!F:F,'TFS Details'!E:E)</f>
        <v>4378908</v>
      </c>
      <c r="D113" s="17" t="s">
        <v>29</v>
      </c>
      <c r="E113" s="17" t="s">
        <v>394</v>
      </c>
      <c r="F113" s="112">
        <v>4367436</v>
      </c>
      <c r="G113" s="17" t="s">
        <v>339</v>
      </c>
      <c r="J113" s="21" t="s">
        <v>82</v>
      </c>
      <c r="K113" s="17" t="s">
        <v>1</v>
      </c>
      <c r="L113" s="16"/>
      <c r="N113" s="17" t="s">
        <v>191</v>
      </c>
      <c r="O113" s="134">
        <v>7</v>
      </c>
      <c r="P113" s="33">
        <v>1</v>
      </c>
      <c r="Q113" s="176">
        <v>7</v>
      </c>
      <c r="R113" s="176">
        <v>5</v>
      </c>
      <c r="S113" s="176">
        <v>2</v>
      </c>
      <c r="T113" s="176">
        <v>7</v>
      </c>
      <c r="U113" s="33">
        <v>0.8</v>
      </c>
      <c r="V113" s="33">
        <v>0.8</v>
      </c>
      <c r="W113" s="17" t="s">
        <v>183</v>
      </c>
      <c r="X113" s="17" t="s">
        <v>183</v>
      </c>
      <c r="Y113" s="17" t="s">
        <v>183</v>
      </c>
      <c r="Z113" s="17" t="s">
        <v>183</v>
      </c>
      <c r="AA113" s="176">
        <v>45</v>
      </c>
      <c r="AB113" s="176">
        <v>8</v>
      </c>
      <c r="AC113" s="176">
        <v>1</v>
      </c>
      <c r="AD113" s="176">
        <v>9</v>
      </c>
      <c r="AE113" s="33">
        <v>0.5</v>
      </c>
      <c r="AF113" s="33">
        <v>0.6</v>
      </c>
      <c r="AG113" s="25" t="str">
        <f>_xlfn.XLOOKUP(F113,'TFS Details'!F:F,'TFS Details'!H:H)</f>
        <v>Test Complete</v>
      </c>
      <c r="AH113" s="44">
        <v>9</v>
      </c>
      <c r="AI113" s="44">
        <v>0</v>
      </c>
      <c r="AJ113" s="44">
        <v>0</v>
      </c>
      <c r="AK113" s="44">
        <v>0</v>
      </c>
      <c r="AL113" s="40">
        <f t="shared" si="17"/>
        <v>9</v>
      </c>
      <c r="AM113" s="41">
        <f t="shared" si="9"/>
        <v>1</v>
      </c>
      <c r="AN113" s="41">
        <f t="shared" si="11"/>
        <v>1</v>
      </c>
      <c r="AO113" s="25"/>
      <c r="AP113" s="25" t="str">
        <f>_xlfn.XLOOKUP(F113,'TFS Details'!F:F,'TFS Details'!I:I)</f>
        <v>CodeCrafters</v>
      </c>
      <c r="AQ113" s="25" t="str">
        <f>_xlfn.XLOOKUP(AP113,'TFS Details'!I:I,'TFS Details'!AE:AE)</f>
        <v>sona.job</v>
      </c>
    </row>
    <row r="114" spans="1:43">
      <c r="A114" s="24" t="str">
        <f>_xlfn.XLOOKUP(F114,'TFS Details'!F:F,'TFS Details'!D:D)</f>
        <v>BPMS Onboarding</v>
      </c>
      <c r="B114" s="24" t="str">
        <f>_xlfn.XLOOKUP(F114,'TFS Details'!F:F,'TFS Details'!A:A)</f>
        <v>Operations toggle enable only for BPMS SG</v>
      </c>
      <c r="C114" s="64">
        <f>_xlfn.XLOOKUP(F114,'TFS Details'!F:F,'TFS Details'!E:E)</f>
        <v>4387613</v>
      </c>
      <c r="D114" s="17" t="s">
        <v>29</v>
      </c>
      <c r="E114" s="17" t="s">
        <v>395</v>
      </c>
      <c r="F114" s="112">
        <v>4373589</v>
      </c>
      <c r="G114" s="17" t="s">
        <v>382</v>
      </c>
      <c r="J114" s="21" t="s">
        <v>89</v>
      </c>
      <c r="K114" s="17" t="s">
        <v>1</v>
      </c>
      <c r="L114" s="16"/>
      <c r="N114" s="17" t="s">
        <v>277</v>
      </c>
      <c r="O114" s="134">
        <v>3</v>
      </c>
      <c r="P114" s="33">
        <v>1</v>
      </c>
      <c r="Q114" s="176">
        <v>10</v>
      </c>
      <c r="R114" s="176">
        <v>4</v>
      </c>
      <c r="S114" s="176">
        <v>0</v>
      </c>
      <c r="T114" s="176">
        <v>3</v>
      </c>
      <c r="U114" s="33">
        <v>0.95</v>
      </c>
      <c r="V114" s="33">
        <v>0.95</v>
      </c>
      <c r="W114" s="17" t="s">
        <v>183</v>
      </c>
      <c r="X114" s="17" t="s">
        <v>183</v>
      </c>
      <c r="Y114" s="17" t="s">
        <v>183</v>
      </c>
      <c r="Z114" s="17" t="s">
        <v>183</v>
      </c>
      <c r="AA114" s="176">
        <v>10</v>
      </c>
      <c r="AB114" s="176">
        <v>3</v>
      </c>
      <c r="AC114" s="176">
        <v>0</v>
      </c>
      <c r="AD114" s="176">
        <v>4</v>
      </c>
      <c r="AE114" s="33">
        <v>0.9</v>
      </c>
      <c r="AF114" s="33">
        <v>0.9</v>
      </c>
      <c r="AG114" s="25" t="str">
        <f>_xlfn.XLOOKUP(F114,'TFS Details'!F:F,'TFS Details'!H:H)</f>
        <v>Test Complete</v>
      </c>
      <c r="AH114" s="44">
        <v>5</v>
      </c>
      <c r="AI114" s="44">
        <v>0</v>
      </c>
      <c r="AJ114" s="44">
        <v>0</v>
      </c>
      <c r="AK114" s="44">
        <v>0</v>
      </c>
      <c r="AL114" s="40">
        <f t="shared" si="17"/>
        <v>5</v>
      </c>
      <c r="AM114" s="41">
        <f t="shared" si="9"/>
        <v>1</v>
      </c>
      <c r="AN114" s="41">
        <f t="shared" si="11"/>
        <v>1</v>
      </c>
      <c r="AO114" s="25"/>
      <c r="AP114" s="25" t="str">
        <f>_xlfn.XLOOKUP(F114,'TFS Details'!F:F,'TFS Details'!I:I)</f>
        <v>NGTransformers</v>
      </c>
      <c r="AQ114" s="25" t="str">
        <f>_xlfn.XLOOKUP(AP114,'TFS Details'!I:I,'TFS Details'!AE:AE)</f>
        <v>sowjanya.kari</v>
      </c>
    </row>
    <row r="115" spans="1:43">
      <c r="A115" s="24" t="str">
        <f>_xlfn.XLOOKUP(F115,'TFS Details'!F:F,'TFS Details'!D:D)</f>
        <v>BPMS Onboarding</v>
      </c>
      <c r="B115" s="24" t="str">
        <f>_xlfn.XLOOKUP(F115,'TFS Details'!F:F,'TFS Details'!A:A)</f>
        <v>Solution status based on Transition status stream</v>
      </c>
      <c r="C115" s="64">
        <f>_xlfn.XLOOKUP(F115,'TFS Details'!F:F,'TFS Details'!E:E)</f>
        <v>4387615</v>
      </c>
      <c r="D115" s="17" t="s">
        <v>29</v>
      </c>
      <c r="E115" s="17" t="s">
        <v>396</v>
      </c>
      <c r="F115" s="112">
        <v>4373604</v>
      </c>
      <c r="G115" s="17" t="s">
        <v>382</v>
      </c>
      <c r="J115" s="21" t="s">
        <v>89</v>
      </c>
      <c r="K115" s="17" t="s">
        <v>1</v>
      </c>
      <c r="L115" s="16"/>
      <c r="N115" s="17" t="s">
        <v>277</v>
      </c>
      <c r="O115" s="134">
        <v>8</v>
      </c>
      <c r="P115" s="33">
        <v>1</v>
      </c>
      <c r="Q115" s="176">
        <v>10</v>
      </c>
      <c r="R115" s="176">
        <v>8</v>
      </c>
      <c r="S115" s="176">
        <v>0</v>
      </c>
      <c r="T115" s="176">
        <v>8</v>
      </c>
      <c r="U115" s="33">
        <v>0.95</v>
      </c>
      <c r="V115" s="33">
        <v>0.95</v>
      </c>
      <c r="W115" s="17" t="s">
        <v>183</v>
      </c>
      <c r="X115" s="17" t="s">
        <v>183</v>
      </c>
      <c r="Y115" s="17" t="s">
        <v>183</v>
      </c>
      <c r="Z115" s="17" t="s">
        <v>183</v>
      </c>
      <c r="AA115" s="176">
        <v>10</v>
      </c>
      <c r="AB115" s="176">
        <v>8</v>
      </c>
      <c r="AC115" s="176">
        <v>0</v>
      </c>
      <c r="AD115" s="176">
        <v>8</v>
      </c>
      <c r="AE115" s="33">
        <v>0.9</v>
      </c>
      <c r="AF115" s="33">
        <v>0.9</v>
      </c>
      <c r="AG115" s="25" t="str">
        <f>_xlfn.XLOOKUP(F115,'TFS Details'!F:F,'TFS Details'!H:H)</f>
        <v>Test Complete</v>
      </c>
      <c r="AH115" s="44">
        <v>10</v>
      </c>
      <c r="AI115" s="44">
        <v>0</v>
      </c>
      <c r="AJ115" s="44">
        <v>0</v>
      </c>
      <c r="AK115" s="44">
        <v>0</v>
      </c>
      <c r="AL115" s="40">
        <f t="shared" si="17"/>
        <v>10</v>
      </c>
      <c r="AM115" s="41">
        <f t="shared" si="9"/>
        <v>1</v>
      </c>
      <c r="AN115" s="41">
        <f t="shared" si="11"/>
        <v>1</v>
      </c>
      <c r="AO115" s="25"/>
      <c r="AP115" s="25" t="str">
        <f>_xlfn.XLOOKUP(F115,'TFS Details'!F:F,'TFS Details'!I:I)</f>
        <v>NGTransformers</v>
      </c>
      <c r="AQ115" s="25" t="str">
        <f>_xlfn.XLOOKUP(AP115,'TFS Details'!I:I,'TFS Details'!AE:AE)</f>
        <v>sowjanya.kari</v>
      </c>
    </row>
    <row r="116" spans="1:43">
      <c r="A116" s="24" t="str">
        <f>_xlfn.XLOOKUP(F116,'TFS Details'!F:F,'TFS Details'!D:D)</f>
        <v>BPMS Onboarding</v>
      </c>
      <c r="B116" s="24" t="str">
        <f>_xlfn.XLOOKUP(F116,'TFS Details'!F:F,'TFS Details'!A:A)</f>
        <v>Diel hierarchy - rolled up revenue</v>
      </c>
      <c r="C116" s="64">
        <f>_xlfn.XLOOKUP(F116,'TFS Details'!F:F,'TFS Details'!E:E)</f>
        <v>4378908</v>
      </c>
      <c r="D116" s="17" t="s">
        <v>29</v>
      </c>
      <c r="E116" s="17" t="s">
        <v>397</v>
      </c>
      <c r="F116" s="112">
        <v>4376360</v>
      </c>
      <c r="G116" s="17" t="s">
        <v>343</v>
      </c>
      <c r="K116" s="97" t="s">
        <v>18</v>
      </c>
      <c r="L116" s="16" t="s">
        <v>398</v>
      </c>
      <c r="M116" s="97" t="s">
        <v>34</v>
      </c>
      <c r="N116" s="17"/>
      <c r="O116" s="134"/>
      <c r="Q116" s="176"/>
      <c r="R116" s="176"/>
      <c r="S116" s="176"/>
      <c r="T116" s="176"/>
      <c r="W116" s="17" t="s">
        <v>183</v>
      </c>
      <c r="X116" s="17" t="s">
        <v>183</v>
      </c>
      <c r="Y116" s="17" t="s">
        <v>183</v>
      </c>
      <c r="Z116" s="17" t="s">
        <v>183</v>
      </c>
      <c r="AA116" s="176">
        <v>15</v>
      </c>
      <c r="AB116" s="176">
        <v>8</v>
      </c>
      <c r="AC116" s="176">
        <v>2</v>
      </c>
      <c r="AD116" s="176">
        <v>12</v>
      </c>
      <c r="AE116" s="33">
        <v>0.6</v>
      </c>
      <c r="AF116" s="33">
        <v>0.6</v>
      </c>
      <c r="AG116" s="25" t="str">
        <f>_xlfn.XLOOKUP(F116,'TFS Details'!F:F,'TFS Details'!H:H)</f>
        <v>Test Complete</v>
      </c>
      <c r="AH116" s="44">
        <v>12</v>
      </c>
      <c r="AI116" s="44">
        <v>0</v>
      </c>
      <c r="AJ116" s="44">
        <v>0</v>
      </c>
      <c r="AK116" s="44">
        <v>0</v>
      </c>
      <c r="AL116" s="40">
        <f t="shared" si="16"/>
        <v>12</v>
      </c>
      <c r="AM116" s="41">
        <f t="shared" si="9"/>
        <v>1</v>
      </c>
      <c r="AN116" s="41">
        <f t="shared" si="11"/>
        <v>1</v>
      </c>
      <c r="AO116" s="25"/>
      <c r="AP116" s="25" t="str">
        <f>_xlfn.XLOOKUP(F116,'TFS Details'!F:F,'TFS Details'!I:I)</f>
        <v>BPMSBloggers</v>
      </c>
      <c r="AQ116" s="25" t="str">
        <f>_xlfn.XLOOKUP(AP116,'TFS Details'!I:I,'TFS Details'!AE:AE)</f>
        <v>sona.job</v>
      </c>
    </row>
    <row r="117" spans="1:43">
      <c r="A117" s="24" t="str">
        <f>_xlfn.XLOOKUP(F117,'TFS Details'!F:F,'TFS Details'!D:D)</f>
        <v>BPMS Onboarding</v>
      </c>
      <c r="B117" s="24" t="str">
        <f>_xlfn.XLOOKUP(F117,'TFS Details'!F:F,'TFS Details'!A:A)</f>
        <v>Diel hierarchy - rolled up revenue</v>
      </c>
      <c r="C117" s="64">
        <f>_xlfn.XLOOKUP(F117,'TFS Details'!F:F,'TFS Details'!E:E)</f>
        <v>4378908</v>
      </c>
      <c r="D117" s="17" t="s">
        <v>29</v>
      </c>
      <c r="E117" s="17" t="s">
        <v>399</v>
      </c>
      <c r="F117" s="112">
        <v>4378075</v>
      </c>
      <c r="G117" s="17" t="s">
        <v>335</v>
      </c>
      <c r="K117" s="97" t="s">
        <v>18</v>
      </c>
      <c r="L117" s="16" t="s">
        <v>28</v>
      </c>
      <c r="M117" s="16" t="s">
        <v>28</v>
      </c>
      <c r="N117" s="17"/>
      <c r="O117" s="134"/>
      <c r="Q117" s="176"/>
      <c r="R117" s="176"/>
      <c r="S117" s="176"/>
      <c r="T117" s="176"/>
      <c r="W117" s="17" t="s">
        <v>183</v>
      </c>
      <c r="X117" s="17" t="s">
        <v>183</v>
      </c>
      <c r="Y117" s="17" t="s">
        <v>183</v>
      </c>
      <c r="Z117" s="17" t="s">
        <v>183</v>
      </c>
      <c r="AA117" s="176">
        <v>6</v>
      </c>
      <c r="AB117" s="176">
        <v>3</v>
      </c>
      <c r="AC117" s="176">
        <v>8</v>
      </c>
      <c r="AD117" s="176">
        <v>8</v>
      </c>
      <c r="AE117" s="33">
        <v>0.5</v>
      </c>
      <c r="AF117" s="33">
        <v>0.5</v>
      </c>
      <c r="AG117" s="25" t="str">
        <f>_xlfn.XLOOKUP(F117,'TFS Details'!F:F,'TFS Details'!H:H)</f>
        <v>Test Complete</v>
      </c>
      <c r="AH117" s="44">
        <v>8</v>
      </c>
      <c r="AI117" s="44">
        <v>0</v>
      </c>
      <c r="AJ117" s="44">
        <v>0</v>
      </c>
      <c r="AK117" s="44">
        <v>0</v>
      </c>
      <c r="AL117" s="40">
        <f t="shared" si="16"/>
        <v>8</v>
      </c>
      <c r="AM117" s="41">
        <f t="shared" si="9"/>
        <v>1</v>
      </c>
      <c r="AN117" s="41">
        <f t="shared" si="11"/>
        <v>1</v>
      </c>
      <c r="AO117" s="25"/>
      <c r="AP117" s="25" t="str">
        <f>_xlfn.XLOOKUP(F117,'TFS Details'!F:F,'TFS Details'!I:I)</f>
        <v>TechPhantoms</v>
      </c>
      <c r="AQ117" s="25" t="str">
        <f>_xlfn.XLOOKUP(AP117,'TFS Details'!I:I,'TFS Details'!AE:AE)</f>
        <v>sowjanya.kari</v>
      </c>
    </row>
    <row r="118" spans="1:43">
      <c r="A118" s="24" t="str">
        <f>_xlfn.XLOOKUP(F118,'TFS Details'!F:F,'TFS Details'!D:D)</f>
        <v>BPMS Onboarding</v>
      </c>
      <c r="B118" s="24" t="str">
        <f>_xlfn.XLOOKUP(F118,'TFS Details'!F:F,'TFS Details'!A:A)</f>
        <v>Diel hierarchy - rolled up revenue</v>
      </c>
      <c r="C118" s="64">
        <f>_xlfn.XLOOKUP(F118,'TFS Details'!F:F,'TFS Details'!E:E)</f>
        <v>4378908</v>
      </c>
      <c r="D118" s="17" t="s">
        <v>29</v>
      </c>
      <c r="E118" s="17" t="s">
        <v>400</v>
      </c>
      <c r="F118" s="112">
        <v>4378418</v>
      </c>
      <c r="G118" s="17" t="s">
        <v>335</v>
      </c>
      <c r="K118" s="97" t="s">
        <v>18</v>
      </c>
      <c r="L118" s="16" t="s">
        <v>28</v>
      </c>
      <c r="M118" s="16" t="s">
        <v>28</v>
      </c>
      <c r="N118" s="17"/>
      <c r="O118" s="134"/>
      <c r="Q118" s="176"/>
      <c r="R118" s="176"/>
      <c r="S118" s="176"/>
      <c r="T118" s="176"/>
      <c r="W118" s="17" t="s">
        <v>183</v>
      </c>
      <c r="X118" s="17" t="s">
        <v>183</v>
      </c>
      <c r="Y118" s="17" t="s">
        <v>183</v>
      </c>
      <c r="Z118" s="17" t="s">
        <v>183</v>
      </c>
      <c r="AA118" s="176">
        <v>10</v>
      </c>
      <c r="AB118" s="176">
        <v>5</v>
      </c>
      <c r="AC118" s="176">
        <v>8</v>
      </c>
      <c r="AD118" s="176">
        <v>8</v>
      </c>
      <c r="AE118" s="33">
        <v>0.5</v>
      </c>
      <c r="AF118" s="33">
        <v>0.5</v>
      </c>
      <c r="AG118" s="25" t="str">
        <f>_xlfn.XLOOKUP(F118,'TFS Details'!F:F,'TFS Details'!H:H)</f>
        <v>Test Complete</v>
      </c>
      <c r="AH118" s="44">
        <v>8</v>
      </c>
      <c r="AI118" s="44">
        <v>0</v>
      </c>
      <c r="AJ118" s="44">
        <v>0</v>
      </c>
      <c r="AK118" s="44">
        <v>0</v>
      </c>
      <c r="AL118" s="40">
        <f t="shared" si="16"/>
        <v>8</v>
      </c>
      <c r="AM118" s="41">
        <f t="shared" si="9"/>
        <v>1</v>
      </c>
      <c r="AN118" s="41">
        <f t="shared" si="11"/>
        <v>1</v>
      </c>
      <c r="AO118" s="25"/>
      <c r="AP118" s="25" t="str">
        <f>_xlfn.XLOOKUP(F118,'TFS Details'!F:F,'TFS Details'!I:I)</f>
        <v>TechWarriors</v>
      </c>
      <c r="AQ118" s="25" t="str">
        <f>_xlfn.XLOOKUP(AP118,'TFS Details'!I:I,'TFS Details'!AE:AE)</f>
        <v>sowjanya.kari</v>
      </c>
    </row>
    <row r="119" spans="1:43">
      <c r="A119" s="24" t="str">
        <f>_xlfn.XLOOKUP(F119,'TFS Details'!F:F,'TFS Details'!D:D)</f>
        <v>BPMS Onboarding</v>
      </c>
      <c r="B119" s="24" t="str">
        <f>_xlfn.XLOOKUP(F119,'TFS Details'!F:F,'TFS Details'!A:A)</f>
        <v>Diel hierarchy - rolled up revenue</v>
      </c>
      <c r="C119" s="64">
        <f>_xlfn.XLOOKUP(F119,'TFS Details'!F:F,'TFS Details'!E:E)</f>
        <v>4378908</v>
      </c>
      <c r="D119" s="17" t="s">
        <v>29</v>
      </c>
      <c r="E119" s="17" t="s">
        <v>401</v>
      </c>
      <c r="F119" s="112">
        <v>4378666</v>
      </c>
      <c r="G119" s="17" t="s">
        <v>335</v>
      </c>
      <c r="K119" s="97" t="s">
        <v>18</v>
      </c>
      <c r="L119" s="16" t="s">
        <v>28</v>
      </c>
      <c r="M119" s="16" t="s">
        <v>28</v>
      </c>
      <c r="N119" s="17"/>
      <c r="O119" s="134"/>
      <c r="Q119" s="176"/>
      <c r="R119" s="176"/>
      <c r="S119" s="176"/>
      <c r="T119" s="176"/>
      <c r="W119" s="17" t="s">
        <v>183</v>
      </c>
      <c r="X119" s="17" t="s">
        <v>183</v>
      </c>
      <c r="Y119" s="17" t="s">
        <v>183</v>
      </c>
      <c r="Z119" s="17" t="s">
        <v>183</v>
      </c>
      <c r="AA119" s="176">
        <v>10</v>
      </c>
      <c r="AB119" s="176">
        <v>5</v>
      </c>
      <c r="AC119" s="176">
        <v>8</v>
      </c>
      <c r="AD119" s="176">
        <v>8</v>
      </c>
      <c r="AE119" s="33">
        <v>0.5</v>
      </c>
      <c r="AF119" s="33">
        <v>0.5</v>
      </c>
      <c r="AG119" s="25" t="str">
        <f>_xlfn.XLOOKUP(F119,'TFS Details'!F:F,'TFS Details'!H:H)</f>
        <v>Test Complete</v>
      </c>
      <c r="AH119" s="44">
        <v>8</v>
      </c>
      <c r="AI119" s="44">
        <v>0</v>
      </c>
      <c r="AJ119" s="44">
        <v>0</v>
      </c>
      <c r="AK119" s="44">
        <v>0</v>
      </c>
      <c r="AL119" s="40">
        <f t="shared" si="16"/>
        <v>8</v>
      </c>
      <c r="AM119" s="41">
        <f t="shared" si="9"/>
        <v>1</v>
      </c>
      <c r="AN119" s="41">
        <f t="shared" si="11"/>
        <v>1</v>
      </c>
      <c r="AO119" s="25"/>
      <c r="AP119" s="25" t="str">
        <f>_xlfn.XLOOKUP(F119,'TFS Details'!F:F,'TFS Details'!I:I)</f>
        <v>GoRetro</v>
      </c>
      <c r="AQ119" s="25" t="str">
        <f>_xlfn.XLOOKUP(AP119,'TFS Details'!I:I,'TFS Details'!AE:AE)</f>
        <v>sowjanya.kari</v>
      </c>
    </row>
    <row r="120" spans="1:43">
      <c r="A120" s="24" t="str">
        <f>_xlfn.XLOOKUP(F120,'TFS Details'!F:F,'TFS Details'!D:D)</f>
        <v>BPMS Onboarding</v>
      </c>
      <c r="B120" s="24" t="str">
        <f>_xlfn.XLOOKUP(F120,'TFS Details'!F:F,'TFS Details'!A:A)</f>
        <v>Diel hierarchy - rolled up revenue</v>
      </c>
      <c r="C120" s="64">
        <f>_xlfn.XLOOKUP(F120,'TFS Details'!F:F,'TFS Details'!E:E)</f>
        <v>4378908</v>
      </c>
      <c r="D120" s="17" t="s">
        <v>29</v>
      </c>
      <c r="E120" s="17" t="s">
        <v>402</v>
      </c>
      <c r="F120" s="112">
        <v>4378825</v>
      </c>
      <c r="G120" s="17" t="s">
        <v>335</v>
      </c>
      <c r="K120" s="17" t="s">
        <v>18</v>
      </c>
      <c r="L120" s="16" t="s">
        <v>28</v>
      </c>
      <c r="M120" s="16" t="s">
        <v>28</v>
      </c>
      <c r="N120" s="17"/>
      <c r="O120" s="134"/>
      <c r="Q120" s="176"/>
      <c r="R120" s="176"/>
      <c r="S120" s="176"/>
      <c r="T120" s="176"/>
      <c r="W120" s="17" t="s">
        <v>183</v>
      </c>
      <c r="X120" s="17" t="s">
        <v>183</v>
      </c>
      <c r="Y120" s="17" t="s">
        <v>183</v>
      </c>
      <c r="Z120" s="17" t="s">
        <v>183</v>
      </c>
      <c r="AA120" s="176">
        <v>10</v>
      </c>
      <c r="AB120" s="176">
        <v>5</v>
      </c>
      <c r="AC120" s="176">
        <v>4</v>
      </c>
      <c r="AD120" s="176">
        <v>4</v>
      </c>
      <c r="AE120" s="33">
        <v>0.5</v>
      </c>
      <c r="AF120" s="33">
        <v>0.5</v>
      </c>
      <c r="AG120" s="25" t="str">
        <f>_xlfn.XLOOKUP(F120,'TFS Details'!F:F,'TFS Details'!H:H)</f>
        <v>Test Complete</v>
      </c>
      <c r="AH120" s="44">
        <v>4</v>
      </c>
      <c r="AI120" s="44">
        <v>0</v>
      </c>
      <c r="AJ120" s="44">
        <v>0</v>
      </c>
      <c r="AK120" s="44">
        <v>0</v>
      </c>
      <c r="AL120" s="40">
        <f t="shared" si="16"/>
        <v>4</v>
      </c>
      <c r="AM120" s="41">
        <f t="shared" si="9"/>
        <v>1</v>
      </c>
      <c r="AN120" s="41">
        <f t="shared" si="11"/>
        <v>1</v>
      </c>
      <c r="AO120" s="25"/>
      <c r="AP120" s="25" t="str">
        <f>_xlfn.XLOOKUP(F120,'TFS Details'!F:F,'TFS Details'!I:I)</f>
        <v>CodeCrafters</v>
      </c>
      <c r="AQ120" s="25" t="str">
        <f>_xlfn.XLOOKUP(AP120,'TFS Details'!I:I,'TFS Details'!AE:AE)</f>
        <v>sona.job</v>
      </c>
    </row>
    <row r="121" spans="1:43">
      <c r="A121" s="24" t="str">
        <f>_xlfn.XLOOKUP(F121,'TFS Details'!F:F,'TFS Details'!D:D)</f>
        <v>CDAT Auto-mailers</v>
      </c>
      <c r="B121" s="24" t="str">
        <f>_xlfn.XLOOKUP(F121,'TFS Details'!F:F,'TFS Details'!A:A)</f>
        <v>Automailer, Follow-Ups &amp; Escalation Steps</v>
      </c>
      <c r="C121" s="64">
        <f>_xlfn.XLOOKUP(F121,'TFS Details'!F:F,'TFS Details'!E:E)</f>
        <v>4349307</v>
      </c>
      <c r="D121" s="17" t="s">
        <v>68</v>
      </c>
      <c r="E121" s="193" t="s">
        <v>403</v>
      </c>
      <c r="F121" s="117">
        <v>4392689</v>
      </c>
      <c r="G121" s="194" t="s">
        <v>327</v>
      </c>
      <c r="H121" s="194" t="s">
        <v>404</v>
      </c>
      <c r="I121" s="240"/>
      <c r="K121" s="97" t="s">
        <v>18</v>
      </c>
      <c r="L121" s="95" t="s">
        <v>405</v>
      </c>
      <c r="M121" s="16" t="s">
        <v>28</v>
      </c>
      <c r="N121" s="17"/>
      <c r="O121" s="134"/>
      <c r="Q121" s="176"/>
      <c r="R121" s="176"/>
      <c r="S121" s="176"/>
      <c r="T121" s="176"/>
      <c r="W121" s="17" t="s">
        <v>183</v>
      </c>
      <c r="X121" s="17" t="s">
        <v>183</v>
      </c>
      <c r="Y121" s="17" t="s">
        <v>183</v>
      </c>
      <c r="Z121" s="17" t="s">
        <v>183</v>
      </c>
      <c r="AA121" s="176">
        <v>47</v>
      </c>
      <c r="AB121" s="40">
        <v>14</v>
      </c>
      <c r="AC121" s="176">
        <v>0</v>
      </c>
      <c r="AD121" s="40">
        <v>14</v>
      </c>
      <c r="AE121" s="33">
        <f t="shared" ref="AE121:AE138" si="18">(AB121/AD121)</f>
        <v>1</v>
      </c>
      <c r="AF121" s="33"/>
      <c r="AG121" s="25" t="str">
        <f>_xlfn.XLOOKUP(F121,'TFS Details'!F:F,'TFS Details'!H:H)</f>
        <v>Test Complete</v>
      </c>
      <c r="AH121" s="252">
        <v>14</v>
      </c>
      <c r="AI121" s="253">
        <v>0</v>
      </c>
      <c r="AJ121" s="253">
        <v>0</v>
      </c>
      <c r="AK121" s="231">
        <v>0</v>
      </c>
      <c r="AL121" s="40">
        <f t="shared" ref="AL121:AL138" si="19">SUM(AH121:AK121)</f>
        <v>14</v>
      </c>
      <c r="AM121" s="41">
        <f t="shared" si="9"/>
        <v>1</v>
      </c>
      <c r="AN121" s="41">
        <f t="shared" si="11"/>
        <v>1</v>
      </c>
      <c r="AO121" s="25"/>
      <c r="AP121" s="25" t="str">
        <f>_xlfn.XLOOKUP(F121,'TFS Details'!F:F,'TFS Details'!I:I)</f>
        <v>TechPhantoms</v>
      </c>
      <c r="AQ121" s="25" t="str">
        <f>_xlfn.XLOOKUP(AP121,'TFS Details'!I:I,'TFS Details'!AE:AE)</f>
        <v>sowjanya.kari</v>
      </c>
    </row>
    <row r="122" spans="1:43">
      <c r="A122" s="24" t="str">
        <f>_xlfn.XLOOKUP(F122,'TFS Details'!F:F,'TFS Details'!D:D)</f>
        <v>CDAT Auto-mailers</v>
      </c>
      <c r="B122" s="24" t="str">
        <f>_xlfn.XLOOKUP(F122,'TFS Details'!F:F,'TFS Details'!A:A)</f>
        <v>Automailer, Follow-Ups &amp; Escalation Steps</v>
      </c>
      <c r="C122" s="64">
        <f>_xlfn.XLOOKUP(F122,'TFS Details'!F:F,'TFS Details'!E:E)</f>
        <v>4349307</v>
      </c>
      <c r="D122" s="17" t="s">
        <v>68</v>
      </c>
      <c r="E122" s="93" t="s">
        <v>406</v>
      </c>
      <c r="F122" s="117">
        <v>4392716</v>
      </c>
      <c r="G122" s="194" t="s">
        <v>404</v>
      </c>
      <c r="H122" s="194" t="s">
        <v>327</v>
      </c>
      <c r="I122" s="240"/>
      <c r="K122" s="97" t="s">
        <v>18</v>
      </c>
      <c r="L122" s="95" t="s">
        <v>405</v>
      </c>
      <c r="M122" s="16" t="s">
        <v>28</v>
      </c>
      <c r="N122" s="17"/>
      <c r="O122" s="134"/>
      <c r="Q122" s="176"/>
      <c r="R122" s="176"/>
      <c r="S122" s="176"/>
      <c r="T122" s="176"/>
      <c r="W122" s="17" t="s">
        <v>183</v>
      </c>
      <c r="X122" s="17" t="s">
        <v>183</v>
      </c>
      <c r="Y122" s="17" t="s">
        <v>183</v>
      </c>
      <c r="Z122" s="17" t="s">
        <v>183</v>
      </c>
      <c r="AA122" s="176">
        <v>40</v>
      </c>
      <c r="AB122" s="40">
        <v>18</v>
      </c>
      <c r="AC122" s="176">
        <v>0</v>
      </c>
      <c r="AD122" s="40">
        <v>18</v>
      </c>
      <c r="AE122" s="33">
        <f t="shared" si="18"/>
        <v>1</v>
      </c>
      <c r="AF122" s="33"/>
      <c r="AG122" s="25" t="str">
        <f>_xlfn.XLOOKUP(F122,'TFS Details'!F:F,'TFS Details'!H:H)</f>
        <v>PT In Test</v>
      </c>
      <c r="AH122" s="254">
        <v>17</v>
      </c>
      <c r="AI122" s="255">
        <v>0</v>
      </c>
      <c r="AJ122" s="255">
        <v>0</v>
      </c>
      <c r="AK122" s="232">
        <v>0</v>
      </c>
      <c r="AL122" s="40">
        <f t="shared" si="19"/>
        <v>17</v>
      </c>
      <c r="AM122" s="41">
        <f t="shared" si="9"/>
        <v>1</v>
      </c>
      <c r="AN122" s="41">
        <f t="shared" si="11"/>
        <v>1</v>
      </c>
      <c r="AO122" s="25"/>
      <c r="AP122" s="25" t="str">
        <f>_xlfn.XLOOKUP(F122,'TFS Details'!F:F,'TFS Details'!I:I)</f>
        <v>TechPhantoms</v>
      </c>
      <c r="AQ122" s="25" t="str">
        <f>_xlfn.XLOOKUP(AP122,'TFS Details'!I:I,'TFS Details'!AE:AE)</f>
        <v>sowjanya.kari</v>
      </c>
    </row>
    <row r="123" spans="1:43">
      <c r="A123" s="24" t="str">
        <f>_xlfn.XLOOKUP(F123,'TFS Details'!F:F,'TFS Details'!D:D)</f>
        <v>CDAT</v>
      </c>
      <c r="B123" s="24" t="str">
        <f>_xlfn.XLOOKUP(F123,'TFS Details'!F:F,'TFS Details'!A:A)</f>
        <v>CDAT Gen AI additional Nudges addition.</v>
      </c>
      <c r="C123" s="64">
        <f>_xlfn.XLOOKUP(F123,'TFS Details'!F:F,'TFS Details'!E:E)</f>
        <v>4368954</v>
      </c>
      <c r="D123" s="17" t="s">
        <v>68</v>
      </c>
      <c r="E123" s="93" t="s">
        <v>407</v>
      </c>
      <c r="F123" s="117">
        <v>4373916</v>
      </c>
      <c r="G123" s="194" t="s">
        <v>408</v>
      </c>
      <c r="H123" s="194" t="s">
        <v>409</v>
      </c>
      <c r="I123" s="240"/>
      <c r="K123" s="97" t="s">
        <v>18</v>
      </c>
      <c r="L123" s="95" t="s">
        <v>410</v>
      </c>
      <c r="M123" s="16" t="s">
        <v>21</v>
      </c>
      <c r="N123" s="17"/>
      <c r="O123" s="134"/>
      <c r="Q123" s="176"/>
      <c r="R123" s="176"/>
      <c r="S123" s="176"/>
      <c r="T123" s="176"/>
      <c r="W123" s="17" t="s">
        <v>183</v>
      </c>
      <c r="X123" s="17" t="s">
        <v>183</v>
      </c>
      <c r="Y123" s="17" t="s">
        <v>183</v>
      </c>
      <c r="Z123" s="17" t="s">
        <v>183</v>
      </c>
      <c r="AA123" s="176">
        <v>56</v>
      </c>
      <c r="AB123" s="40">
        <v>6</v>
      </c>
      <c r="AC123" s="176">
        <v>0</v>
      </c>
      <c r="AD123" s="40">
        <v>6</v>
      </c>
      <c r="AE123" s="33">
        <f t="shared" si="18"/>
        <v>1</v>
      </c>
      <c r="AF123" s="33">
        <v>0.9</v>
      </c>
      <c r="AG123" s="25" t="str">
        <f>_xlfn.XLOOKUP(F123,'TFS Details'!F:F,'TFS Details'!H:H)</f>
        <v>UAT In Test</v>
      </c>
      <c r="AH123" s="254">
        <v>6</v>
      </c>
      <c r="AI123" s="255">
        <v>0</v>
      </c>
      <c r="AJ123" s="255">
        <v>0</v>
      </c>
      <c r="AK123" s="232">
        <v>0</v>
      </c>
      <c r="AL123" s="40">
        <f t="shared" si="19"/>
        <v>6</v>
      </c>
      <c r="AM123" s="41">
        <f t="shared" si="9"/>
        <v>1</v>
      </c>
      <c r="AN123" s="41">
        <f t="shared" si="11"/>
        <v>1</v>
      </c>
      <c r="AO123" s="25"/>
      <c r="AP123" s="25" t="str">
        <f>_xlfn.XLOOKUP(F123,'TFS Details'!F:F,'TFS Details'!I:I)</f>
        <v>TechTribe</v>
      </c>
      <c r="AQ123" s="25" t="str">
        <f>_xlfn.XLOOKUP(AP123,'TFS Details'!I:I,'TFS Details'!AE:AE)</f>
        <v>pandidurai.ks</v>
      </c>
    </row>
    <row r="124" spans="1:43">
      <c r="A124" s="24" t="str">
        <f>_xlfn.XLOOKUP(F124,'TFS Details'!F:F,'TFS Details'!D:D)</f>
        <v>CDAT</v>
      </c>
      <c r="B124" s="24" t="str">
        <f>_xlfn.XLOOKUP(F124,'TFS Details'!F:F,'TFS Details'!A:A)</f>
        <v>CDAT Gen AI additional Nudges addition.</v>
      </c>
      <c r="C124" s="64">
        <f>_xlfn.XLOOKUP(F124,'TFS Details'!F:F,'TFS Details'!E:E)</f>
        <v>4368954</v>
      </c>
      <c r="D124" s="17" t="s">
        <v>68</v>
      </c>
      <c r="E124" s="93" t="s">
        <v>411</v>
      </c>
      <c r="F124" s="117">
        <v>4373918</v>
      </c>
      <c r="G124" s="194" t="s">
        <v>408</v>
      </c>
      <c r="H124" s="194" t="s">
        <v>409</v>
      </c>
      <c r="I124" s="240"/>
      <c r="K124" s="97" t="s">
        <v>18</v>
      </c>
      <c r="L124" s="95" t="s">
        <v>410</v>
      </c>
      <c r="M124" s="16" t="s">
        <v>21</v>
      </c>
      <c r="N124" s="17"/>
      <c r="O124" s="134"/>
      <c r="Q124" s="176"/>
      <c r="R124" s="176"/>
      <c r="S124" s="176"/>
      <c r="T124" s="176"/>
      <c r="W124" s="17" t="s">
        <v>183</v>
      </c>
      <c r="X124" s="17" t="s">
        <v>183</v>
      </c>
      <c r="Y124" s="17" t="s">
        <v>183</v>
      </c>
      <c r="Z124" s="17" t="s">
        <v>183</v>
      </c>
      <c r="AA124" s="176">
        <v>58</v>
      </c>
      <c r="AB124" s="40">
        <v>5</v>
      </c>
      <c r="AC124" s="176">
        <v>0</v>
      </c>
      <c r="AD124" s="40">
        <v>5</v>
      </c>
      <c r="AE124" s="33">
        <f t="shared" si="18"/>
        <v>1</v>
      </c>
      <c r="AF124" s="33">
        <v>0.9</v>
      </c>
      <c r="AG124" s="25" t="str">
        <f>_xlfn.XLOOKUP(F124,'TFS Details'!F:F,'TFS Details'!H:H)</f>
        <v>UAT In Test</v>
      </c>
      <c r="AH124" s="254">
        <v>5</v>
      </c>
      <c r="AI124" s="255">
        <v>0</v>
      </c>
      <c r="AJ124" s="255">
        <v>0</v>
      </c>
      <c r="AK124" s="232">
        <v>0</v>
      </c>
      <c r="AL124" s="40">
        <f t="shared" si="19"/>
        <v>5</v>
      </c>
      <c r="AM124" s="41">
        <f t="shared" si="9"/>
        <v>1</v>
      </c>
      <c r="AN124" s="41">
        <f t="shared" si="11"/>
        <v>1</v>
      </c>
      <c r="AO124" s="25"/>
      <c r="AP124" s="25" t="str">
        <f>_xlfn.XLOOKUP(F124,'TFS Details'!F:F,'TFS Details'!I:I)</f>
        <v>TechTribe</v>
      </c>
      <c r="AQ124" s="25" t="str">
        <f>_xlfn.XLOOKUP(AP124,'TFS Details'!I:I,'TFS Details'!AE:AE)</f>
        <v>pandidurai.ks</v>
      </c>
    </row>
    <row r="125" spans="1:43">
      <c r="A125" s="24" t="str">
        <f>_xlfn.XLOOKUP(F125,'TFS Details'!F:F,'TFS Details'!D:D)</f>
        <v>CDAT</v>
      </c>
      <c r="B125" s="24" t="str">
        <f>_xlfn.XLOOKUP(F125,'TFS Details'!F:F,'TFS Details'!A:A)</f>
        <v>CDAT Gen AI additional Nudges addition.</v>
      </c>
      <c r="C125" s="64">
        <f>_xlfn.XLOOKUP(F125,'TFS Details'!F:F,'TFS Details'!E:E)</f>
        <v>4368954</v>
      </c>
      <c r="D125" s="17" t="s">
        <v>68</v>
      </c>
      <c r="E125" s="93" t="s">
        <v>412</v>
      </c>
      <c r="F125" s="117">
        <v>4373922</v>
      </c>
      <c r="G125" s="194" t="s">
        <v>408</v>
      </c>
      <c r="H125" s="194" t="s">
        <v>409</v>
      </c>
      <c r="I125" s="240"/>
      <c r="K125" s="97" t="s">
        <v>18</v>
      </c>
      <c r="L125" s="95" t="s">
        <v>410</v>
      </c>
      <c r="M125" s="16" t="s">
        <v>21</v>
      </c>
      <c r="N125" s="17"/>
      <c r="O125" s="134"/>
      <c r="Q125" s="176"/>
      <c r="R125" s="176"/>
      <c r="S125" s="176"/>
      <c r="T125" s="176"/>
      <c r="W125" s="17" t="s">
        <v>183</v>
      </c>
      <c r="X125" s="17" t="s">
        <v>183</v>
      </c>
      <c r="Y125" s="17" t="s">
        <v>183</v>
      </c>
      <c r="Z125" s="17" t="s">
        <v>183</v>
      </c>
      <c r="AA125" s="176">
        <v>58</v>
      </c>
      <c r="AB125" s="40">
        <v>4</v>
      </c>
      <c r="AC125" s="176">
        <v>1</v>
      </c>
      <c r="AD125" s="40">
        <v>5</v>
      </c>
      <c r="AE125" s="33">
        <f t="shared" si="18"/>
        <v>0.8</v>
      </c>
      <c r="AF125" s="33">
        <v>0.9</v>
      </c>
      <c r="AG125" s="25" t="str">
        <f>_xlfn.XLOOKUP(F125,'TFS Details'!F:F,'TFS Details'!H:H)</f>
        <v>UAT In Test</v>
      </c>
      <c r="AH125" s="254">
        <v>5</v>
      </c>
      <c r="AI125" s="255">
        <v>0</v>
      </c>
      <c r="AJ125" s="255">
        <v>0</v>
      </c>
      <c r="AK125" s="232">
        <v>0</v>
      </c>
      <c r="AL125" s="40">
        <f t="shared" si="19"/>
        <v>5</v>
      </c>
      <c r="AM125" s="41">
        <f t="shared" si="9"/>
        <v>1</v>
      </c>
      <c r="AN125" s="41">
        <f t="shared" si="11"/>
        <v>1</v>
      </c>
      <c r="AO125" s="25"/>
      <c r="AP125" s="25" t="str">
        <f>_xlfn.XLOOKUP(F125,'TFS Details'!F:F,'TFS Details'!I:I)</f>
        <v>TechTribe</v>
      </c>
      <c r="AQ125" s="25" t="str">
        <f>_xlfn.XLOOKUP(AP125,'TFS Details'!I:I,'TFS Details'!AE:AE)</f>
        <v>pandidurai.ks</v>
      </c>
    </row>
    <row r="126" spans="1:43">
      <c r="A126" s="24" t="str">
        <f>_xlfn.XLOOKUP(F126,'TFS Details'!F:F,'TFS Details'!D:D)</f>
        <v xml:space="preserve">CDAT </v>
      </c>
      <c r="B126" s="24" t="str">
        <f>_xlfn.XLOOKUP(F126,'TFS Details'!F:F,'TFS Details'!A:A)</f>
        <v>CDAT Enhancements</v>
      </c>
      <c r="C126" s="64">
        <f>_xlfn.XLOOKUP(F126,'TFS Details'!F:F,'TFS Details'!E:E)</f>
        <v>4392317</v>
      </c>
      <c r="D126" s="17" t="s">
        <v>68</v>
      </c>
      <c r="E126" s="93" t="s">
        <v>413</v>
      </c>
      <c r="F126" s="117">
        <v>4392685</v>
      </c>
      <c r="G126" s="194" t="s">
        <v>327</v>
      </c>
      <c r="H126" s="194" t="s">
        <v>404</v>
      </c>
      <c r="I126" s="240"/>
      <c r="K126" s="97" t="s">
        <v>18</v>
      </c>
      <c r="L126" s="95" t="s">
        <v>414</v>
      </c>
      <c r="M126" s="23" t="s">
        <v>57</v>
      </c>
      <c r="N126" s="17"/>
      <c r="O126" s="134"/>
      <c r="Q126" s="176"/>
      <c r="R126" s="176"/>
      <c r="S126" s="176"/>
      <c r="T126" s="176"/>
      <c r="W126" s="17" t="s">
        <v>183</v>
      </c>
      <c r="X126" s="17" t="s">
        <v>183</v>
      </c>
      <c r="Y126" s="17" t="s">
        <v>183</v>
      </c>
      <c r="Z126" s="17" t="s">
        <v>183</v>
      </c>
      <c r="AA126" s="176">
        <v>56</v>
      </c>
      <c r="AB126" s="40">
        <v>11</v>
      </c>
      <c r="AC126" s="176">
        <v>0</v>
      </c>
      <c r="AD126" s="40">
        <v>11</v>
      </c>
      <c r="AE126" s="33">
        <f t="shared" si="18"/>
        <v>1</v>
      </c>
      <c r="AF126" s="33"/>
      <c r="AG126" s="25" t="str">
        <f>_xlfn.XLOOKUP(F126,'TFS Details'!F:F,'TFS Details'!H:H)</f>
        <v>Test Complete</v>
      </c>
      <c r="AH126" s="254">
        <v>11</v>
      </c>
      <c r="AI126" s="255">
        <v>0</v>
      </c>
      <c r="AJ126" s="255">
        <v>0</v>
      </c>
      <c r="AK126" s="232">
        <v>0</v>
      </c>
      <c r="AL126" s="40">
        <f t="shared" si="19"/>
        <v>11</v>
      </c>
      <c r="AM126" s="41">
        <f t="shared" si="9"/>
        <v>1</v>
      </c>
      <c r="AN126" s="41">
        <f t="shared" si="11"/>
        <v>1</v>
      </c>
      <c r="AO126" s="25"/>
      <c r="AP126" s="25" t="str">
        <f>_xlfn.XLOOKUP(F126,'TFS Details'!F:F,'TFS Details'!I:I)</f>
        <v>TechTribe</v>
      </c>
      <c r="AQ126" s="25" t="str">
        <f>_xlfn.XLOOKUP(AP126,'TFS Details'!I:I,'TFS Details'!AE:AE)</f>
        <v>pandidurai.ks</v>
      </c>
    </row>
    <row r="127" spans="1:43">
      <c r="A127" s="24" t="str">
        <f>_xlfn.XLOOKUP(F127,'TFS Details'!F:F,'TFS Details'!D:D)</f>
        <v>Role Rename</v>
      </c>
      <c r="B127" s="24" t="str">
        <f>_xlfn.XLOOKUP(F127,'TFS Details'!F:F,'TFS Details'!A:A)</f>
        <v>March Release NextGen Enhancements</v>
      </c>
      <c r="C127" s="64">
        <f>_xlfn.XLOOKUP(F127,'TFS Details'!F:F,'TFS Details'!E:E)</f>
        <v>4365826</v>
      </c>
      <c r="D127" s="17" t="s">
        <v>68</v>
      </c>
      <c r="E127" s="93" t="s">
        <v>415</v>
      </c>
      <c r="F127" s="117">
        <v>4391372</v>
      </c>
      <c r="G127" s="194" t="s">
        <v>408</v>
      </c>
      <c r="H127" s="194" t="s">
        <v>409</v>
      </c>
      <c r="I127" s="240"/>
      <c r="K127" s="97" t="s">
        <v>18</v>
      </c>
      <c r="L127" s="95" t="s">
        <v>414</v>
      </c>
      <c r="M127" s="23" t="s">
        <v>57</v>
      </c>
      <c r="N127" s="17"/>
      <c r="O127" s="134"/>
      <c r="Q127" s="176"/>
      <c r="R127" s="176"/>
      <c r="S127" s="176"/>
      <c r="T127" s="176"/>
      <c r="W127" s="17" t="s">
        <v>183</v>
      </c>
      <c r="X127" s="17" t="s">
        <v>183</v>
      </c>
      <c r="Y127" s="17" t="s">
        <v>183</v>
      </c>
      <c r="Z127" s="17" t="s">
        <v>183</v>
      </c>
      <c r="AA127" s="176">
        <v>56</v>
      </c>
      <c r="AB127" s="40">
        <v>5</v>
      </c>
      <c r="AC127" s="176">
        <v>0</v>
      </c>
      <c r="AD127" s="40">
        <v>5</v>
      </c>
      <c r="AE127" s="33">
        <f t="shared" si="18"/>
        <v>1</v>
      </c>
      <c r="AF127" s="33">
        <v>0.9</v>
      </c>
      <c r="AG127" s="25" t="str">
        <f>_xlfn.XLOOKUP(F127,'TFS Details'!F:F,'TFS Details'!H:H)</f>
        <v>UAT In Test</v>
      </c>
      <c r="AH127" s="254">
        <v>5</v>
      </c>
      <c r="AI127" s="255">
        <v>0</v>
      </c>
      <c r="AJ127" s="255">
        <v>0</v>
      </c>
      <c r="AK127" s="232">
        <v>0</v>
      </c>
      <c r="AL127" s="40">
        <f t="shared" si="19"/>
        <v>5</v>
      </c>
      <c r="AM127" s="41">
        <f t="shared" si="9"/>
        <v>1</v>
      </c>
      <c r="AN127" s="41">
        <f t="shared" si="11"/>
        <v>1</v>
      </c>
      <c r="AO127" s="25"/>
      <c r="AP127" s="25" t="str">
        <f>_xlfn.XLOOKUP(F127,'TFS Details'!F:F,'TFS Details'!I:I)</f>
        <v>TechTribe</v>
      </c>
      <c r="AQ127" s="25" t="str">
        <f>_xlfn.XLOOKUP(AP127,'TFS Details'!I:I,'TFS Details'!AE:AE)</f>
        <v>pandidurai.ks</v>
      </c>
    </row>
    <row r="128" spans="1:43">
      <c r="A128" s="24" t="str">
        <f>_xlfn.XLOOKUP(F128,'TFS Details'!F:F,'TFS Details'!D:D)</f>
        <v xml:space="preserve">CDAT </v>
      </c>
      <c r="B128" s="24" t="str">
        <f>_xlfn.XLOOKUP(F128,'TFS Details'!F:F,'TFS Details'!A:A)</f>
        <v>CDAT Enhancements</v>
      </c>
      <c r="C128" s="64">
        <f>_xlfn.XLOOKUP(F128,'TFS Details'!F:F,'TFS Details'!E:E)</f>
        <v>4392317</v>
      </c>
      <c r="D128" s="17" t="s">
        <v>68</v>
      </c>
      <c r="E128" s="93" t="s">
        <v>416</v>
      </c>
      <c r="F128" s="117">
        <v>4392316</v>
      </c>
      <c r="G128" s="194" t="s">
        <v>404</v>
      </c>
      <c r="H128" s="194" t="s">
        <v>409</v>
      </c>
      <c r="I128" s="240"/>
      <c r="K128" s="97" t="s">
        <v>18</v>
      </c>
      <c r="L128" s="95" t="s">
        <v>414</v>
      </c>
      <c r="M128" s="23" t="s">
        <v>57</v>
      </c>
      <c r="N128" s="17"/>
      <c r="O128" s="134"/>
      <c r="Q128" s="176"/>
      <c r="R128" s="176"/>
      <c r="S128" s="176"/>
      <c r="T128" s="176"/>
      <c r="W128" s="17" t="s">
        <v>183</v>
      </c>
      <c r="X128" s="17" t="s">
        <v>183</v>
      </c>
      <c r="Y128" s="17" t="s">
        <v>183</v>
      </c>
      <c r="Z128" s="17" t="s">
        <v>183</v>
      </c>
      <c r="AA128" s="176">
        <v>60</v>
      </c>
      <c r="AB128" s="40">
        <v>22</v>
      </c>
      <c r="AC128" s="176">
        <v>0</v>
      </c>
      <c r="AD128" s="40">
        <v>22</v>
      </c>
      <c r="AE128" s="33">
        <f t="shared" si="18"/>
        <v>1</v>
      </c>
      <c r="AF128" s="33">
        <v>0.9</v>
      </c>
      <c r="AG128" s="25" t="str">
        <f>_xlfn.XLOOKUP(F128,'TFS Details'!F:F,'TFS Details'!H:H)</f>
        <v>Test Complete</v>
      </c>
      <c r="AH128" s="254">
        <v>22</v>
      </c>
      <c r="AI128" s="255">
        <v>0</v>
      </c>
      <c r="AJ128" s="255">
        <v>0</v>
      </c>
      <c r="AK128" s="232">
        <v>0</v>
      </c>
      <c r="AL128" s="40">
        <f t="shared" si="19"/>
        <v>22</v>
      </c>
      <c r="AM128" s="41">
        <f t="shared" si="9"/>
        <v>1</v>
      </c>
      <c r="AN128" s="41">
        <f t="shared" si="11"/>
        <v>1</v>
      </c>
      <c r="AO128" s="25"/>
      <c r="AP128" s="25" t="str">
        <f>_xlfn.XLOOKUP(F128,'TFS Details'!F:F,'TFS Details'!I:I)</f>
        <v>TechTribe</v>
      </c>
      <c r="AQ128" s="25" t="str">
        <f>_xlfn.XLOOKUP(AP128,'TFS Details'!I:I,'TFS Details'!AE:AE)</f>
        <v>pandidurai.ks</v>
      </c>
    </row>
    <row r="129" spans="1:43">
      <c r="A129" s="24" t="str">
        <f>_xlfn.XLOOKUP(F129,'TFS Details'!F:F,'TFS Details'!D:D)</f>
        <v>CDAT</v>
      </c>
      <c r="B129" s="24" t="str">
        <f>_xlfn.XLOOKUP(F129,'TFS Details'!F:F,'TFS Details'!A:A)</f>
        <v>Feb 21 || PT || CDAT || Lead || Define Team is not loading</v>
      </c>
      <c r="C129" s="64">
        <f>_xlfn.XLOOKUP(F129,'TFS Details'!F:F,'TFS Details'!E:E)</f>
        <v>4349735</v>
      </c>
      <c r="D129" s="17" t="s">
        <v>68</v>
      </c>
      <c r="E129" s="93" t="s">
        <v>417</v>
      </c>
      <c r="F129" s="118">
        <v>4358329</v>
      </c>
      <c r="G129" s="194" t="s">
        <v>408</v>
      </c>
      <c r="H129" s="195" t="s">
        <v>409</v>
      </c>
      <c r="I129" s="240"/>
      <c r="K129" s="97" t="s">
        <v>18</v>
      </c>
      <c r="L129" s="94" t="s">
        <v>418</v>
      </c>
      <c r="M129" s="23" t="s">
        <v>64</v>
      </c>
      <c r="N129" s="17"/>
      <c r="O129" s="134"/>
      <c r="Q129" s="176"/>
      <c r="R129" s="176"/>
      <c r="S129" s="176"/>
      <c r="T129" s="176"/>
      <c r="W129" s="17" t="s">
        <v>183</v>
      </c>
      <c r="X129" s="17" t="s">
        <v>183</v>
      </c>
      <c r="Y129" s="17" t="s">
        <v>183</v>
      </c>
      <c r="Z129" s="17" t="s">
        <v>183</v>
      </c>
      <c r="AA129" s="176">
        <v>30</v>
      </c>
      <c r="AB129" s="40">
        <v>6</v>
      </c>
      <c r="AC129" s="176">
        <v>0</v>
      </c>
      <c r="AD129" s="40">
        <v>6</v>
      </c>
      <c r="AE129" s="33">
        <f t="shared" si="18"/>
        <v>1</v>
      </c>
      <c r="AF129" s="33">
        <v>0.9</v>
      </c>
      <c r="AG129" s="25" t="str">
        <f>_xlfn.XLOOKUP(F129,'TFS Details'!F:F,'TFS Details'!H:H)</f>
        <v>Test Complete</v>
      </c>
      <c r="AH129" s="254">
        <v>6</v>
      </c>
      <c r="AI129" s="255">
        <v>0</v>
      </c>
      <c r="AJ129" s="255">
        <v>0</v>
      </c>
      <c r="AK129" s="232">
        <v>0</v>
      </c>
      <c r="AL129" s="40">
        <f t="shared" si="19"/>
        <v>6</v>
      </c>
      <c r="AM129" s="41">
        <f t="shared" si="9"/>
        <v>1</v>
      </c>
      <c r="AN129" s="41">
        <f t="shared" si="11"/>
        <v>1</v>
      </c>
      <c r="AO129" s="25"/>
      <c r="AP129" s="25" t="str">
        <f>_xlfn.XLOOKUP(F129,'TFS Details'!F:F,'TFS Details'!I:I)</f>
        <v>TechWarriors</v>
      </c>
      <c r="AQ129" s="25" t="str">
        <f>_xlfn.XLOOKUP(AP129,'TFS Details'!I:I,'TFS Details'!AE:AE)</f>
        <v>sowjanya.kari</v>
      </c>
    </row>
    <row r="130" spans="1:43">
      <c r="A130" s="24" t="str">
        <f>_xlfn.XLOOKUP(F130,'TFS Details'!F:F,'TFS Details'!D:D)</f>
        <v>CDAT Auto-mailers</v>
      </c>
      <c r="B130" s="24" t="str">
        <f>_xlfn.XLOOKUP(F130,'TFS Details'!F:F,'TFS Details'!A:A)</f>
        <v>Automailer, Follow-Ups &amp; Escalation Steps</v>
      </c>
      <c r="C130" s="64">
        <f>_xlfn.XLOOKUP(F130,'TFS Details'!F:F,'TFS Details'!E:E)</f>
        <v>4349307</v>
      </c>
      <c r="D130" s="17" t="s">
        <v>68</v>
      </c>
      <c r="E130" s="196" t="s">
        <v>419</v>
      </c>
      <c r="F130" s="119">
        <v>4349408</v>
      </c>
      <c r="G130" s="194" t="s">
        <v>327</v>
      </c>
      <c r="H130" s="195" t="s">
        <v>404</v>
      </c>
      <c r="I130" s="240"/>
      <c r="K130" s="97" t="s">
        <v>18</v>
      </c>
      <c r="L130" s="95" t="s">
        <v>405</v>
      </c>
      <c r="M130" s="16" t="s">
        <v>28</v>
      </c>
      <c r="N130" s="17"/>
      <c r="O130" s="134"/>
      <c r="Q130" s="176"/>
      <c r="R130" s="176"/>
      <c r="S130" s="176"/>
      <c r="T130" s="176"/>
      <c r="W130" s="17" t="s">
        <v>183</v>
      </c>
      <c r="X130" s="17" t="s">
        <v>183</v>
      </c>
      <c r="Y130" s="17" t="s">
        <v>183</v>
      </c>
      <c r="Z130" s="17" t="s">
        <v>183</v>
      </c>
      <c r="AA130" s="176">
        <v>40</v>
      </c>
      <c r="AB130" s="40">
        <v>13</v>
      </c>
      <c r="AC130" s="176">
        <v>0</v>
      </c>
      <c r="AD130" s="40">
        <v>13</v>
      </c>
      <c r="AE130" s="33">
        <f t="shared" si="18"/>
        <v>1</v>
      </c>
      <c r="AF130" s="33"/>
      <c r="AG130" s="25" t="str">
        <f>_xlfn.XLOOKUP(F130,'TFS Details'!F:F,'TFS Details'!H:H)</f>
        <v>PT In Test</v>
      </c>
      <c r="AH130" s="254">
        <v>12</v>
      </c>
      <c r="AI130" s="255">
        <v>0</v>
      </c>
      <c r="AJ130" s="255">
        <v>0</v>
      </c>
      <c r="AK130" s="232">
        <v>0</v>
      </c>
      <c r="AL130" s="40">
        <f t="shared" si="19"/>
        <v>12</v>
      </c>
      <c r="AM130" s="41">
        <f t="shared" ref="AM130:AM193" si="20">IF(AH130+AI130=0,0,SUM(AH130:AI130)/AL130)</f>
        <v>1</v>
      </c>
      <c r="AN130" s="41">
        <f t="shared" si="11"/>
        <v>1</v>
      </c>
      <c r="AO130" s="25"/>
      <c r="AP130" s="25" t="str">
        <f>_xlfn.XLOOKUP(F130,'TFS Details'!F:F,'TFS Details'!I:I)</f>
        <v>TechPhantoms</v>
      </c>
      <c r="AQ130" s="25" t="str">
        <f>_xlfn.XLOOKUP(AP130,'TFS Details'!I:I,'TFS Details'!AE:AE)</f>
        <v>sowjanya.kari</v>
      </c>
    </row>
    <row r="131" spans="1:43">
      <c r="A131" s="24" t="str">
        <f>_xlfn.XLOOKUP(F131,'TFS Details'!F:F,'TFS Details'!D:D)</f>
        <v>CDAT Auto-mailers</v>
      </c>
      <c r="B131" s="24" t="str">
        <f>_xlfn.XLOOKUP(F131,'TFS Details'!F:F,'TFS Details'!A:A)</f>
        <v>Automailer, Follow-Ups &amp; Escalation Steps</v>
      </c>
      <c r="C131" s="64">
        <f>_xlfn.XLOOKUP(F131,'TFS Details'!F:F,'TFS Details'!E:E)</f>
        <v>4349307</v>
      </c>
      <c r="D131" s="17" t="s">
        <v>68</v>
      </c>
      <c r="E131" s="196" t="s">
        <v>420</v>
      </c>
      <c r="F131" s="119">
        <v>4349409</v>
      </c>
      <c r="G131" s="194" t="s">
        <v>404</v>
      </c>
      <c r="H131" s="195" t="s">
        <v>327</v>
      </c>
      <c r="I131" s="240"/>
      <c r="K131" s="97" t="s">
        <v>18</v>
      </c>
      <c r="L131" s="95" t="s">
        <v>405</v>
      </c>
      <c r="M131" s="16" t="s">
        <v>28</v>
      </c>
      <c r="N131" s="17"/>
      <c r="O131" s="134"/>
      <c r="Q131" s="176"/>
      <c r="R131" s="176"/>
      <c r="S131" s="176"/>
      <c r="T131" s="176"/>
      <c r="W131" s="17" t="s">
        <v>183</v>
      </c>
      <c r="X131" s="17" t="s">
        <v>183</v>
      </c>
      <c r="Y131" s="17" t="s">
        <v>183</v>
      </c>
      <c r="Z131" s="17" t="s">
        <v>183</v>
      </c>
      <c r="AA131" s="176">
        <v>30</v>
      </c>
      <c r="AB131" s="40">
        <v>22</v>
      </c>
      <c r="AC131" s="176">
        <v>0</v>
      </c>
      <c r="AD131" s="40">
        <v>22</v>
      </c>
      <c r="AE131" s="33">
        <f t="shared" si="18"/>
        <v>1</v>
      </c>
      <c r="AF131" s="33"/>
      <c r="AG131" s="25" t="str">
        <f>_xlfn.XLOOKUP(F131,'TFS Details'!F:F,'TFS Details'!H:H)</f>
        <v>Test Complete</v>
      </c>
      <c r="AH131" s="254">
        <v>22</v>
      </c>
      <c r="AI131" s="255">
        <v>0</v>
      </c>
      <c r="AJ131" s="255">
        <v>0</v>
      </c>
      <c r="AK131" s="232">
        <v>0</v>
      </c>
      <c r="AL131" s="40">
        <f t="shared" si="19"/>
        <v>22</v>
      </c>
      <c r="AM131" s="41">
        <f t="shared" si="20"/>
        <v>1</v>
      </c>
      <c r="AN131" s="41">
        <f t="shared" si="11"/>
        <v>1</v>
      </c>
      <c r="AO131" s="25"/>
      <c r="AP131" s="25" t="str">
        <f>_xlfn.XLOOKUP(F131,'TFS Details'!F:F,'TFS Details'!I:I)</f>
        <v>TechPhantoms</v>
      </c>
      <c r="AQ131" s="25" t="str">
        <f>_xlfn.XLOOKUP(AP131,'TFS Details'!I:I,'TFS Details'!AE:AE)</f>
        <v>sowjanya.kari</v>
      </c>
    </row>
    <row r="132" spans="1:43">
      <c r="A132" s="24" t="str">
        <f>_xlfn.XLOOKUP(F132,'TFS Details'!F:F,'TFS Details'!D:D)</f>
        <v>CDAT Auto-mailers</v>
      </c>
      <c r="B132" s="24" t="str">
        <f>_xlfn.XLOOKUP(F132,'TFS Details'!F:F,'TFS Details'!A:A)</f>
        <v>Automailer, Follow-Ups &amp; Escalation Steps</v>
      </c>
      <c r="C132" s="64">
        <f>_xlfn.XLOOKUP(F132,'TFS Details'!F:F,'TFS Details'!E:E)</f>
        <v>4349307</v>
      </c>
      <c r="D132" s="17" t="s">
        <v>68</v>
      </c>
      <c r="E132" s="196" t="s">
        <v>421</v>
      </c>
      <c r="F132" s="119">
        <v>4349500</v>
      </c>
      <c r="G132" s="194" t="s">
        <v>327</v>
      </c>
      <c r="H132" s="195" t="s">
        <v>404</v>
      </c>
      <c r="I132" s="240"/>
      <c r="K132" s="97" t="s">
        <v>18</v>
      </c>
      <c r="L132" s="95" t="s">
        <v>405</v>
      </c>
      <c r="M132" s="16" t="s">
        <v>28</v>
      </c>
      <c r="N132" s="17"/>
      <c r="O132" s="134"/>
      <c r="Q132" s="176"/>
      <c r="R132" s="176"/>
      <c r="S132" s="176"/>
      <c r="T132" s="176"/>
      <c r="W132" s="17" t="s">
        <v>183</v>
      </c>
      <c r="X132" s="17" t="s">
        <v>183</v>
      </c>
      <c r="Y132" s="17" t="s">
        <v>183</v>
      </c>
      <c r="Z132" s="17" t="s">
        <v>183</v>
      </c>
      <c r="AA132" s="176">
        <v>50</v>
      </c>
      <c r="AB132" s="40">
        <v>17</v>
      </c>
      <c r="AC132" s="176">
        <v>0</v>
      </c>
      <c r="AD132" s="40">
        <v>17</v>
      </c>
      <c r="AE132" s="33">
        <f t="shared" si="18"/>
        <v>1</v>
      </c>
      <c r="AF132" s="33"/>
      <c r="AG132" s="25" t="str">
        <f>_xlfn.XLOOKUP(F132,'TFS Details'!F:F,'TFS Details'!H:H)</f>
        <v>PT In Test</v>
      </c>
      <c r="AH132" s="254">
        <v>14</v>
      </c>
      <c r="AI132" s="255">
        <v>0</v>
      </c>
      <c r="AJ132" s="255">
        <v>0</v>
      </c>
      <c r="AK132" s="232">
        <v>0</v>
      </c>
      <c r="AL132" s="40">
        <f t="shared" si="19"/>
        <v>14</v>
      </c>
      <c r="AM132" s="41">
        <f t="shared" si="20"/>
        <v>1</v>
      </c>
      <c r="AN132" s="41">
        <f t="shared" ref="AN132:AN193" si="21">IF(AH132=0,0,AH132/(SUM(AH132:AJ132)))</f>
        <v>1</v>
      </c>
      <c r="AO132" s="25"/>
      <c r="AP132" s="25" t="str">
        <f>_xlfn.XLOOKUP(F132,'TFS Details'!F:F,'TFS Details'!I:I)</f>
        <v>TechPhantoms</v>
      </c>
      <c r="AQ132" s="25" t="str">
        <f>_xlfn.XLOOKUP(AP132,'TFS Details'!I:I,'TFS Details'!AE:AE)</f>
        <v>sowjanya.kari</v>
      </c>
    </row>
    <row r="133" spans="1:43">
      <c r="A133" s="24" t="str">
        <f>_xlfn.XLOOKUP(F133,'TFS Details'!F:F,'TFS Details'!D:D)</f>
        <v>CDAT Auto-mailers</v>
      </c>
      <c r="B133" s="24" t="str">
        <f>_xlfn.XLOOKUP(F133,'TFS Details'!F:F,'TFS Details'!A:A)</f>
        <v>Automailer, Follow-Ups &amp; Escalation Steps</v>
      </c>
      <c r="C133" s="64">
        <f>_xlfn.XLOOKUP(F133,'TFS Details'!F:F,'TFS Details'!E:E)</f>
        <v>4349307</v>
      </c>
      <c r="D133" s="17" t="s">
        <v>68</v>
      </c>
      <c r="E133" s="196" t="s">
        <v>422</v>
      </c>
      <c r="F133" s="119">
        <v>4349598</v>
      </c>
      <c r="G133" s="194" t="s">
        <v>404</v>
      </c>
      <c r="H133" s="195" t="s">
        <v>327</v>
      </c>
      <c r="I133" s="240"/>
      <c r="K133" s="97" t="s">
        <v>18</v>
      </c>
      <c r="L133" s="95" t="s">
        <v>405</v>
      </c>
      <c r="M133" s="16" t="s">
        <v>28</v>
      </c>
      <c r="N133" s="17"/>
      <c r="O133" s="134"/>
      <c r="Q133" s="176"/>
      <c r="R133" s="176"/>
      <c r="S133" s="176"/>
      <c r="T133" s="176"/>
      <c r="W133" s="17" t="s">
        <v>183</v>
      </c>
      <c r="X133" s="17" t="s">
        <v>183</v>
      </c>
      <c r="Y133" s="17" t="s">
        <v>183</v>
      </c>
      <c r="Z133" s="17" t="s">
        <v>183</v>
      </c>
      <c r="AA133" s="176">
        <v>40</v>
      </c>
      <c r="AB133" s="40">
        <v>14</v>
      </c>
      <c r="AC133" s="176">
        <v>0</v>
      </c>
      <c r="AD133" s="40">
        <v>14</v>
      </c>
      <c r="AE133" s="33">
        <f t="shared" si="18"/>
        <v>1</v>
      </c>
      <c r="AF133" s="33"/>
      <c r="AG133" s="25" t="str">
        <f>_xlfn.XLOOKUP(F133,'TFS Details'!F:F,'TFS Details'!H:H)</f>
        <v>Test Complete</v>
      </c>
      <c r="AH133" s="254">
        <v>14</v>
      </c>
      <c r="AI133" s="255">
        <v>0</v>
      </c>
      <c r="AJ133" s="255">
        <v>0</v>
      </c>
      <c r="AK133" s="232">
        <v>0</v>
      </c>
      <c r="AL133" s="40">
        <f t="shared" si="19"/>
        <v>14</v>
      </c>
      <c r="AM133" s="41">
        <f t="shared" si="20"/>
        <v>1</v>
      </c>
      <c r="AN133" s="41">
        <f t="shared" si="21"/>
        <v>1</v>
      </c>
      <c r="AO133" s="25"/>
      <c r="AP133" s="25" t="str">
        <f>_xlfn.XLOOKUP(F133,'TFS Details'!F:F,'TFS Details'!I:I)</f>
        <v>TechPhantoms</v>
      </c>
      <c r="AQ133" s="25" t="str">
        <f>_xlfn.XLOOKUP(AP133,'TFS Details'!I:I,'TFS Details'!AE:AE)</f>
        <v>sowjanya.kari</v>
      </c>
    </row>
    <row r="134" spans="1:43">
      <c r="A134" s="24" t="str">
        <f>_xlfn.XLOOKUP(F134,'TFS Details'!F:F,'TFS Details'!D:D)</f>
        <v>CDAT Auto-mailers</v>
      </c>
      <c r="B134" s="24" t="str">
        <f>_xlfn.XLOOKUP(F134,'TFS Details'!F:F,'TFS Details'!A:A)</f>
        <v>Automailer, Follow-Ups &amp; Escalation Steps</v>
      </c>
      <c r="C134" s="64">
        <f>_xlfn.XLOOKUP(F134,'TFS Details'!F:F,'TFS Details'!E:E)</f>
        <v>4349307</v>
      </c>
      <c r="D134" s="17" t="s">
        <v>68</v>
      </c>
      <c r="E134" s="196" t="s">
        <v>423</v>
      </c>
      <c r="F134" s="119">
        <v>4355655</v>
      </c>
      <c r="G134" s="195" t="s">
        <v>424</v>
      </c>
      <c r="H134" s="195" t="s">
        <v>409</v>
      </c>
      <c r="I134" s="240"/>
      <c r="K134" s="97" t="s">
        <v>18</v>
      </c>
      <c r="L134" s="96" t="s">
        <v>405</v>
      </c>
      <c r="M134" s="16" t="s">
        <v>28</v>
      </c>
      <c r="N134" s="17"/>
      <c r="O134" s="134"/>
      <c r="Q134" s="176"/>
      <c r="R134" s="176"/>
      <c r="S134" s="176"/>
      <c r="T134" s="176"/>
      <c r="W134" s="17" t="s">
        <v>183</v>
      </c>
      <c r="X134" s="17" t="s">
        <v>183</v>
      </c>
      <c r="Y134" s="17" t="s">
        <v>183</v>
      </c>
      <c r="Z134" s="17" t="s">
        <v>183</v>
      </c>
      <c r="AA134" s="176">
        <v>50</v>
      </c>
      <c r="AB134" s="40">
        <v>10</v>
      </c>
      <c r="AC134" s="176">
        <v>0</v>
      </c>
      <c r="AD134" s="40">
        <v>10</v>
      </c>
      <c r="AE134" s="33">
        <f t="shared" si="18"/>
        <v>1</v>
      </c>
      <c r="AF134" s="33"/>
      <c r="AG134" s="25" t="str">
        <f>_xlfn.XLOOKUP(F134,'TFS Details'!F:F,'TFS Details'!H:H)</f>
        <v>Test Complete</v>
      </c>
      <c r="AH134" s="254">
        <v>10</v>
      </c>
      <c r="AI134" s="255">
        <v>0</v>
      </c>
      <c r="AJ134" s="255">
        <v>0</v>
      </c>
      <c r="AK134" s="232">
        <v>0</v>
      </c>
      <c r="AL134" s="40">
        <f t="shared" si="19"/>
        <v>10</v>
      </c>
      <c r="AM134" s="41">
        <f t="shared" si="20"/>
        <v>1</v>
      </c>
      <c r="AN134" s="41">
        <f t="shared" si="21"/>
        <v>1</v>
      </c>
      <c r="AO134" s="25"/>
      <c r="AP134" s="25" t="str">
        <f>_xlfn.XLOOKUP(F134,'TFS Details'!F:F,'TFS Details'!I:I)</f>
        <v>TechTribe</v>
      </c>
      <c r="AQ134" s="25" t="str">
        <f>_xlfn.XLOOKUP(AP134,'TFS Details'!I:I,'TFS Details'!AE:AE)</f>
        <v>pandidurai.ks</v>
      </c>
    </row>
    <row r="135" spans="1:43">
      <c r="A135" s="24" t="str">
        <f>_xlfn.XLOOKUP(F135,'TFS Details'!F:F,'TFS Details'!D:D)</f>
        <v>CDAT Auto-mailers</v>
      </c>
      <c r="B135" s="24" t="str">
        <f>_xlfn.XLOOKUP(F135,'TFS Details'!F:F,'TFS Details'!A:A)</f>
        <v>Automailer, Follow-Ups &amp; Escalation Steps</v>
      </c>
      <c r="C135" s="64">
        <f>_xlfn.XLOOKUP(F135,'TFS Details'!F:F,'TFS Details'!E:E)</f>
        <v>4349307</v>
      </c>
      <c r="D135" s="17" t="s">
        <v>68</v>
      </c>
      <c r="E135" s="196" t="s">
        <v>425</v>
      </c>
      <c r="F135" s="119">
        <v>4371407</v>
      </c>
      <c r="G135" s="195" t="s">
        <v>327</v>
      </c>
      <c r="H135" s="195" t="s">
        <v>404</v>
      </c>
      <c r="I135" s="240"/>
      <c r="K135" s="97" t="s">
        <v>18</v>
      </c>
      <c r="L135" s="96" t="s">
        <v>405</v>
      </c>
      <c r="M135" s="16" t="s">
        <v>28</v>
      </c>
      <c r="N135" s="17"/>
      <c r="O135" s="134"/>
      <c r="Q135" s="176"/>
      <c r="R135" s="176"/>
      <c r="S135" s="176"/>
      <c r="T135" s="176"/>
      <c r="W135" s="17" t="s">
        <v>183</v>
      </c>
      <c r="X135" s="17" t="s">
        <v>183</v>
      </c>
      <c r="Y135" s="17" t="s">
        <v>183</v>
      </c>
      <c r="Z135" s="17" t="s">
        <v>183</v>
      </c>
      <c r="AA135" s="176">
        <v>56</v>
      </c>
      <c r="AB135" s="40">
        <v>23</v>
      </c>
      <c r="AC135" s="176">
        <v>0</v>
      </c>
      <c r="AD135" s="40">
        <v>23</v>
      </c>
      <c r="AE135" s="33">
        <f t="shared" si="18"/>
        <v>1</v>
      </c>
      <c r="AF135" s="33"/>
      <c r="AG135" s="25" t="str">
        <f>_xlfn.XLOOKUP(F135,'TFS Details'!F:F,'TFS Details'!H:H)</f>
        <v>PT In Test</v>
      </c>
      <c r="AH135" s="254">
        <v>21</v>
      </c>
      <c r="AI135" s="255">
        <v>0</v>
      </c>
      <c r="AJ135" s="255">
        <v>0</v>
      </c>
      <c r="AK135" s="232">
        <v>0</v>
      </c>
      <c r="AL135" s="40">
        <f t="shared" si="19"/>
        <v>21</v>
      </c>
      <c r="AM135" s="41">
        <f t="shared" si="20"/>
        <v>1</v>
      </c>
      <c r="AN135" s="41">
        <f t="shared" si="21"/>
        <v>1</v>
      </c>
      <c r="AO135" s="25"/>
      <c r="AP135" s="25" t="str">
        <f>_xlfn.XLOOKUP(F135,'TFS Details'!F:F,'TFS Details'!I:I)</f>
        <v>TechTribe</v>
      </c>
      <c r="AQ135" s="25" t="str">
        <f>_xlfn.XLOOKUP(AP135,'TFS Details'!I:I,'TFS Details'!AE:AE)</f>
        <v>pandidurai.ks</v>
      </c>
    </row>
    <row r="136" spans="1:43">
      <c r="A136" s="24" t="str">
        <f>_xlfn.XLOOKUP(F136,'TFS Details'!F:F,'TFS Details'!D:D)</f>
        <v>Auto-mailers</v>
      </c>
      <c r="B136" s="24" t="str">
        <f>_xlfn.XLOOKUP(F136,'TFS Details'!F:F,'TFS Details'!A:A)</f>
        <v>No solution ID</v>
      </c>
      <c r="C136" s="64">
        <f>_xlfn.XLOOKUP(F136,'TFS Details'!F:F,'TFS Details'!E:E)</f>
        <v>4316104</v>
      </c>
      <c r="D136" s="17" t="s">
        <v>68</v>
      </c>
      <c r="E136" s="196" t="s">
        <v>426</v>
      </c>
      <c r="F136" s="119">
        <v>4315742</v>
      </c>
      <c r="G136" s="195" t="s">
        <v>404</v>
      </c>
      <c r="H136" s="195" t="s">
        <v>327</v>
      </c>
      <c r="I136" s="240"/>
      <c r="K136" s="97" t="s">
        <v>18</v>
      </c>
      <c r="L136" s="96" t="s">
        <v>427</v>
      </c>
      <c r="M136" s="97" t="s">
        <v>34</v>
      </c>
      <c r="N136" s="17"/>
      <c r="O136" s="134"/>
      <c r="Q136" s="176"/>
      <c r="R136" s="176"/>
      <c r="S136" s="176"/>
      <c r="T136" s="176"/>
      <c r="W136" s="17" t="s">
        <v>183</v>
      </c>
      <c r="X136" s="17" t="s">
        <v>183</v>
      </c>
      <c r="Y136" s="17" t="s">
        <v>183</v>
      </c>
      <c r="Z136" s="17" t="s">
        <v>183</v>
      </c>
      <c r="AA136" s="176">
        <v>50</v>
      </c>
      <c r="AB136" s="40">
        <v>21</v>
      </c>
      <c r="AC136" s="176">
        <v>0</v>
      </c>
      <c r="AD136" s="40">
        <v>21</v>
      </c>
      <c r="AE136" s="33">
        <f t="shared" si="18"/>
        <v>1</v>
      </c>
      <c r="AF136" s="33">
        <v>0.9</v>
      </c>
      <c r="AG136" s="25" t="str">
        <f>_xlfn.XLOOKUP(F136,'TFS Details'!F:F,'TFS Details'!H:H)</f>
        <v>Test Complete</v>
      </c>
      <c r="AH136" s="254">
        <v>21</v>
      </c>
      <c r="AI136" s="255">
        <v>0</v>
      </c>
      <c r="AJ136" s="255">
        <v>0</v>
      </c>
      <c r="AK136" s="232">
        <v>0</v>
      </c>
      <c r="AL136" s="40">
        <f t="shared" si="19"/>
        <v>21</v>
      </c>
      <c r="AM136" s="41">
        <f t="shared" si="20"/>
        <v>1</v>
      </c>
      <c r="AN136" s="41">
        <f t="shared" si="21"/>
        <v>1</v>
      </c>
      <c r="AO136" s="25"/>
      <c r="AP136" s="25" t="str">
        <f>_xlfn.XLOOKUP(F136,'TFS Details'!F:F,'TFS Details'!I:I)</f>
        <v>TechTribe</v>
      </c>
      <c r="AQ136" s="25" t="str">
        <f>_xlfn.XLOOKUP(AP136,'TFS Details'!I:I,'TFS Details'!AE:AE)</f>
        <v>pandidurai.ks</v>
      </c>
    </row>
    <row r="137" spans="1:43">
      <c r="A137" s="24" t="str">
        <f>_xlfn.XLOOKUP(F137,'TFS Details'!F:F,'TFS Details'!D:D)</f>
        <v>CDAT</v>
      </c>
      <c r="B137" s="24" t="str">
        <f>_xlfn.XLOOKUP(F137,'TFS Details'!F:F,'TFS Details'!A:A)</f>
        <v>No solution ID</v>
      </c>
      <c r="C137" s="64">
        <f>_xlfn.XLOOKUP(F137,'TFS Details'!F:F,'TFS Details'!E:E)</f>
        <v>4316104</v>
      </c>
      <c r="D137" s="17" t="s">
        <v>68</v>
      </c>
      <c r="E137" s="196" t="s">
        <v>428</v>
      </c>
      <c r="F137" s="119">
        <v>4163203</v>
      </c>
      <c r="G137" s="195" t="s">
        <v>327</v>
      </c>
      <c r="H137" s="195" t="s">
        <v>404</v>
      </c>
      <c r="I137" s="240"/>
      <c r="K137" s="97" t="s">
        <v>18</v>
      </c>
      <c r="L137" s="96" t="s">
        <v>405</v>
      </c>
      <c r="M137" s="16" t="s">
        <v>28</v>
      </c>
      <c r="N137" s="17"/>
      <c r="O137" s="134"/>
      <c r="Q137" s="176"/>
      <c r="R137" s="176"/>
      <c r="S137" s="176"/>
      <c r="T137" s="176"/>
      <c r="W137" s="17" t="s">
        <v>183</v>
      </c>
      <c r="X137" s="17" t="s">
        <v>183</v>
      </c>
      <c r="Y137" s="17" t="s">
        <v>183</v>
      </c>
      <c r="Z137" s="17" t="s">
        <v>183</v>
      </c>
      <c r="AA137" s="176">
        <v>44</v>
      </c>
      <c r="AB137" s="40">
        <v>18</v>
      </c>
      <c r="AC137" s="176">
        <v>0</v>
      </c>
      <c r="AD137" s="40">
        <v>18</v>
      </c>
      <c r="AE137" s="33">
        <f t="shared" si="18"/>
        <v>1</v>
      </c>
      <c r="AF137" s="33"/>
      <c r="AG137" s="25" t="str">
        <f>_xlfn.XLOOKUP(F137,'TFS Details'!F:F,'TFS Details'!H:H)</f>
        <v>Test Complete</v>
      </c>
      <c r="AH137" s="254">
        <v>18</v>
      </c>
      <c r="AI137" s="255">
        <v>0</v>
      </c>
      <c r="AJ137" s="255">
        <v>0</v>
      </c>
      <c r="AK137" s="232">
        <v>0</v>
      </c>
      <c r="AL137" s="40">
        <f t="shared" si="19"/>
        <v>18</v>
      </c>
      <c r="AM137" s="41">
        <f t="shared" si="20"/>
        <v>1</v>
      </c>
      <c r="AN137" s="41">
        <f t="shared" si="21"/>
        <v>1</v>
      </c>
      <c r="AO137" s="25"/>
      <c r="AP137" s="25" t="str">
        <f>_xlfn.XLOOKUP(F137,'TFS Details'!F:F,'TFS Details'!I:I)</f>
        <v>TechTribe</v>
      </c>
      <c r="AQ137" s="25" t="str">
        <f>_xlfn.XLOOKUP(AP137,'TFS Details'!I:I,'TFS Details'!AE:AE)</f>
        <v>pandidurai.ks</v>
      </c>
    </row>
    <row r="138" spans="1:43">
      <c r="A138" s="24" t="str">
        <f>_xlfn.XLOOKUP(F138,'TFS Details'!F:F,'TFS Details'!D:D)</f>
        <v xml:space="preserve">CDAT </v>
      </c>
      <c r="B138" s="24" t="str">
        <f>_xlfn.XLOOKUP(F138,'TFS Details'!F:F,'TFS Details'!A:A)</f>
        <v>CDAT Assessment Outcome &amp; Assessment Details update</v>
      </c>
      <c r="C138" s="64">
        <f>_xlfn.XLOOKUP(F138,'TFS Details'!F:F,'TFS Details'!E:E)</f>
        <v>4135829</v>
      </c>
      <c r="D138" s="17" t="s">
        <v>68</v>
      </c>
      <c r="E138" s="196" t="s">
        <v>429</v>
      </c>
      <c r="F138" s="119">
        <v>4167987</v>
      </c>
      <c r="G138" s="195" t="s">
        <v>404</v>
      </c>
      <c r="H138" s="195" t="s">
        <v>327</v>
      </c>
      <c r="I138" s="240"/>
      <c r="K138" s="97" t="s">
        <v>18</v>
      </c>
      <c r="L138" s="96" t="s">
        <v>427</v>
      </c>
      <c r="M138" s="97" t="s">
        <v>34</v>
      </c>
      <c r="N138" s="17"/>
      <c r="O138" s="134"/>
      <c r="Q138" s="176"/>
      <c r="R138" s="176"/>
      <c r="S138" s="176"/>
      <c r="T138" s="176"/>
      <c r="W138" s="17" t="s">
        <v>183</v>
      </c>
      <c r="X138" s="17" t="s">
        <v>183</v>
      </c>
      <c r="Y138" s="17" t="s">
        <v>183</v>
      </c>
      <c r="Z138" s="17" t="s">
        <v>183</v>
      </c>
      <c r="AA138" s="176">
        <v>26</v>
      </c>
      <c r="AB138" s="40">
        <v>18</v>
      </c>
      <c r="AC138" s="176">
        <v>0</v>
      </c>
      <c r="AD138" s="40">
        <v>18</v>
      </c>
      <c r="AE138" s="33">
        <f t="shared" si="18"/>
        <v>1</v>
      </c>
      <c r="AF138" s="33">
        <v>0.95</v>
      </c>
      <c r="AG138" s="25" t="str">
        <f>_xlfn.XLOOKUP(F138,'TFS Details'!F:F,'TFS Details'!H:H)</f>
        <v>Test Complete</v>
      </c>
      <c r="AH138" s="254">
        <v>18</v>
      </c>
      <c r="AI138" s="255">
        <v>0</v>
      </c>
      <c r="AJ138" s="255">
        <v>0</v>
      </c>
      <c r="AK138" s="232">
        <v>0</v>
      </c>
      <c r="AL138" s="40">
        <f t="shared" si="19"/>
        <v>18</v>
      </c>
      <c r="AM138" s="41">
        <f t="shared" si="20"/>
        <v>1</v>
      </c>
      <c r="AN138" s="41">
        <f t="shared" si="21"/>
        <v>1</v>
      </c>
      <c r="AO138" s="25"/>
      <c r="AP138" s="25" t="str">
        <f>_xlfn.XLOOKUP(F138,'TFS Details'!F:F,'TFS Details'!I:I)</f>
        <v>TechTribe</v>
      </c>
      <c r="AQ138" s="25" t="str">
        <f>_xlfn.XLOOKUP(AP138,'TFS Details'!I:I,'TFS Details'!AE:AE)</f>
        <v>pandidurai.ks</v>
      </c>
    </row>
    <row r="139" spans="1:43">
      <c r="A139" s="24" t="str">
        <f>_xlfn.XLOOKUP(F139,'TFS Details'!F:F,'TFS Details'!D:D)</f>
        <v>DFD-myISP</v>
      </c>
      <c r="B139" s="24" t="str">
        <f>_xlfn.XLOOKUP(F139,'TFS Details'!F:F,'TFS Details'!A:A)</f>
        <v>Song Deals Compliant Logic Update</v>
      </c>
      <c r="C139" s="64">
        <f>_xlfn.XLOOKUP(F139,'TFS Details'!F:F,'TFS Details'!E:E)</f>
        <v>4317244</v>
      </c>
      <c r="D139" s="17" t="s">
        <v>22</v>
      </c>
      <c r="E139" s="73" t="s">
        <v>430</v>
      </c>
      <c r="F139" s="120">
        <v>4174505</v>
      </c>
      <c r="G139" s="197" t="s">
        <v>431</v>
      </c>
      <c r="H139" s="197" t="s">
        <v>432</v>
      </c>
      <c r="I139" s="201"/>
      <c r="K139" s="97" t="s">
        <v>18</v>
      </c>
      <c r="L139" s="16" t="s">
        <v>433</v>
      </c>
      <c r="M139" s="16" t="s">
        <v>48</v>
      </c>
      <c r="N139" s="17"/>
      <c r="O139" s="134"/>
      <c r="Q139" s="176"/>
      <c r="R139" s="176"/>
      <c r="S139" s="176"/>
      <c r="T139" s="176"/>
      <c r="W139" s="17" t="s">
        <v>183</v>
      </c>
      <c r="X139" s="17" t="s">
        <v>183</v>
      </c>
      <c r="Y139" s="17" t="s">
        <v>183</v>
      </c>
      <c r="Z139" s="17" t="s">
        <v>183</v>
      </c>
      <c r="AA139" s="176">
        <v>64</v>
      </c>
      <c r="AB139" s="176">
        <v>28</v>
      </c>
      <c r="AC139" s="176">
        <v>31</v>
      </c>
      <c r="AD139" s="176">
        <v>31</v>
      </c>
      <c r="AE139" s="33">
        <v>0.7</v>
      </c>
      <c r="AF139" s="33">
        <v>0.6</v>
      </c>
      <c r="AG139" s="25" t="str">
        <f>_xlfn.XLOOKUP(F139,'TFS Details'!F:F,'TFS Details'!H:H)</f>
        <v>UAT In Test</v>
      </c>
      <c r="AH139" s="44">
        <v>31</v>
      </c>
      <c r="AI139" s="44">
        <v>0</v>
      </c>
      <c r="AJ139" s="44">
        <v>0</v>
      </c>
      <c r="AK139" s="44">
        <v>0</v>
      </c>
      <c r="AL139" s="40">
        <f t="shared" ref="AL139:AL160" si="22">SUM(AH139:AK139)</f>
        <v>31</v>
      </c>
      <c r="AM139" s="41">
        <f t="shared" si="20"/>
        <v>1</v>
      </c>
      <c r="AN139" s="41">
        <f t="shared" si="21"/>
        <v>1</v>
      </c>
      <c r="AO139" s="25" t="s">
        <v>434</v>
      </c>
      <c r="AP139" s="25" t="str">
        <f>_xlfn.XLOOKUP(F139,'TFS Details'!F:F,'TFS Details'!I:I)</f>
        <v>DevNinjas</v>
      </c>
      <c r="AQ139" s="25" t="str">
        <f>_xlfn.XLOOKUP(AP139,'TFS Details'!I:I,'TFS Details'!AE:AE)</f>
        <v>sona.job</v>
      </c>
    </row>
    <row r="140" spans="1:43">
      <c r="A140" s="24" t="str">
        <f>_xlfn.XLOOKUP(F140,'TFS Details'!F:F,'TFS Details'!D:D)</f>
        <v>DFD-myISP</v>
      </c>
      <c r="B140" s="24" t="str">
        <f>_xlfn.XLOOKUP(F140,'TFS Details'!F:F,'TFS Details'!A:A)</f>
        <v>Song Deals Compliant Logic Update</v>
      </c>
      <c r="C140" s="64">
        <f>_xlfn.XLOOKUP(F140,'TFS Details'!F:F,'TFS Details'!E:E)</f>
        <v>4317244</v>
      </c>
      <c r="D140" s="17" t="s">
        <v>22</v>
      </c>
      <c r="E140" s="73" t="s">
        <v>435</v>
      </c>
      <c r="F140" s="121">
        <v>4266636</v>
      </c>
      <c r="G140" s="73" t="s">
        <v>436</v>
      </c>
      <c r="H140" s="197" t="s">
        <v>437</v>
      </c>
      <c r="I140" s="201"/>
      <c r="K140" s="97" t="s">
        <v>18</v>
      </c>
      <c r="L140" s="16" t="s">
        <v>438</v>
      </c>
      <c r="M140" s="97" t="s">
        <v>34</v>
      </c>
      <c r="N140" s="17"/>
      <c r="O140" s="134"/>
      <c r="Q140" s="176"/>
      <c r="R140" s="176"/>
      <c r="S140" s="176"/>
      <c r="T140" s="176"/>
      <c r="W140" s="17" t="s">
        <v>183</v>
      </c>
      <c r="X140" s="17" t="s">
        <v>183</v>
      </c>
      <c r="Y140" s="17" t="s">
        <v>183</v>
      </c>
      <c r="Z140" s="17" t="s">
        <v>183</v>
      </c>
      <c r="AA140" s="176">
        <v>28</v>
      </c>
      <c r="AB140" s="176">
        <v>14</v>
      </c>
      <c r="AC140" s="176">
        <v>18</v>
      </c>
      <c r="AD140" s="176">
        <v>18</v>
      </c>
      <c r="AE140" s="33">
        <v>0.77</v>
      </c>
      <c r="AF140" s="33">
        <v>0.5</v>
      </c>
      <c r="AG140" s="25" t="str">
        <f>_xlfn.XLOOKUP(F140,'TFS Details'!F:F,'TFS Details'!H:H)</f>
        <v>UAT In Test</v>
      </c>
      <c r="AH140" s="44">
        <v>18</v>
      </c>
      <c r="AI140" s="44">
        <v>0</v>
      </c>
      <c r="AJ140" s="44">
        <v>0</v>
      </c>
      <c r="AK140" s="44">
        <v>0</v>
      </c>
      <c r="AL140" s="40">
        <f t="shared" si="22"/>
        <v>18</v>
      </c>
      <c r="AM140" s="41">
        <f t="shared" si="20"/>
        <v>1</v>
      </c>
      <c r="AN140" s="41">
        <f t="shared" si="21"/>
        <v>1</v>
      </c>
      <c r="AO140" s="25"/>
      <c r="AP140" s="25" t="str">
        <f>_xlfn.XLOOKUP(F140,'TFS Details'!F:F,'TFS Details'!I:I)</f>
        <v>DevNinjas</v>
      </c>
      <c r="AQ140" s="25" t="str">
        <f>_xlfn.XLOOKUP(AP140,'TFS Details'!I:I,'TFS Details'!AE:AE)</f>
        <v>sona.job</v>
      </c>
    </row>
    <row r="141" spans="1:43">
      <c r="A141" s="24" t="str">
        <f>_xlfn.XLOOKUP(F141,'TFS Details'!F:F,'TFS Details'!D:D)</f>
        <v>DFD</v>
      </c>
      <c r="B141" s="24" t="str">
        <f>_xlfn.XLOOKUP(F141,'TFS Details'!F:F,'TFS Details'!A:A)</f>
        <v>Is this a Global Capability Centre (GCC) or Captive opportunity? field changes and sync between DFD and Define Team</v>
      </c>
      <c r="C141" s="64">
        <f>_xlfn.XLOOKUP(F141,'TFS Details'!F:F,'TFS Details'!E:E)</f>
        <v>4048583</v>
      </c>
      <c r="D141" s="17" t="s">
        <v>22</v>
      </c>
      <c r="E141" s="73" t="s">
        <v>439</v>
      </c>
      <c r="F141" s="121">
        <v>4316367</v>
      </c>
      <c r="G141" s="73" t="s">
        <v>440</v>
      </c>
      <c r="H141" s="197" t="s">
        <v>441</v>
      </c>
      <c r="I141" s="201"/>
      <c r="K141" s="97" t="s">
        <v>18</v>
      </c>
      <c r="L141" s="16" t="s">
        <v>442</v>
      </c>
      <c r="M141" s="16" t="s">
        <v>28</v>
      </c>
      <c r="N141" s="17"/>
      <c r="O141" s="134"/>
      <c r="Q141" s="176"/>
      <c r="R141" s="176"/>
      <c r="S141" s="176"/>
      <c r="T141" s="176"/>
      <c r="W141" s="17" t="s">
        <v>183</v>
      </c>
      <c r="X141" s="17" t="s">
        <v>183</v>
      </c>
      <c r="Y141" s="17" t="s">
        <v>183</v>
      </c>
      <c r="Z141" s="17" t="s">
        <v>183</v>
      </c>
      <c r="AA141" s="176">
        <v>30</v>
      </c>
      <c r="AB141" s="176">
        <v>13</v>
      </c>
      <c r="AC141" s="176">
        <v>33</v>
      </c>
      <c r="AD141" s="176">
        <v>33</v>
      </c>
      <c r="AE141" s="33">
        <v>0.4</v>
      </c>
      <c r="AF141" s="33">
        <v>0.5</v>
      </c>
      <c r="AG141" s="25" t="str">
        <f>_xlfn.XLOOKUP(F141,'TFS Details'!F:F,'TFS Details'!H:H)</f>
        <v>Test Complete</v>
      </c>
      <c r="AH141" s="44">
        <v>33</v>
      </c>
      <c r="AI141" s="44">
        <v>0</v>
      </c>
      <c r="AJ141" s="44">
        <v>0</v>
      </c>
      <c r="AK141" s="44">
        <v>0</v>
      </c>
      <c r="AL141" s="40">
        <f t="shared" si="22"/>
        <v>33</v>
      </c>
      <c r="AM141" s="41">
        <f t="shared" si="20"/>
        <v>1</v>
      </c>
      <c r="AN141" s="41">
        <f t="shared" si="21"/>
        <v>1</v>
      </c>
      <c r="AO141" s="25"/>
      <c r="AP141" s="25" t="str">
        <f>_xlfn.XLOOKUP(F141,'TFS Details'!F:F,'TFS Details'!I:I)</f>
        <v>BackDoorGuardians</v>
      </c>
      <c r="AQ141" s="25" t="str">
        <f>_xlfn.XLOOKUP(AP141,'TFS Details'!I:I,'TFS Details'!AE:AE)</f>
        <v>sona.job</v>
      </c>
    </row>
    <row r="142" spans="1:43">
      <c r="A142" s="24" t="str">
        <f>_xlfn.XLOOKUP(F142,'TFS Details'!F:F,'TFS Details'!D:D)</f>
        <v>DFD</v>
      </c>
      <c r="B142" s="24" t="str">
        <f>_xlfn.XLOOKUP(F142,'TFS Details'!F:F,'TFS Details'!A:A)</f>
        <v>[DFD Enhancement] Routing logic update for SA and SME types and Copyright year update</v>
      </c>
      <c r="C142" s="64">
        <f>_xlfn.XLOOKUP(F142,'TFS Details'!F:F,'TFS Details'!E:E)</f>
        <v>4328940</v>
      </c>
      <c r="D142" s="17" t="s">
        <v>22</v>
      </c>
      <c r="E142" s="73" t="s">
        <v>443</v>
      </c>
      <c r="F142" s="121">
        <v>4328943</v>
      </c>
      <c r="G142" s="73" t="s">
        <v>440</v>
      </c>
      <c r="H142" s="197" t="s">
        <v>441</v>
      </c>
      <c r="I142" s="201"/>
      <c r="K142" s="97" t="s">
        <v>18</v>
      </c>
      <c r="L142" s="16" t="s">
        <v>442</v>
      </c>
      <c r="M142" s="16" t="s">
        <v>28</v>
      </c>
      <c r="N142" s="17"/>
      <c r="O142" s="134"/>
      <c r="Q142" s="176"/>
      <c r="R142" s="176"/>
      <c r="S142" s="176"/>
      <c r="T142" s="176"/>
      <c r="W142" s="17" t="s">
        <v>183</v>
      </c>
      <c r="X142" s="17" t="s">
        <v>183</v>
      </c>
      <c r="Y142" s="17" t="s">
        <v>183</v>
      </c>
      <c r="Z142" s="17" t="s">
        <v>183</v>
      </c>
      <c r="AA142" s="176">
        <v>25</v>
      </c>
      <c r="AB142" s="176">
        <v>5</v>
      </c>
      <c r="AC142" s="176">
        <v>10</v>
      </c>
      <c r="AD142" s="176">
        <v>10</v>
      </c>
      <c r="AE142" s="33">
        <v>0.5</v>
      </c>
      <c r="AF142" s="33">
        <v>0.45</v>
      </c>
      <c r="AG142" s="25" t="str">
        <f>_xlfn.XLOOKUP(F142,'TFS Details'!F:F,'TFS Details'!H:H)</f>
        <v>Test Complete</v>
      </c>
      <c r="AH142" s="44">
        <v>10</v>
      </c>
      <c r="AI142" s="44">
        <v>0</v>
      </c>
      <c r="AJ142" s="44">
        <v>0</v>
      </c>
      <c r="AK142" s="44">
        <v>0</v>
      </c>
      <c r="AL142" s="40">
        <f t="shared" si="22"/>
        <v>10</v>
      </c>
      <c r="AM142" s="41">
        <f t="shared" si="20"/>
        <v>1</v>
      </c>
      <c r="AN142" s="41">
        <f t="shared" si="21"/>
        <v>1</v>
      </c>
      <c r="AO142" s="25"/>
      <c r="AP142" s="25" t="str">
        <f>_xlfn.XLOOKUP(F142,'TFS Details'!F:F,'TFS Details'!I:I)</f>
        <v>BackDoorGuardians</v>
      </c>
      <c r="AQ142" s="25" t="str">
        <f>_xlfn.XLOOKUP(AP142,'TFS Details'!I:I,'TFS Details'!AE:AE)</f>
        <v>sona.job</v>
      </c>
    </row>
    <row r="143" spans="1:43">
      <c r="A143" s="24" t="str">
        <f>_xlfn.XLOOKUP(F143,'TFS Details'!F:F,'TFS Details'!D:D)</f>
        <v>DFD</v>
      </c>
      <c r="B143" s="24" t="str">
        <f>_xlfn.XLOOKUP(F143,'TFS Details'!F:F,'TFS Details'!A:A)</f>
        <v>[DFD Enhancement] Routing logic update for SA and SME types and Copyright year update</v>
      </c>
      <c r="C143" s="64">
        <f>_xlfn.XLOOKUP(F143,'TFS Details'!F:F,'TFS Details'!E:E)</f>
        <v>4328940</v>
      </c>
      <c r="D143" s="17" t="s">
        <v>22</v>
      </c>
      <c r="E143" s="73" t="s">
        <v>444</v>
      </c>
      <c r="F143" s="121">
        <v>4342214</v>
      </c>
      <c r="G143" s="73" t="s">
        <v>441</v>
      </c>
      <c r="H143" s="197" t="s">
        <v>440</v>
      </c>
      <c r="I143" s="201"/>
      <c r="K143" s="97" t="s">
        <v>18</v>
      </c>
      <c r="L143" s="16" t="s">
        <v>445</v>
      </c>
      <c r="M143" s="16" t="s">
        <v>28</v>
      </c>
      <c r="N143" s="17"/>
      <c r="O143" s="134"/>
      <c r="Q143" s="176"/>
      <c r="R143" s="176"/>
      <c r="S143" s="176"/>
      <c r="T143" s="176"/>
      <c r="W143" s="17" t="s">
        <v>183</v>
      </c>
      <c r="X143" s="17" t="s">
        <v>183</v>
      </c>
      <c r="Y143" s="17" t="s">
        <v>183</v>
      </c>
      <c r="Z143" s="17" t="s">
        <v>183</v>
      </c>
      <c r="AA143" s="176">
        <v>43</v>
      </c>
      <c r="AB143" s="176">
        <v>10</v>
      </c>
      <c r="AC143" s="176">
        <v>13</v>
      </c>
      <c r="AD143" s="176">
        <v>13</v>
      </c>
      <c r="AE143" s="33">
        <v>0.76919999999999999</v>
      </c>
      <c r="AF143" s="33">
        <v>0.65</v>
      </c>
      <c r="AG143" s="25" t="str">
        <f>_xlfn.XLOOKUP(F143,'TFS Details'!F:F,'TFS Details'!H:H)</f>
        <v>Test Complete</v>
      </c>
      <c r="AH143" s="44">
        <v>13</v>
      </c>
      <c r="AI143" s="44">
        <v>0</v>
      </c>
      <c r="AJ143" s="44">
        <v>0</v>
      </c>
      <c r="AK143" s="44">
        <v>0</v>
      </c>
      <c r="AL143" s="40">
        <f t="shared" si="22"/>
        <v>13</v>
      </c>
      <c r="AM143" s="41">
        <f t="shared" si="20"/>
        <v>1</v>
      </c>
      <c r="AN143" s="41">
        <f t="shared" si="21"/>
        <v>1</v>
      </c>
      <c r="AO143" s="25"/>
      <c r="AP143" s="25" t="str">
        <f>_xlfn.XLOOKUP(F143,'TFS Details'!F:F,'TFS Details'!I:I)</f>
        <v>BackDoorGuardians</v>
      </c>
      <c r="AQ143" s="25" t="str">
        <f>_xlfn.XLOOKUP(AP143,'TFS Details'!I:I,'TFS Details'!AE:AE)</f>
        <v>sona.job</v>
      </c>
    </row>
    <row r="144" spans="1:43">
      <c r="A144" s="24" t="str">
        <f>_xlfn.XLOOKUP(F144,'TFS Details'!F:F,'TFS Details'!D:D)</f>
        <v>DFD</v>
      </c>
      <c r="B144" s="24" t="str">
        <f>_xlfn.XLOOKUP(F144,'TFS Details'!F:F,'TFS Details'!A:A)</f>
        <v>[DFD Enhancement] Routing logic update for SA and SME types and Copyright year update</v>
      </c>
      <c r="C144" s="64">
        <f>_xlfn.XLOOKUP(F144,'TFS Details'!F:F,'TFS Details'!E:E)</f>
        <v>4328940</v>
      </c>
      <c r="D144" s="17" t="s">
        <v>22</v>
      </c>
      <c r="E144" s="73" t="s">
        <v>446</v>
      </c>
      <c r="F144" s="121">
        <v>4350042</v>
      </c>
      <c r="G144" s="73" t="s">
        <v>441</v>
      </c>
      <c r="H144" s="197" t="s">
        <v>440</v>
      </c>
      <c r="I144" s="201"/>
      <c r="K144" s="97" t="s">
        <v>18</v>
      </c>
      <c r="L144" s="16" t="s">
        <v>445</v>
      </c>
      <c r="M144" s="16" t="s">
        <v>28</v>
      </c>
      <c r="N144" s="17"/>
      <c r="O144" s="134"/>
      <c r="Q144" s="176"/>
      <c r="R144" s="176"/>
      <c r="S144" s="176"/>
      <c r="T144" s="176"/>
      <c r="W144" s="17" t="s">
        <v>183</v>
      </c>
      <c r="X144" s="17" t="s">
        <v>183</v>
      </c>
      <c r="Y144" s="17" t="s">
        <v>183</v>
      </c>
      <c r="Z144" s="17" t="s">
        <v>183</v>
      </c>
      <c r="AA144" s="176">
        <v>47</v>
      </c>
      <c r="AB144" s="176">
        <v>11</v>
      </c>
      <c r="AC144" s="176">
        <v>12</v>
      </c>
      <c r="AD144" s="176">
        <v>12</v>
      </c>
      <c r="AE144" s="33">
        <v>0.91</v>
      </c>
      <c r="AF144" s="33">
        <v>0.7</v>
      </c>
      <c r="AG144" s="25" t="str">
        <f>_xlfn.XLOOKUP(F144,'TFS Details'!F:F,'TFS Details'!H:H)</f>
        <v>Test Complete</v>
      </c>
      <c r="AH144" s="44">
        <v>12</v>
      </c>
      <c r="AI144" s="44">
        <v>0</v>
      </c>
      <c r="AJ144" s="44">
        <v>0</v>
      </c>
      <c r="AK144" s="44">
        <v>0</v>
      </c>
      <c r="AL144" s="40">
        <f t="shared" si="22"/>
        <v>12</v>
      </c>
      <c r="AM144" s="41">
        <f t="shared" si="20"/>
        <v>1</v>
      </c>
      <c r="AN144" s="41">
        <f t="shared" si="21"/>
        <v>1</v>
      </c>
      <c r="AO144" s="25"/>
      <c r="AP144" s="25" t="str">
        <f>_xlfn.XLOOKUP(F144,'TFS Details'!F:F,'TFS Details'!I:I)</f>
        <v>BackDoorGuardians</v>
      </c>
      <c r="AQ144" s="25" t="str">
        <f>_xlfn.XLOOKUP(AP144,'TFS Details'!I:I,'TFS Details'!AE:AE)</f>
        <v>sona.job</v>
      </c>
    </row>
    <row r="145" spans="1:43">
      <c r="A145" s="24" t="str">
        <f>_xlfn.XLOOKUP(F145,'TFS Details'!F:F,'TFS Details'!D:D)</f>
        <v>DFD-myISP</v>
      </c>
      <c r="B145" s="24" t="str">
        <f>_xlfn.XLOOKUP(F145,'TFS Details'!F:F,'TFS Details'!A:A)</f>
        <v>Song Deals Compliant Logic Update</v>
      </c>
      <c r="C145" s="64">
        <f>_xlfn.XLOOKUP(F145,'TFS Details'!F:F,'TFS Details'!E:E)</f>
        <v>4317244</v>
      </c>
      <c r="D145" s="17" t="s">
        <v>22</v>
      </c>
      <c r="E145" s="73" t="s">
        <v>447</v>
      </c>
      <c r="F145" s="121">
        <v>4361793</v>
      </c>
      <c r="G145" s="73" t="s">
        <v>431</v>
      </c>
      <c r="H145" s="197" t="s">
        <v>432</v>
      </c>
      <c r="I145" s="201"/>
      <c r="J145" s="21" t="s">
        <v>120</v>
      </c>
      <c r="K145" s="17" t="s">
        <v>1</v>
      </c>
      <c r="L145" s="16"/>
      <c r="N145" s="17" t="s">
        <v>182</v>
      </c>
      <c r="O145" s="134">
        <v>1</v>
      </c>
      <c r="P145" s="33">
        <v>1</v>
      </c>
      <c r="Q145" s="176">
        <v>3</v>
      </c>
      <c r="R145" s="176">
        <v>1</v>
      </c>
      <c r="S145" s="176">
        <v>5</v>
      </c>
      <c r="T145" s="176">
        <v>5</v>
      </c>
      <c r="U145" s="33">
        <v>0.2</v>
      </c>
      <c r="V145" s="33">
        <v>0.6</v>
      </c>
      <c r="W145" s="17" t="s">
        <v>183</v>
      </c>
      <c r="X145" s="17" t="s">
        <v>183</v>
      </c>
      <c r="Y145" s="17" t="s">
        <v>183</v>
      </c>
      <c r="Z145" s="17" t="s">
        <v>183</v>
      </c>
      <c r="AA145" s="176">
        <v>32</v>
      </c>
      <c r="AB145" s="176">
        <v>4</v>
      </c>
      <c r="AC145" s="176">
        <v>5</v>
      </c>
      <c r="AD145" s="176">
        <v>5</v>
      </c>
      <c r="AE145" s="33">
        <v>0.8</v>
      </c>
      <c r="AF145" s="33">
        <v>0.7</v>
      </c>
      <c r="AG145" s="25" t="str">
        <f>_xlfn.XLOOKUP(F145,'TFS Details'!F:F,'TFS Details'!H:H)</f>
        <v>UAT In Test</v>
      </c>
      <c r="AH145" s="44">
        <v>5</v>
      </c>
      <c r="AI145" s="44">
        <v>0</v>
      </c>
      <c r="AJ145" s="44">
        <v>0</v>
      </c>
      <c r="AK145" s="44">
        <v>0</v>
      </c>
      <c r="AL145" s="40">
        <f t="shared" si="22"/>
        <v>5</v>
      </c>
      <c r="AM145" s="41">
        <f t="shared" si="20"/>
        <v>1</v>
      </c>
      <c r="AN145" s="41">
        <f>IF(AH145=0,0,AH145/(SUM(AH145:AJ145)))</f>
        <v>1</v>
      </c>
      <c r="AO145" s="25" t="s">
        <v>434</v>
      </c>
      <c r="AP145" s="25" t="str">
        <f>_xlfn.XLOOKUP(F145,'TFS Details'!F:F,'TFS Details'!I:I)</f>
        <v>TechPhantoms</v>
      </c>
      <c r="AQ145" s="25" t="str">
        <f>_xlfn.XLOOKUP(AP145,'TFS Details'!I:I,'TFS Details'!AE:AE)</f>
        <v>sowjanya.kari</v>
      </c>
    </row>
    <row r="146" spans="1:43">
      <c r="A146" s="24" t="str">
        <f>_xlfn.XLOOKUP(F146,'TFS Details'!F:F,'TFS Details'!D:D)</f>
        <v>DFD-myISP</v>
      </c>
      <c r="B146" s="24" t="str">
        <f>_xlfn.XLOOKUP(F146,'TFS Details'!F:F,'TFS Details'!A:A)</f>
        <v>Song Deals Compliant Logic Update</v>
      </c>
      <c r="C146" s="64">
        <f>_xlfn.XLOOKUP(F146,'TFS Details'!F:F,'TFS Details'!E:E)</f>
        <v>4317244</v>
      </c>
      <c r="D146" s="17" t="s">
        <v>22</v>
      </c>
      <c r="E146" s="73" t="s">
        <v>448</v>
      </c>
      <c r="F146" s="121">
        <v>4361795</v>
      </c>
      <c r="G146" s="73" t="s">
        <v>437</v>
      </c>
      <c r="H146" s="197" t="s">
        <v>436</v>
      </c>
      <c r="I146" s="201"/>
      <c r="J146" s="21" t="s">
        <v>88</v>
      </c>
      <c r="K146" s="17" t="s">
        <v>1</v>
      </c>
      <c r="L146" s="16"/>
      <c r="N146" s="17" t="s">
        <v>182</v>
      </c>
      <c r="O146" s="134">
        <v>6</v>
      </c>
      <c r="P146" s="33">
        <v>1</v>
      </c>
      <c r="Q146" s="176">
        <v>8</v>
      </c>
      <c r="R146" s="176">
        <v>6</v>
      </c>
      <c r="S146" s="176">
        <v>8</v>
      </c>
      <c r="T146" s="176">
        <v>8</v>
      </c>
      <c r="U146" s="33">
        <v>0.75</v>
      </c>
      <c r="V146" s="33">
        <v>0.9</v>
      </c>
      <c r="W146" s="17" t="s">
        <v>183</v>
      </c>
      <c r="X146" s="17" t="s">
        <v>183</v>
      </c>
      <c r="Y146" s="17" t="s">
        <v>183</v>
      </c>
      <c r="Z146" s="17" t="s">
        <v>183</v>
      </c>
      <c r="AA146" s="176">
        <v>22</v>
      </c>
      <c r="AB146" s="176">
        <v>6</v>
      </c>
      <c r="AC146" s="176">
        <v>8</v>
      </c>
      <c r="AD146" s="176">
        <v>8</v>
      </c>
      <c r="AE146" s="33">
        <v>0.75</v>
      </c>
      <c r="AF146" s="33">
        <v>0.8</v>
      </c>
      <c r="AG146" s="25" t="str">
        <f>_xlfn.XLOOKUP(F146,'TFS Details'!F:F,'TFS Details'!H:H)</f>
        <v>UAT In Test</v>
      </c>
      <c r="AH146" s="44">
        <v>8</v>
      </c>
      <c r="AI146" s="44">
        <v>0</v>
      </c>
      <c r="AJ146" s="44">
        <v>0</v>
      </c>
      <c r="AK146" s="44">
        <v>0</v>
      </c>
      <c r="AL146" s="40">
        <f t="shared" si="22"/>
        <v>8</v>
      </c>
      <c r="AM146" s="41">
        <f t="shared" si="20"/>
        <v>1</v>
      </c>
      <c r="AN146" s="41">
        <f t="shared" si="21"/>
        <v>1</v>
      </c>
      <c r="AO146" s="126"/>
      <c r="AP146" s="25" t="str">
        <f>_xlfn.XLOOKUP(F146,'TFS Details'!F:F,'TFS Details'!I:I)</f>
        <v>TechWarriors</v>
      </c>
      <c r="AQ146" s="25" t="str">
        <f>_xlfn.XLOOKUP(AP146,'TFS Details'!I:I,'TFS Details'!AE:AE)</f>
        <v>sowjanya.kari</v>
      </c>
    </row>
    <row r="147" spans="1:43">
      <c r="A147" s="24" t="str">
        <f>_xlfn.XLOOKUP(F147,'TFS Details'!F:F,'TFS Details'!D:D)</f>
        <v>DFD-myISP</v>
      </c>
      <c r="B147" s="24" t="str">
        <f>_xlfn.XLOOKUP(F147,'TFS Details'!F:F,'TFS Details'!A:A)</f>
        <v>Song Deals Compliant Logic Update</v>
      </c>
      <c r="C147" s="64">
        <f>_xlfn.XLOOKUP(F147,'TFS Details'!F:F,'TFS Details'!E:E)</f>
        <v>4317244</v>
      </c>
      <c r="D147" s="17" t="s">
        <v>22</v>
      </c>
      <c r="E147" s="73" t="s">
        <v>449</v>
      </c>
      <c r="F147" s="121">
        <v>4361796</v>
      </c>
      <c r="G147" s="73" t="s">
        <v>440</v>
      </c>
      <c r="H147" s="197" t="s">
        <v>441</v>
      </c>
      <c r="I147" s="201"/>
      <c r="J147" s="21" t="s">
        <v>121</v>
      </c>
      <c r="K147" s="17" t="s">
        <v>1</v>
      </c>
      <c r="L147" s="16"/>
      <c r="N147" s="17" t="s">
        <v>182</v>
      </c>
      <c r="O147" s="134">
        <v>1</v>
      </c>
      <c r="P147" s="33">
        <v>1</v>
      </c>
      <c r="Q147" s="176">
        <v>6</v>
      </c>
      <c r="R147" s="176">
        <v>5</v>
      </c>
      <c r="S147" s="176">
        <v>0</v>
      </c>
      <c r="T147" s="176">
        <v>1</v>
      </c>
      <c r="U147" s="33">
        <v>0.9</v>
      </c>
      <c r="V147" s="33">
        <v>0.8</v>
      </c>
      <c r="W147" s="17" t="s">
        <v>183</v>
      </c>
      <c r="X147" s="17" t="s">
        <v>183</v>
      </c>
      <c r="Y147" s="17" t="s">
        <v>183</v>
      </c>
      <c r="Z147" s="17" t="s">
        <v>183</v>
      </c>
      <c r="AA147" s="176">
        <v>48</v>
      </c>
      <c r="AB147" s="176">
        <v>10</v>
      </c>
      <c r="AC147" s="176">
        <v>16</v>
      </c>
      <c r="AD147" s="176">
        <v>16</v>
      </c>
      <c r="AE147" s="33">
        <v>0.45</v>
      </c>
      <c r="AF147" s="33">
        <v>0.55000000000000004</v>
      </c>
      <c r="AG147" s="25" t="str">
        <f>_xlfn.XLOOKUP(F147,'TFS Details'!F:F,'TFS Details'!H:H)</f>
        <v>UAT In Test</v>
      </c>
      <c r="AH147" s="44">
        <v>16</v>
      </c>
      <c r="AI147" s="44">
        <v>0</v>
      </c>
      <c r="AJ147" s="44">
        <v>0</v>
      </c>
      <c r="AK147" s="44">
        <v>0</v>
      </c>
      <c r="AL147" s="40">
        <f t="shared" si="22"/>
        <v>16</v>
      </c>
      <c r="AM147" s="41">
        <f t="shared" si="20"/>
        <v>1</v>
      </c>
      <c r="AN147" s="41">
        <f t="shared" si="21"/>
        <v>1</v>
      </c>
      <c r="AO147" s="25"/>
      <c r="AP147" s="25" t="str">
        <f>_xlfn.XLOOKUP(F147,'TFS Details'!F:F,'TFS Details'!I:I)</f>
        <v>Pixel Pioneers</v>
      </c>
      <c r="AQ147" s="25" t="str">
        <f>_xlfn.XLOOKUP(AP147,'TFS Details'!I:I,'TFS Details'!AE:AE)</f>
        <v>pandidurai.ks</v>
      </c>
    </row>
    <row r="148" spans="1:43">
      <c r="A148" s="24" t="str">
        <f>_xlfn.XLOOKUP(F148,'TFS Details'!F:F,'TFS Details'!D:D)</f>
        <v>DFD-myISP</v>
      </c>
      <c r="B148" s="24" t="str">
        <f>_xlfn.XLOOKUP(F148,'TFS Details'!F:F,'TFS Details'!A:A)</f>
        <v>Song Deals Compliant Logic Update</v>
      </c>
      <c r="C148" s="64">
        <f>_xlfn.XLOOKUP(F148,'TFS Details'!F:F,'TFS Details'!E:E)</f>
        <v>4317244</v>
      </c>
      <c r="D148" s="17" t="s">
        <v>22</v>
      </c>
      <c r="E148" s="73" t="s">
        <v>450</v>
      </c>
      <c r="F148" s="121">
        <v>4361798</v>
      </c>
      <c r="G148" s="73" t="s">
        <v>437</v>
      </c>
      <c r="H148" s="197" t="s">
        <v>436</v>
      </c>
      <c r="I148" s="201"/>
      <c r="K148" s="97" t="s">
        <v>18</v>
      </c>
      <c r="L148" s="184" t="s">
        <v>451</v>
      </c>
      <c r="M148" s="23" t="s">
        <v>57</v>
      </c>
      <c r="N148" s="17"/>
      <c r="O148" s="134"/>
      <c r="Q148" s="176"/>
      <c r="R148" s="176"/>
      <c r="S148" s="176"/>
      <c r="T148" s="176"/>
      <c r="W148" s="17" t="s">
        <v>183</v>
      </c>
      <c r="X148" s="17" t="s">
        <v>183</v>
      </c>
      <c r="Y148" s="17" t="s">
        <v>183</v>
      </c>
      <c r="Z148" s="17" t="s">
        <v>183</v>
      </c>
      <c r="AA148" s="176">
        <v>52</v>
      </c>
      <c r="AB148" s="176">
        <v>6</v>
      </c>
      <c r="AC148" s="176">
        <v>7</v>
      </c>
      <c r="AD148" s="176">
        <v>7</v>
      </c>
      <c r="AE148" s="33">
        <v>0.85</v>
      </c>
      <c r="AF148" s="33">
        <v>0.6</v>
      </c>
      <c r="AG148" s="25" t="str">
        <f>_xlfn.XLOOKUP(F148,'TFS Details'!F:F,'TFS Details'!H:H)</f>
        <v>UAT In Test</v>
      </c>
      <c r="AH148" s="44">
        <v>7</v>
      </c>
      <c r="AI148" s="44">
        <v>0</v>
      </c>
      <c r="AJ148" s="44">
        <v>0</v>
      </c>
      <c r="AK148" s="44">
        <v>0</v>
      </c>
      <c r="AL148" s="40">
        <f t="shared" si="22"/>
        <v>7</v>
      </c>
      <c r="AM148" s="41">
        <f t="shared" si="20"/>
        <v>1</v>
      </c>
      <c r="AN148" s="41">
        <f t="shared" si="21"/>
        <v>1</v>
      </c>
      <c r="AO148" s="25"/>
      <c r="AP148" s="25" t="str">
        <f>_xlfn.XLOOKUP(F148,'TFS Details'!F:F,'TFS Details'!I:I)</f>
        <v>TechCoders</v>
      </c>
      <c r="AQ148" s="25" t="str">
        <f>_xlfn.XLOOKUP(AP148,'TFS Details'!I:I,'TFS Details'!AE:AE)</f>
        <v>Francis.Deepak</v>
      </c>
    </row>
    <row r="149" spans="1:43">
      <c r="A149" s="24" t="str">
        <f>_xlfn.XLOOKUP(F149,'TFS Details'!F:F,'TFS Details'!D:D)</f>
        <v>DFD-myISP</v>
      </c>
      <c r="B149" s="24" t="str">
        <f>_xlfn.XLOOKUP(F149,'TFS Details'!F:F,'TFS Details'!A:A)</f>
        <v>Song Deals Compliant Logic Update</v>
      </c>
      <c r="C149" s="64">
        <f>_xlfn.XLOOKUP(F149,'TFS Details'!F:F,'TFS Details'!E:E)</f>
        <v>4317244</v>
      </c>
      <c r="D149" s="17" t="s">
        <v>22</v>
      </c>
      <c r="E149" s="73" t="s">
        <v>452</v>
      </c>
      <c r="F149" s="121">
        <v>4361800</v>
      </c>
      <c r="G149" s="73" t="s">
        <v>453</v>
      </c>
      <c r="H149" s="197" t="s">
        <v>454</v>
      </c>
      <c r="I149" s="201"/>
      <c r="K149" s="97" t="s">
        <v>18</v>
      </c>
      <c r="L149" s="198" t="s">
        <v>455</v>
      </c>
      <c r="M149" s="23" t="s">
        <v>57</v>
      </c>
      <c r="N149" s="17"/>
      <c r="O149" s="134"/>
      <c r="Q149" s="176"/>
      <c r="R149" s="176"/>
      <c r="S149" s="176"/>
      <c r="T149" s="176"/>
      <c r="W149" s="17" t="s">
        <v>183</v>
      </c>
      <c r="X149" s="17" t="s">
        <v>183</v>
      </c>
      <c r="Y149" s="17" t="s">
        <v>183</v>
      </c>
      <c r="Z149" s="17" t="s">
        <v>183</v>
      </c>
      <c r="AA149" s="176">
        <v>51</v>
      </c>
      <c r="AB149" s="176">
        <v>13</v>
      </c>
      <c r="AC149" s="176">
        <v>15</v>
      </c>
      <c r="AD149" s="176">
        <v>15</v>
      </c>
      <c r="AE149" s="33">
        <v>0.87</v>
      </c>
      <c r="AF149" s="33">
        <v>0.85</v>
      </c>
      <c r="AG149" s="25" t="str">
        <f>_xlfn.XLOOKUP(F149,'TFS Details'!F:F,'TFS Details'!H:H)</f>
        <v>UAT In Test</v>
      </c>
      <c r="AH149" s="44">
        <v>8</v>
      </c>
      <c r="AI149" s="44">
        <v>0</v>
      </c>
      <c r="AJ149" s="44">
        <v>0</v>
      </c>
      <c r="AK149" s="44">
        <v>0</v>
      </c>
      <c r="AL149" s="40">
        <v>8</v>
      </c>
      <c r="AM149" s="41">
        <f t="shared" si="20"/>
        <v>1</v>
      </c>
      <c r="AN149" s="41">
        <f t="shared" si="21"/>
        <v>1</v>
      </c>
      <c r="AO149" s="25"/>
      <c r="AP149" s="25" t="str">
        <f>_xlfn.XLOOKUP(F149,'TFS Details'!F:F,'TFS Details'!I:I)</f>
        <v>TechAvengers</v>
      </c>
      <c r="AQ149" s="25" t="str">
        <f>_xlfn.XLOOKUP(AP149,'TFS Details'!I:I,'TFS Details'!AE:AE)</f>
        <v>mervinkumar.manickam</v>
      </c>
    </row>
    <row r="150" spans="1:43">
      <c r="A150" s="24" t="str">
        <f>_xlfn.XLOOKUP(F150,'TFS Details'!F:F,'TFS Details'!D:D)</f>
        <v>DFD-myISP</v>
      </c>
      <c r="B150" s="24" t="str">
        <f>_xlfn.XLOOKUP(F150,'TFS Details'!F:F,'TFS Details'!A:A)</f>
        <v>Song Deals Compliant Logic Update</v>
      </c>
      <c r="C150" s="64">
        <f>_xlfn.XLOOKUP(F150,'TFS Details'!F:F,'TFS Details'!E:E)</f>
        <v>4317244</v>
      </c>
      <c r="D150" s="17" t="s">
        <v>22</v>
      </c>
      <c r="E150" s="73" t="s">
        <v>456</v>
      </c>
      <c r="F150" s="121">
        <v>4361804</v>
      </c>
      <c r="G150" s="73" t="s">
        <v>454</v>
      </c>
      <c r="H150" s="197" t="s">
        <v>453</v>
      </c>
      <c r="I150" s="201"/>
      <c r="J150" s="21" t="s">
        <v>99</v>
      </c>
      <c r="K150" s="17" t="s">
        <v>1</v>
      </c>
      <c r="L150" s="16"/>
      <c r="N150" s="17" t="s">
        <v>182</v>
      </c>
      <c r="O150" s="134"/>
      <c r="P150" s="33">
        <v>1</v>
      </c>
      <c r="Q150" s="176">
        <v>8</v>
      </c>
      <c r="R150" s="176">
        <v>6</v>
      </c>
      <c r="S150" s="176">
        <v>0</v>
      </c>
      <c r="T150" s="176">
        <v>7</v>
      </c>
      <c r="U150" s="33">
        <v>0.9</v>
      </c>
      <c r="V150" s="33">
        <v>0.9</v>
      </c>
      <c r="W150" s="17" t="s">
        <v>183</v>
      </c>
      <c r="X150" s="17" t="s">
        <v>183</v>
      </c>
      <c r="Y150" s="17" t="s">
        <v>183</v>
      </c>
      <c r="Z150" s="17" t="s">
        <v>183</v>
      </c>
      <c r="AA150" s="176">
        <v>51</v>
      </c>
      <c r="AB150" s="176">
        <v>13</v>
      </c>
      <c r="AC150" s="176">
        <v>15</v>
      </c>
      <c r="AD150" s="176">
        <v>15</v>
      </c>
      <c r="AE150" s="33">
        <v>0.87</v>
      </c>
      <c r="AF150" s="33">
        <v>0.85</v>
      </c>
      <c r="AG150" s="25" t="str">
        <f>_xlfn.XLOOKUP(F150,'TFS Details'!F:F,'TFS Details'!H:H)</f>
        <v>UAT In Test</v>
      </c>
      <c r="AH150" s="44">
        <v>15</v>
      </c>
      <c r="AI150" s="44">
        <v>0</v>
      </c>
      <c r="AJ150" s="44">
        <v>0</v>
      </c>
      <c r="AK150" s="44">
        <v>0</v>
      </c>
      <c r="AL150" s="40">
        <f t="shared" si="22"/>
        <v>15</v>
      </c>
      <c r="AM150" s="41">
        <f t="shared" si="20"/>
        <v>1</v>
      </c>
      <c r="AN150" s="41">
        <f t="shared" si="21"/>
        <v>1</v>
      </c>
      <c r="AO150" s="25"/>
      <c r="AP150" s="25" t="str">
        <f>_xlfn.XLOOKUP(F150,'TFS Details'!F:F,'TFS Details'!I:I)</f>
        <v>Spartans</v>
      </c>
      <c r="AQ150" s="25" t="str">
        <f>_xlfn.XLOOKUP(AP150,'TFS Details'!I:I,'TFS Details'!AE:AE)</f>
        <v>nityanand.giri</v>
      </c>
    </row>
    <row r="151" spans="1:43">
      <c r="A151" s="24" t="str">
        <f>_xlfn.XLOOKUP(F151,'TFS Details'!F:F,'TFS Details'!D:D)</f>
        <v>DFD-myISP</v>
      </c>
      <c r="B151" s="24" t="str">
        <f>_xlfn.XLOOKUP(F151,'TFS Details'!F:F,'TFS Details'!A:A)</f>
        <v>Song Deals Compliant Logic Update</v>
      </c>
      <c r="C151" s="64">
        <f>_xlfn.XLOOKUP(F151,'TFS Details'!F:F,'TFS Details'!E:E)</f>
        <v>4317244</v>
      </c>
      <c r="D151" s="17" t="s">
        <v>22</v>
      </c>
      <c r="E151" s="73" t="s">
        <v>457</v>
      </c>
      <c r="F151" s="121">
        <v>4361805</v>
      </c>
      <c r="G151" s="73" t="s">
        <v>437</v>
      </c>
      <c r="H151" s="197" t="s">
        <v>436</v>
      </c>
      <c r="I151" s="201"/>
      <c r="J151" s="21" t="s">
        <v>80</v>
      </c>
      <c r="K151" s="17" t="s">
        <v>1</v>
      </c>
      <c r="L151" s="16"/>
      <c r="N151" s="17" t="s">
        <v>182</v>
      </c>
      <c r="O151" s="134">
        <v>6</v>
      </c>
      <c r="P151" s="33">
        <v>1</v>
      </c>
      <c r="Q151" s="176">
        <v>7</v>
      </c>
      <c r="R151" s="176">
        <v>6</v>
      </c>
      <c r="S151" s="176">
        <v>7</v>
      </c>
      <c r="T151" s="176">
        <v>7</v>
      </c>
      <c r="U151" s="33">
        <v>0.85</v>
      </c>
      <c r="V151" s="33">
        <v>0.9</v>
      </c>
      <c r="W151" s="17" t="s">
        <v>183</v>
      </c>
      <c r="X151" s="17" t="s">
        <v>183</v>
      </c>
      <c r="Y151" s="17" t="s">
        <v>183</v>
      </c>
      <c r="Z151" s="17" t="s">
        <v>183</v>
      </c>
      <c r="AA151" s="176">
        <v>50</v>
      </c>
      <c r="AB151" s="176">
        <v>7</v>
      </c>
      <c r="AC151" s="176">
        <v>7</v>
      </c>
      <c r="AD151" s="176">
        <v>7</v>
      </c>
      <c r="AE151" s="33">
        <v>1</v>
      </c>
      <c r="AF151" s="33">
        <v>0.85</v>
      </c>
      <c r="AG151" s="25" t="str">
        <f>_xlfn.XLOOKUP(F151,'TFS Details'!F:F,'TFS Details'!H:H)</f>
        <v>UAT In Test</v>
      </c>
      <c r="AH151" s="44">
        <v>7</v>
      </c>
      <c r="AI151" s="44">
        <v>0</v>
      </c>
      <c r="AJ151" s="44">
        <v>0</v>
      </c>
      <c r="AK151" s="44">
        <v>0</v>
      </c>
      <c r="AL151" s="40">
        <f t="shared" si="22"/>
        <v>7</v>
      </c>
      <c r="AM151" s="41">
        <f t="shared" si="20"/>
        <v>1</v>
      </c>
      <c r="AN151" s="41">
        <f t="shared" si="21"/>
        <v>1</v>
      </c>
      <c r="AO151" s="25"/>
      <c r="AP151" s="25" t="str">
        <f>_xlfn.XLOOKUP(F151,'TFS Details'!F:F,'TFS Details'!I:I)</f>
        <v>Pirates</v>
      </c>
      <c r="AQ151" s="25" t="str">
        <f>_xlfn.XLOOKUP(AP151,'TFS Details'!I:I,'TFS Details'!AE:AE)</f>
        <v>pandidurai.ks</v>
      </c>
    </row>
    <row r="152" spans="1:43">
      <c r="A152" s="24" t="str">
        <f>_xlfn.XLOOKUP(F152,'TFS Details'!F:F,'TFS Details'!D:D)</f>
        <v>DFD-myISP</v>
      </c>
      <c r="B152" s="24" t="str">
        <f>_xlfn.XLOOKUP(F152,'TFS Details'!F:F,'TFS Details'!A:A)</f>
        <v>Song Deals Compliant Logic Update</v>
      </c>
      <c r="C152" s="64">
        <f>_xlfn.XLOOKUP(F152,'TFS Details'!F:F,'TFS Details'!E:E)</f>
        <v>4317244</v>
      </c>
      <c r="D152" s="17" t="s">
        <v>22</v>
      </c>
      <c r="E152" s="73" t="s">
        <v>458</v>
      </c>
      <c r="F152" s="121">
        <v>4361806</v>
      </c>
      <c r="G152" s="73" t="s">
        <v>441</v>
      </c>
      <c r="H152" s="197" t="s">
        <v>440</v>
      </c>
      <c r="I152" s="201"/>
      <c r="J152" s="21" t="s">
        <v>69</v>
      </c>
      <c r="K152" s="17" t="s">
        <v>1</v>
      </c>
      <c r="L152" s="16"/>
      <c r="N152" s="17" t="s">
        <v>182</v>
      </c>
      <c r="O152" s="134">
        <v>8</v>
      </c>
      <c r="P152" s="33">
        <v>1</v>
      </c>
      <c r="Q152" s="176">
        <v>8</v>
      </c>
      <c r="R152" s="176">
        <v>8</v>
      </c>
      <c r="S152" s="176">
        <v>0</v>
      </c>
      <c r="T152" s="176">
        <v>8</v>
      </c>
      <c r="U152" s="33">
        <v>1</v>
      </c>
      <c r="V152" s="33">
        <v>0.7</v>
      </c>
      <c r="W152" s="17" t="s">
        <v>183</v>
      </c>
      <c r="X152" s="17" t="s">
        <v>183</v>
      </c>
      <c r="Y152" s="17" t="s">
        <v>183</v>
      </c>
      <c r="Z152" s="17" t="s">
        <v>183</v>
      </c>
      <c r="AA152" s="176">
        <v>70</v>
      </c>
      <c r="AB152" s="176">
        <v>11</v>
      </c>
      <c r="AC152" s="176">
        <v>12</v>
      </c>
      <c r="AD152" s="176">
        <v>13</v>
      </c>
      <c r="AE152" s="33">
        <v>0.91</v>
      </c>
      <c r="AF152" s="33">
        <v>0.65</v>
      </c>
      <c r="AG152" s="25" t="str">
        <f>_xlfn.XLOOKUP(F152,'TFS Details'!F:F,'TFS Details'!H:H)</f>
        <v>UAT In Test</v>
      </c>
      <c r="AH152" s="44">
        <v>12</v>
      </c>
      <c r="AI152" s="44">
        <v>0</v>
      </c>
      <c r="AJ152" s="44">
        <v>0</v>
      </c>
      <c r="AK152" s="44">
        <v>0</v>
      </c>
      <c r="AL152" s="40">
        <f t="shared" si="22"/>
        <v>12</v>
      </c>
      <c r="AM152" s="41">
        <f t="shared" si="20"/>
        <v>1</v>
      </c>
      <c r="AN152" s="41">
        <f t="shared" si="21"/>
        <v>1</v>
      </c>
      <c r="AO152" s="25"/>
      <c r="AP152" s="25" t="str">
        <f>_xlfn.XLOOKUP(F152,'TFS Details'!F:F,'TFS Details'!I:I)</f>
        <v>TechWarriors</v>
      </c>
      <c r="AQ152" s="25" t="str">
        <f>_xlfn.XLOOKUP(AP152,'TFS Details'!I:I,'TFS Details'!AE:AE)</f>
        <v>sowjanya.kari</v>
      </c>
    </row>
    <row r="153" spans="1:43">
      <c r="A153" s="24" t="str">
        <f>_xlfn.XLOOKUP(F153,'TFS Details'!F:F,'TFS Details'!D:D)</f>
        <v>DFD-myISP</v>
      </c>
      <c r="B153" s="24" t="str">
        <f>_xlfn.XLOOKUP(F153,'TFS Details'!F:F,'TFS Details'!A:A)</f>
        <v>Song Deals Compliant Logic Update</v>
      </c>
      <c r="C153" s="64">
        <f>_xlfn.XLOOKUP(F153,'TFS Details'!F:F,'TFS Details'!E:E)</f>
        <v>4317244</v>
      </c>
      <c r="D153" s="17" t="s">
        <v>22</v>
      </c>
      <c r="E153" s="73" t="s">
        <v>459</v>
      </c>
      <c r="F153" s="121">
        <v>4361807</v>
      </c>
      <c r="G153" s="73" t="s">
        <v>440</v>
      </c>
      <c r="H153" s="197" t="s">
        <v>441</v>
      </c>
      <c r="I153" s="201"/>
      <c r="J153" s="21" t="s">
        <v>119</v>
      </c>
      <c r="K153" s="17" t="s">
        <v>1</v>
      </c>
      <c r="L153" s="16"/>
      <c r="N153" s="17" t="s">
        <v>182</v>
      </c>
      <c r="O153" s="134">
        <v>6</v>
      </c>
      <c r="P153" s="33">
        <v>1</v>
      </c>
      <c r="Q153" s="176">
        <v>9</v>
      </c>
      <c r="R153" s="176">
        <v>6</v>
      </c>
      <c r="S153" s="176">
        <v>0</v>
      </c>
      <c r="T153" s="176">
        <v>7</v>
      </c>
      <c r="U153" s="33">
        <v>0.91</v>
      </c>
      <c r="V153" s="33">
        <v>0.9</v>
      </c>
      <c r="W153" s="17" t="s">
        <v>183</v>
      </c>
      <c r="X153" s="17" t="s">
        <v>183</v>
      </c>
      <c r="Y153" s="17" t="s">
        <v>183</v>
      </c>
      <c r="Z153" s="17" t="s">
        <v>183</v>
      </c>
      <c r="AA153" s="176">
        <v>30</v>
      </c>
      <c r="AB153" s="176">
        <v>4</v>
      </c>
      <c r="AC153" s="176">
        <v>9</v>
      </c>
      <c r="AD153" s="176">
        <v>9</v>
      </c>
      <c r="AE153" s="33">
        <v>0.55000000000000004</v>
      </c>
      <c r="AF153" s="33">
        <v>0.6</v>
      </c>
      <c r="AG153" s="25" t="str">
        <f>_xlfn.XLOOKUP(F153,'TFS Details'!F:F,'TFS Details'!H:H)</f>
        <v>UAT In Test</v>
      </c>
      <c r="AH153" s="44">
        <v>9</v>
      </c>
      <c r="AI153" s="44">
        <v>0</v>
      </c>
      <c r="AJ153" s="44">
        <v>0</v>
      </c>
      <c r="AK153" s="44">
        <v>0</v>
      </c>
      <c r="AL153" s="40">
        <f t="shared" si="22"/>
        <v>9</v>
      </c>
      <c r="AM153" s="41">
        <f t="shared" si="20"/>
        <v>1</v>
      </c>
      <c r="AN153" s="41">
        <f t="shared" si="21"/>
        <v>1</v>
      </c>
      <c r="AO153" s="25"/>
      <c r="AP153" s="25" t="str">
        <f>_xlfn.XLOOKUP(F153,'TFS Details'!F:F,'TFS Details'!I:I)</f>
        <v>Pixel Pioneers</v>
      </c>
      <c r="AQ153" s="25" t="str">
        <f>_xlfn.XLOOKUP(AP153,'TFS Details'!I:I,'TFS Details'!AE:AE)</f>
        <v>pandidurai.ks</v>
      </c>
    </row>
    <row r="154" spans="1:43">
      <c r="A154" s="24" t="str">
        <f>_xlfn.XLOOKUP(F154,'TFS Details'!F:F,'TFS Details'!D:D)</f>
        <v>DFD-myISP</v>
      </c>
      <c r="B154" s="24" t="str">
        <f>_xlfn.XLOOKUP(F154,'TFS Details'!F:F,'TFS Details'!A:A)</f>
        <v>Song Deals Compliant Logic Update</v>
      </c>
      <c r="C154" s="64">
        <f>_xlfn.XLOOKUP(F154,'TFS Details'!F:F,'TFS Details'!E:E)</f>
        <v>4317244</v>
      </c>
      <c r="D154" s="17" t="s">
        <v>22</v>
      </c>
      <c r="E154" s="73" t="s">
        <v>460</v>
      </c>
      <c r="F154" s="121">
        <v>4361808</v>
      </c>
      <c r="G154" s="73" t="s">
        <v>431</v>
      </c>
      <c r="H154" s="197" t="s">
        <v>432</v>
      </c>
      <c r="I154" s="201"/>
      <c r="J154" s="21" t="s">
        <v>109</v>
      </c>
      <c r="K154" s="17" t="s">
        <v>1</v>
      </c>
      <c r="L154" s="16"/>
      <c r="N154" s="17" t="s">
        <v>182</v>
      </c>
      <c r="O154" s="134">
        <v>6</v>
      </c>
      <c r="P154" s="33">
        <v>1</v>
      </c>
      <c r="Q154" s="176">
        <v>14</v>
      </c>
      <c r="R154" s="176">
        <v>4</v>
      </c>
      <c r="S154" s="176">
        <v>6</v>
      </c>
      <c r="T154" s="176">
        <v>6</v>
      </c>
      <c r="U154" s="33">
        <v>0.6</v>
      </c>
      <c r="V154" s="33">
        <v>0.9</v>
      </c>
      <c r="W154" s="17" t="s">
        <v>183</v>
      </c>
      <c r="X154" s="17" t="s">
        <v>183</v>
      </c>
      <c r="Y154" s="17" t="s">
        <v>183</v>
      </c>
      <c r="Z154" s="17" t="s">
        <v>183</v>
      </c>
      <c r="AA154" s="176">
        <v>57</v>
      </c>
      <c r="AB154" s="176">
        <v>25</v>
      </c>
      <c r="AC154" s="176">
        <v>5</v>
      </c>
      <c r="AD154" s="176">
        <v>5</v>
      </c>
      <c r="AE154" s="33">
        <v>0.9</v>
      </c>
      <c r="AF154" s="33">
        <v>0.85</v>
      </c>
      <c r="AG154" s="25" t="str">
        <f>_xlfn.XLOOKUP(F154,'TFS Details'!F:F,'TFS Details'!H:H)</f>
        <v>UAT In Test</v>
      </c>
      <c r="AH154" s="44">
        <v>5</v>
      </c>
      <c r="AI154" s="44">
        <v>0</v>
      </c>
      <c r="AJ154" s="44">
        <v>0</v>
      </c>
      <c r="AK154" s="44">
        <v>0</v>
      </c>
      <c r="AL154" s="40">
        <v>5</v>
      </c>
      <c r="AM154" s="41">
        <f t="shared" si="20"/>
        <v>1</v>
      </c>
      <c r="AN154" s="41">
        <f t="shared" si="21"/>
        <v>1</v>
      </c>
      <c r="AO154" s="25" t="s">
        <v>434</v>
      </c>
      <c r="AP154" s="25" t="str">
        <f>_xlfn.XLOOKUP(F154,'TFS Details'!F:F,'TFS Details'!I:I)</f>
        <v>TechWarriors</v>
      </c>
      <c r="AQ154" s="25" t="str">
        <f>_xlfn.XLOOKUP(AP154,'TFS Details'!I:I,'TFS Details'!AE:AE)</f>
        <v>sowjanya.kari</v>
      </c>
    </row>
    <row r="155" spans="1:43">
      <c r="A155" s="24" t="str">
        <f>_xlfn.XLOOKUP(F155,'TFS Details'!F:F,'TFS Details'!D:D)</f>
        <v>Advisory SA - SONG</v>
      </c>
      <c r="B155" s="24" t="str">
        <f>_xlfn.XLOOKUP(F155,'TFS Details'!F:F,'TFS Details'!A:A)</f>
        <v>PLD - Advisory SA Role</v>
      </c>
      <c r="C155" s="64">
        <f>_xlfn.XLOOKUP(F155,'TFS Details'!F:F,'TFS Details'!E:E)</f>
        <v>4386527</v>
      </c>
      <c r="D155" s="17" t="s">
        <v>22</v>
      </c>
      <c r="E155" s="73" t="s">
        <v>461</v>
      </c>
      <c r="F155" s="121">
        <v>4367505</v>
      </c>
      <c r="G155" s="73" t="s">
        <v>437</v>
      </c>
      <c r="H155" s="197" t="s">
        <v>436</v>
      </c>
      <c r="I155" s="201"/>
      <c r="K155" s="97" t="s">
        <v>18</v>
      </c>
      <c r="L155" s="16" t="s">
        <v>462</v>
      </c>
      <c r="M155" s="16" t="s">
        <v>28</v>
      </c>
      <c r="N155" s="17"/>
      <c r="O155" s="134"/>
      <c r="Q155" s="176"/>
      <c r="R155" s="176"/>
      <c r="S155" s="176"/>
      <c r="T155" s="176"/>
      <c r="W155" s="17" t="s">
        <v>183</v>
      </c>
      <c r="X155" s="17" t="s">
        <v>183</v>
      </c>
      <c r="Y155" s="17" t="s">
        <v>183</v>
      </c>
      <c r="Z155" s="17" t="s">
        <v>183</v>
      </c>
      <c r="AA155" s="176">
        <v>50</v>
      </c>
      <c r="AB155" s="176">
        <v>10</v>
      </c>
      <c r="AC155" s="176">
        <v>11</v>
      </c>
      <c r="AD155" s="176">
        <v>11</v>
      </c>
      <c r="AE155" s="33">
        <v>0.9</v>
      </c>
      <c r="AF155" s="33">
        <v>0.9</v>
      </c>
      <c r="AG155" s="25" t="str">
        <f>_xlfn.XLOOKUP(F155,'TFS Details'!F:F,'TFS Details'!H:H)</f>
        <v>UAT In Test</v>
      </c>
      <c r="AH155" s="44">
        <v>11</v>
      </c>
      <c r="AI155" s="44">
        <v>0</v>
      </c>
      <c r="AJ155" s="44">
        <v>0</v>
      </c>
      <c r="AK155" s="44">
        <v>0</v>
      </c>
      <c r="AL155" s="40">
        <f t="shared" si="22"/>
        <v>11</v>
      </c>
      <c r="AM155" s="41">
        <f t="shared" si="20"/>
        <v>1</v>
      </c>
      <c r="AN155" s="41">
        <f t="shared" si="21"/>
        <v>1</v>
      </c>
      <c r="AO155" s="25"/>
      <c r="AP155" s="25" t="str">
        <f>_xlfn.XLOOKUP(F155,'TFS Details'!F:F,'TFS Details'!I:I)</f>
        <v>Pacemakers</v>
      </c>
      <c r="AQ155" s="25" t="str">
        <f>_xlfn.XLOOKUP(AP155,'TFS Details'!I:I,'TFS Details'!AE:AE)</f>
        <v>sona.job</v>
      </c>
    </row>
    <row r="156" spans="1:43">
      <c r="A156" s="24" t="str">
        <f>_xlfn.XLOOKUP(F156,'TFS Details'!F:F,'TFS Details'!D:D)</f>
        <v>PLD - cancellation</v>
      </c>
      <c r="B156" s="24" t="str">
        <f>_xlfn.XLOOKUP(F156,'TFS Details'!F:F,'TFS Details'!A:A)</f>
        <v>Advisory SA - PLD cancellation and Status sync across DFD, PLD and Define Team</v>
      </c>
      <c r="C156" s="64">
        <f>_xlfn.XLOOKUP(F156,'TFS Details'!F:F,'TFS Details'!E:E)</f>
        <v>4371748</v>
      </c>
      <c r="D156" s="17" t="s">
        <v>22</v>
      </c>
      <c r="E156" s="133" t="s">
        <v>463</v>
      </c>
      <c r="F156" s="121">
        <v>4371749</v>
      </c>
      <c r="G156" s="73" t="s">
        <v>464</v>
      </c>
      <c r="H156" s="197" t="s">
        <v>453</v>
      </c>
      <c r="I156" s="201"/>
      <c r="K156" s="97" t="s">
        <v>18</v>
      </c>
      <c r="L156" s="16" t="s">
        <v>465</v>
      </c>
      <c r="M156" s="16" t="s">
        <v>28</v>
      </c>
      <c r="N156" s="17"/>
      <c r="O156" s="134"/>
      <c r="Q156" s="176"/>
      <c r="R156" s="176"/>
      <c r="S156" s="176"/>
      <c r="T156" s="176"/>
      <c r="W156" s="17" t="s">
        <v>183</v>
      </c>
      <c r="X156" s="17" t="s">
        <v>183</v>
      </c>
      <c r="Y156" s="17" t="s">
        <v>183</v>
      </c>
      <c r="Z156" s="17" t="s">
        <v>183</v>
      </c>
      <c r="AA156" s="176">
        <v>51</v>
      </c>
      <c r="AB156" s="176">
        <v>11</v>
      </c>
      <c r="AC156" s="176">
        <v>14</v>
      </c>
      <c r="AD156" s="176">
        <v>13</v>
      </c>
      <c r="AE156" s="33">
        <v>0.85</v>
      </c>
      <c r="AF156" s="33"/>
      <c r="AG156" s="25" t="str">
        <f>_xlfn.XLOOKUP(F156,'TFS Details'!F:F,'TFS Details'!H:H)</f>
        <v>UAT In Test</v>
      </c>
      <c r="AH156" s="44">
        <v>13</v>
      </c>
      <c r="AI156" s="44">
        <v>0</v>
      </c>
      <c r="AJ156" s="44">
        <v>0</v>
      </c>
      <c r="AK156" s="44">
        <v>0</v>
      </c>
      <c r="AL156" s="40">
        <f t="shared" si="22"/>
        <v>13</v>
      </c>
      <c r="AM156" s="41">
        <f t="shared" si="20"/>
        <v>1</v>
      </c>
      <c r="AN156" s="41">
        <f t="shared" si="21"/>
        <v>1</v>
      </c>
      <c r="AO156" s="25"/>
      <c r="AP156" s="25" t="str">
        <f>_xlfn.XLOOKUP(F156,'TFS Details'!F:F,'TFS Details'!I:I)</f>
        <v>DynamicDev</v>
      </c>
      <c r="AQ156" s="25" t="str">
        <f>_xlfn.XLOOKUP(AP156,'TFS Details'!I:I,'TFS Details'!AE:AE)</f>
        <v>sona.job</v>
      </c>
    </row>
    <row r="157" spans="1:43">
      <c r="A157" s="24" t="str">
        <f>_xlfn.XLOOKUP(F157,'TFS Details'!F:F,'TFS Details'!D:D)</f>
        <v>Advisory SA - SONG</v>
      </c>
      <c r="B157" s="24" t="str">
        <f>_xlfn.XLOOKUP(F157,'TFS Details'!F:F,'TFS Details'!A:A)</f>
        <v>PLD - Advisory SA Role</v>
      </c>
      <c r="C157" s="64">
        <f>_xlfn.XLOOKUP(F157,'TFS Details'!F:F,'TFS Details'!E:E)</f>
        <v>4386527</v>
      </c>
      <c r="D157" s="17" t="s">
        <v>22</v>
      </c>
      <c r="E157" s="73" t="s">
        <v>466</v>
      </c>
      <c r="F157" s="121">
        <v>4372653</v>
      </c>
      <c r="G157" s="73" t="s">
        <v>432</v>
      </c>
      <c r="H157" s="197" t="s">
        <v>431</v>
      </c>
      <c r="I157" s="201"/>
      <c r="K157" s="97" t="s">
        <v>18</v>
      </c>
      <c r="L157" s="16" t="s">
        <v>467</v>
      </c>
      <c r="M157" s="16" t="s">
        <v>28</v>
      </c>
      <c r="N157" s="17"/>
      <c r="O157" s="134"/>
      <c r="Q157" s="176"/>
      <c r="R157" s="176"/>
      <c r="S157" s="176"/>
      <c r="T157" s="176"/>
      <c r="W157" s="17" t="s">
        <v>183</v>
      </c>
      <c r="X157" s="17" t="s">
        <v>183</v>
      </c>
      <c r="Y157" s="17" t="s">
        <v>183</v>
      </c>
      <c r="Z157" s="17" t="s">
        <v>183</v>
      </c>
      <c r="AA157" s="176">
        <v>22</v>
      </c>
      <c r="AB157" s="176">
        <v>5</v>
      </c>
      <c r="AC157" s="176">
        <v>5</v>
      </c>
      <c r="AD157" s="176">
        <v>5</v>
      </c>
      <c r="AE157" s="33">
        <v>0.7</v>
      </c>
      <c r="AF157" s="33">
        <v>0.7</v>
      </c>
      <c r="AG157" s="25" t="str">
        <f>_xlfn.XLOOKUP(F157,'TFS Details'!F:F,'TFS Details'!H:H)</f>
        <v>UAT In Test</v>
      </c>
      <c r="AH157" s="44">
        <v>7</v>
      </c>
      <c r="AI157" s="44">
        <v>0</v>
      </c>
      <c r="AJ157" s="44">
        <v>0</v>
      </c>
      <c r="AK157" s="44">
        <v>0</v>
      </c>
      <c r="AL157" s="40">
        <v>7</v>
      </c>
      <c r="AM157" s="41">
        <f t="shared" si="20"/>
        <v>1</v>
      </c>
      <c r="AN157" s="41">
        <f t="shared" si="21"/>
        <v>1</v>
      </c>
      <c r="AO157" s="25" t="s">
        <v>434</v>
      </c>
      <c r="AP157" s="25" t="str">
        <f>_xlfn.XLOOKUP(F157,'TFS Details'!F:F,'TFS Details'!I:I)</f>
        <v>Pacemakers</v>
      </c>
      <c r="AQ157" s="25" t="str">
        <f>_xlfn.XLOOKUP(AP157,'TFS Details'!I:I,'TFS Details'!AE:AE)</f>
        <v>sona.job</v>
      </c>
    </row>
    <row r="158" spans="1:43">
      <c r="A158" s="24" t="str">
        <f>_xlfn.XLOOKUP(F158,'TFS Details'!F:F,'TFS Details'!D:D)</f>
        <v>Advisory SA - SONG</v>
      </c>
      <c r="B158" s="24" t="str">
        <f>_xlfn.XLOOKUP(F158,'TFS Details'!F:F,'TFS Details'!A:A)</f>
        <v>PLD - Advisory SA Role</v>
      </c>
      <c r="C158" s="64">
        <f>_xlfn.XLOOKUP(F158,'TFS Details'!F:F,'TFS Details'!E:E)</f>
        <v>4386527</v>
      </c>
      <c r="D158" s="17" t="s">
        <v>22</v>
      </c>
      <c r="E158" s="73" t="s">
        <v>468</v>
      </c>
      <c r="F158" s="121">
        <v>4372897</v>
      </c>
      <c r="G158" s="73" t="s">
        <v>437</v>
      </c>
      <c r="H158" s="197" t="s">
        <v>436</v>
      </c>
      <c r="I158" s="201"/>
      <c r="K158" s="97" t="s">
        <v>18</v>
      </c>
      <c r="L158" s="16" t="s">
        <v>462</v>
      </c>
      <c r="M158" s="16" t="s">
        <v>28</v>
      </c>
      <c r="N158" s="17"/>
      <c r="O158" s="134"/>
      <c r="Q158" s="176"/>
      <c r="R158" s="176"/>
      <c r="S158" s="176"/>
      <c r="T158" s="176"/>
      <c r="W158" s="17" t="s">
        <v>183</v>
      </c>
      <c r="X158" s="17" t="s">
        <v>183</v>
      </c>
      <c r="Y158" s="17" t="s">
        <v>183</v>
      </c>
      <c r="Z158" s="17" t="s">
        <v>183</v>
      </c>
      <c r="AA158" s="176">
        <v>50</v>
      </c>
      <c r="AB158" s="176">
        <v>10</v>
      </c>
      <c r="AC158" s="176">
        <v>11</v>
      </c>
      <c r="AD158" s="176">
        <v>11</v>
      </c>
      <c r="AE158" s="33">
        <v>0.9</v>
      </c>
      <c r="AF158" s="33">
        <v>0.9</v>
      </c>
      <c r="AG158" s="25" t="str">
        <f>_xlfn.XLOOKUP(F158,'TFS Details'!F:F,'TFS Details'!H:H)</f>
        <v>UAT In Test</v>
      </c>
      <c r="AH158" s="44">
        <v>11</v>
      </c>
      <c r="AI158" s="44">
        <v>0</v>
      </c>
      <c r="AJ158" s="44">
        <v>0</v>
      </c>
      <c r="AK158" s="44">
        <v>0</v>
      </c>
      <c r="AL158" s="40">
        <f t="shared" si="22"/>
        <v>11</v>
      </c>
      <c r="AM158" s="41">
        <f t="shared" si="20"/>
        <v>1</v>
      </c>
      <c r="AN158" s="41">
        <f t="shared" si="21"/>
        <v>1</v>
      </c>
      <c r="AO158" s="25"/>
      <c r="AP158" s="25" t="str">
        <f>_xlfn.XLOOKUP(F158,'TFS Details'!F:F,'TFS Details'!I:I)</f>
        <v>Pacemakers</v>
      </c>
      <c r="AQ158" s="25" t="str">
        <f>_xlfn.XLOOKUP(AP158,'TFS Details'!I:I,'TFS Details'!AE:AE)</f>
        <v>sona.job</v>
      </c>
    </row>
    <row r="159" spans="1:43">
      <c r="A159" s="24" t="str">
        <f>_xlfn.XLOOKUP(F159,'TFS Details'!F:F,'TFS Details'!D:D)</f>
        <v>Self Assign</v>
      </c>
      <c r="B159" s="24" t="str">
        <f>_xlfn.XLOOKUP(F159,'TFS Details'!F:F,'TFS Details'!A:A)</f>
        <v>March Release NextGen Enhancements</v>
      </c>
      <c r="C159" s="64">
        <f>_xlfn.XLOOKUP(F159,'TFS Details'!F:F,'TFS Details'!E:E)</f>
        <v>4365826</v>
      </c>
      <c r="D159" s="17" t="s">
        <v>22</v>
      </c>
      <c r="E159" s="73" t="s">
        <v>469</v>
      </c>
      <c r="F159" s="121">
        <v>4373565</v>
      </c>
      <c r="G159" s="73" t="s">
        <v>440</v>
      </c>
      <c r="H159" s="197" t="s">
        <v>441</v>
      </c>
      <c r="I159" s="201"/>
      <c r="K159" s="97" t="s">
        <v>18</v>
      </c>
      <c r="L159" s="16" t="s">
        <v>470</v>
      </c>
      <c r="M159" s="23" t="s">
        <v>48</v>
      </c>
      <c r="N159" s="17"/>
      <c r="O159" s="134"/>
      <c r="Q159" s="176"/>
      <c r="R159" s="176"/>
      <c r="S159" s="176"/>
      <c r="T159" s="176"/>
      <c r="W159" s="17" t="s">
        <v>183</v>
      </c>
      <c r="X159" s="17" t="s">
        <v>183</v>
      </c>
      <c r="Y159" s="17" t="s">
        <v>183</v>
      </c>
      <c r="Z159" s="17" t="s">
        <v>183</v>
      </c>
      <c r="AA159" s="176">
        <v>20</v>
      </c>
      <c r="AB159" s="176">
        <v>4</v>
      </c>
      <c r="AC159" s="176">
        <v>7</v>
      </c>
      <c r="AD159" s="176">
        <v>7</v>
      </c>
      <c r="AE159" s="33">
        <v>0.6</v>
      </c>
      <c r="AF159" s="33">
        <v>0.6</v>
      </c>
      <c r="AG159" s="25" t="str">
        <f>_xlfn.XLOOKUP(F159,'TFS Details'!F:F,'TFS Details'!H:H)</f>
        <v>UAT In Test</v>
      </c>
      <c r="AH159" s="44">
        <v>7</v>
      </c>
      <c r="AI159" s="44">
        <v>0</v>
      </c>
      <c r="AJ159" s="44">
        <v>0</v>
      </c>
      <c r="AK159" s="44">
        <v>0</v>
      </c>
      <c r="AL159" s="40">
        <f t="shared" si="22"/>
        <v>7</v>
      </c>
      <c r="AM159" s="41">
        <f t="shared" si="20"/>
        <v>1</v>
      </c>
      <c r="AN159" s="41">
        <f t="shared" si="21"/>
        <v>1</v>
      </c>
      <c r="AO159" s="25"/>
      <c r="AP159" s="25" t="str">
        <f>_xlfn.XLOOKUP(F159,'TFS Details'!F:F,'TFS Details'!I:I)</f>
        <v>GoRetro</v>
      </c>
      <c r="AQ159" s="25" t="str">
        <f>_xlfn.XLOOKUP(AP159,'TFS Details'!I:I,'TFS Details'!AE:AE)</f>
        <v>sowjanya.kari</v>
      </c>
    </row>
    <row r="160" spans="1:43">
      <c r="A160" s="24" t="str">
        <f>_xlfn.XLOOKUP(F160,'TFS Details'!F:F,'TFS Details'!D:D)</f>
        <v>PLD</v>
      </c>
      <c r="B160" s="24" t="str">
        <f>_xlfn.XLOOKUP(F160,'TFS Details'!F:F,'TFS Details'!A:A)</f>
        <v>Advisory SA - PLD cancellation and Status sync across DFD, PLD and Define Team</v>
      </c>
      <c r="C160" s="64">
        <f>_xlfn.XLOOKUP(F160,'TFS Details'!F:F,'TFS Details'!E:E)</f>
        <v>4371748</v>
      </c>
      <c r="D160" s="17" t="s">
        <v>22</v>
      </c>
      <c r="E160" s="73" t="s">
        <v>471</v>
      </c>
      <c r="F160" s="121">
        <v>4373585</v>
      </c>
      <c r="G160" s="73" t="s">
        <v>454</v>
      </c>
      <c r="H160" s="197" t="s">
        <v>453</v>
      </c>
      <c r="I160" s="201"/>
      <c r="K160" s="97" t="s">
        <v>18</v>
      </c>
      <c r="L160" s="16" t="s">
        <v>465</v>
      </c>
      <c r="M160" s="16" t="s">
        <v>28</v>
      </c>
      <c r="N160" s="17"/>
      <c r="O160" s="134"/>
      <c r="Q160" s="176"/>
      <c r="R160" s="176"/>
      <c r="S160" s="176"/>
      <c r="T160" s="176"/>
      <c r="W160" s="17" t="s">
        <v>183</v>
      </c>
      <c r="X160" s="17" t="s">
        <v>183</v>
      </c>
      <c r="Y160" s="17" t="s">
        <v>183</v>
      </c>
      <c r="Z160" s="17" t="s">
        <v>183</v>
      </c>
      <c r="AA160" s="176">
        <v>51</v>
      </c>
      <c r="AB160" s="176">
        <v>10</v>
      </c>
      <c r="AC160" s="176">
        <v>12</v>
      </c>
      <c r="AD160" s="176">
        <v>12</v>
      </c>
      <c r="AE160" s="33">
        <v>0.83</v>
      </c>
      <c r="AF160" s="33">
        <v>0.8</v>
      </c>
      <c r="AG160" s="25" t="str">
        <f>_xlfn.XLOOKUP(F160,'TFS Details'!F:F,'TFS Details'!H:H)</f>
        <v>UAT In Test</v>
      </c>
      <c r="AH160" s="44">
        <v>8</v>
      </c>
      <c r="AI160" s="44">
        <v>0</v>
      </c>
      <c r="AJ160" s="44">
        <v>0</v>
      </c>
      <c r="AK160" s="44">
        <v>0</v>
      </c>
      <c r="AL160" s="40">
        <f t="shared" si="22"/>
        <v>8</v>
      </c>
      <c r="AM160" s="41">
        <f t="shared" si="20"/>
        <v>1</v>
      </c>
      <c r="AN160" s="41">
        <f t="shared" si="21"/>
        <v>1</v>
      </c>
      <c r="AO160" s="25"/>
      <c r="AP160" s="25" t="str">
        <f>_xlfn.XLOOKUP(F160,'TFS Details'!F:F,'TFS Details'!I:I)</f>
        <v>DynamicDev</v>
      </c>
      <c r="AQ160" s="25" t="str">
        <f>_xlfn.XLOOKUP(AP160,'TFS Details'!I:I,'TFS Details'!AE:AE)</f>
        <v>sona.job</v>
      </c>
    </row>
    <row r="161" spans="1:43">
      <c r="A161" s="24" t="str">
        <f>_xlfn.XLOOKUP(F161,'TFS Details'!F:F,'TFS Details'!D:D)</f>
        <v>DFD</v>
      </c>
      <c r="B161" s="24" t="str">
        <f>_xlfn.XLOOKUP(F161,'TFS Details'!F:F,'TFS Details'!A:A)</f>
        <v>Advisory SA - PLD cancellation and Status sync across DFD, PLD and Define Team</v>
      </c>
      <c r="C161" s="64">
        <f>_xlfn.XLOOKUP(F161,'TFS Details'!F:F,'TFS Details'!E:E)</f>
        <v>4371748</v>
      </c>
      <c r="D161" s="17" t="s">
        <v>22</v>
      </c>
      <c r="E161" s="73" t="s">
        <v>472</v>
      </c>
      <c r="F161" s="121">
        <v>4373596</v>
      </c>
      <c r="G161" s="73" t="s">
        <v>441</v>
      </c>
      <c r="H161" s="197" t="s">
        <v>440</v>
      </c>
      <c r="I161" s="201"/>
      <c r="K161" s="97" t="s">
        <v>18</v>
      </c>
      <c r="L161" s="16" t="s">
        <v>473</v>
      </c>
      <c r="M161" s="16" t="s">
        <v>48</v>
      </c>
      <c r="N161" s="17"/>
      <c r="O161" s="134"/>
      <c r="Q161" s="176"/>
      <c r="R161" s="176"/>
      <c r="S161" s="176"/>
      <c r="T161" s="176"/>
      <c r="W161" s="17" t="s">
        <v>183</v>
      </c>
      <c r="X161" s="17" t="s">
        <v>183</v>
      </c>
      <c r="Y161" s="17" t="s">
        <v>183</v>
      </c>
      <c r="Z161" s="17" t="s">
        <v>183</v>
      </c>
      <c r="AA161" s="176">
        <v>71</v>
      </c>
      <c r="AB161" s="176">
        <v>26</v>
      </c>
      <c r="AC161" s="176">
        <v>26</v>
      </c>
      <c r="AD161" s="176">
        <v>26</v>
      </c>
      <c r="AE161" s="33">
        <v>1</v>
      </c>
      <c r="AF161" s="33">
        <v>0.85</v>
      </c>
      <c r="AG161" s="25" t="str">
        <f>_xlfn.XLOOKUP(F161,'TFS Details'!F:F,'TFS Details'!H:H)</f>
        <v>UAT In Test</v>
      </c>
      <c r="AH161" s="44">
        <v>26</v>
      </c>
      <c r="AI161" s="44">
        <v>0</v>
      </c>
      <c r="AJ161" s="44">
        <v>0</v>
      </c>
      <c r="AK161" s="44">
        <v>0</v>
      </c>
      <c r="AL161" s="40">
        <f t="shared" ref="AL161:AL171" si="23">SUM(AH161:AK161)</f>
        <v>26</v>
      </c>
      <c r="AM161" s="41">
        <f t="shared" si="20"/>
        <v>1</v>
      </c>
      <c r="AN161" s="41">
        <f t="shared" si="21"/>
        <v>1</v>
      </c>
      <c r="AO161" s="25"/>
      <c r="AP161" s="25" t="str">
        <f>_xlfn.XLOOKUP(F161,'TFS Details'!F:F,'TFS Details'!I:I)</f>
        <v>BackDoorGuardians</v>
      </c>
      <c r="AQ161" s="25" t="str">
        <f>_xlfn.XLOOKUP(AP161,'TFS Details'!I:I,'TFS Details'!AE:AE)</f>
        <v>sona.job</v>
      </c>
    </row>
    <row r="162" spans="1:43">
      <c r="A162" s="24" t="str">
        <f>_xlfn.XLOOKUP(F162,'TFS Details'!F:F,'TFS Details'!D:D)</f>
        <v>Cross Service PLD</v>
      </c>
      <c r="B162" s="24" t="str">
        <f>_xlfn.XLOOKUP(F162,'TFS Details'!F:F,'TFS Details'!A:A)</f>
        <v>Feb21||UAT1||PLD||In Cluster management under Generate Pricing-&gt;One Click Pricing, Add Group is enabled in Actions column for cross service lead role.</v>
      </c>
      <c r="C162" s="64">
        <f>_xlfn.XLOOKUP(F162,'TFS Details'!F:F,'TFS Details'!E:E)</f>
        <v>4344500</v>
      </c>
      <c r="D162" s="17" t="s">
        <v>22</v>
      </c>
      <c r="E162" s="73" t="s">
        <v>474</v>
      </c>
      <c r="F162" s="121">
        <v>4374045</v>
      </c>
      <c r="G162" s="73" t="s">
        <v>432</v>
      </c>
      <c r="H162" s="197" t="s">
        <v>431</v>
      </c>
      <c r="I162" s="201"/>
      <c r="K162" s="97" t="s">
        <v>18</v>
      </c>
      <c r="L162" s="16" t="s">
        <v>475</v>
      </c>
      <c r="M162" s="16" t="s">
        <v>64</v>
      </c>
      <c r="N162" s="17"/>
      <c r="O162" s="134"/>
      <c r="Q162" s="176"/>
      <c r="R162" s="176"/>
      <c r="S162" s="176"/>
      <c r="T162" s="176"/>
      <c r="W162" s="17" t="s">
        <v>183</v>
      </c>
      <c r="X162" s="17" t="s">
        <v>183</v>
      </c>
      <c r="Y162" s="17" t="s">
        <v>183</v>
      </c>
      <c r="Z162" s="17" t="s">
        <v>183</v>
      </c>
      <c r="AA162" s="176">
        <v>30</v>
      </c>
      <c r="AB162" s="176">
        <v>4</v>
      </c>
      <c r="AC162" s="176">
        <v>4</v>
      </c>
      <c r="AD162" s="176">
        <v>4</v>
      </c>
      <c r="AE162" s="33">
        <v>0.65</v>
      </c>
      <c r="AF162" s="33">
        <v>0.65</v>
      </c>
      <c r="AG162" s="25" t="str">
        <f>_xlfn.XLOOKUP(F162,'TFS Details'!F:F,'TFS Details'!H:H)</f>
        <v>UAT In Test</v>
      </c>
      <c r="AH162" s="44">
        <v>4</v>
      </c>
      <c r="AI162" s="44">
        <v>0</v>
      </c>
      <c r="AJ162" s="44">
        <v>0</v>
      </c>
      <c r="AK162" s="44">
        <v>0</v>
      </c>
      <c r="AL162" s="40">
        <f t="shared" si="23"/>
        <v>4</v>
      </c>
      <c r="AM162" s="41">
        <f t="shared" si="20"/>
        <v>1</v>
      </c>
      <c r="AN162" s="41">
        <f t="shared" si="21"/>
        <v>1</v>
      </c>
      <c r="AO162" s="25" t="s">
        <v>434</v>
      </c>
      <c r="AP162" s="25" t="str">
        <f>_xlfn.XLOOKUP(F162,'TFS Details'!F:F,'TFS Details'!I:I)</f>
        <v>CreativeCoders</v>
      </c>
      <c r="AQ162" s="25" t="str">
        <f>_xlfn.XLOOKUP(AP162,'TFS Details'!I:I,'TFS Details'!AE:AE)</f>
        <v>K.devaraj</v>
      </c>
    </row>
    <row r="163" spans="1:43">
      <c r="A163" s="24" t="str">
        <f>_xlfn.XLOOKUP(F163,'TFS Details'!F:F,'TFS Details'!D:D)</f>
        <v>BPMS Onboarding</v>
      </c>
      <c r="B163" s="24" t="str">
        <f>_xlfn.XLOOKUP(F163,'TFS Details'!F:F,'TFS Details'!A:A)</f>
        <v>Diel hierarchy - rolled up revenue</v>
      </c>
      <c r="C163" s="64">
        <f>_xlfn.XLOOKUP(F163,'TFS Details'!F:F,'TFS Details'!E:E)</f>
        <v>4378908</v>
      </c>
      <c r="D163" s="17" t="s">
        <v>22</v>
      </c>
      <c r="E163" s="73" t="s">
        <v>476</v>
      </c>
      <c r="F163" s="121">
        <v>4378608</v>
      </c>
      <c r="G163" s="73" t="s">
        <v>436</v>
      </c>
      <c r="H163" s="197" t="s">
        <v>437</v>
      </c>
      <c r="I163" s="201"/>
      <c r="K163" s="97" t="s">
        <v>18</v>
      </c>
      <c r="L163" s="16" t="s">
        <v>465</v>
      </c>
      <c r="M163" s="16" t="s">
        <v>28</v>
      </c>
      <c r="N163" s="17"/>
      <c r="O163" s="134"/>
      <c r="Q163" s="176"/>
      <c r="R163" s="176"/>
      <c r="S163" s="176"/>
      <c r="T163" s="176"/>
      <c r="W163" s="17" t="s">
        <v>183</v>
      </c>
      <c r="X163" s="17" t="s">
        <v>183</v>
      </c>
      <c r="Y163" s="17" t="s">
        <v>183</v>
      </c>
      <c r="Z163" s="17" t="s">
        <v>183</v>
      </c>
      <c r="AA163" s="176">
        <v>40</v>
      </c>
      <c r="AB163" s="176">
        <v>2</v>
      </c>
      <c r="AC163" s="176">
        <v>4</v>
      </c>
      <c r="AD163" s="176">
        <v>4</v>
      </c>
      <c r="AE163" s="33">
        <v>0.5</v>
      </c>
      <c r="AF163" s="33">
        <v>0.3</v>
      </c>
      <c r="AG163" s="25" t="str">
        <f>_xlfn.XLOOKUP(F163,'TFS Details'!F:F,'TFS Details'!H:H)</f>
        <v>Test Complete</v>
      </c>
      <c r="AH163" s="44">
        <v>4</v>
      </c>
      <c r="AI163" s="44">
        <v>0</v>
      </c>
      <c r="AJ163" s="44">
        <v>0</v>
      </c>
      <c r="AK163" s="44">
        <v>0</v>
      </c>
      <c r="AL163" s="40">
        <f t="shared" si="23"/>
        <v>4</v>
      </c>
      <c r="AM163" s="41">
        <f t="shared" si="20"/>
        <v>1</v>
      </c>
      <c r="AN163" s="41">
        <f t="shared" si="21"/>
        <v>1</v>
      </c>
      <c r="AO163" s="25"/>
      <c r="AP163" s="25" t="str">
        <f>_xlfn.XLOOKUP(F163,'TFS Details'!F:F,'TFS Details'!I:I)</f>
        <v>Pacemakers</v>
      </c>
      <c r="AQ163" s="25" t="str">
        <f>_xlfn.XLOOKUP(AP163,'TFS Details'!I:I,'TFS Details'!AE:AE)</f>
        <v>sona.job</v>
      </c>
    </row>
    <row r="164" spans="1:43">
      <c r="A164" s="24" t="str">
        <f>_xlfn.XLOOKUP(F164,'TFS Details'!F:F,'TFS Details'!D:D)</f>
        <v>PLD</v>
      </c>
      <c r="B164" s="24" t="str">
        <f>_xlfn.XLOOKUP(F164,'TFS Details'!F:F,'TFS Details'!A:A)</f>
        <v>Year update to 2025-2026 in PLD Cancellation mails</v>
      </c>
      <c r="C164" s="64">
        <f>_xlfn.XLOOKUP(F164,'TFS Details'!F:F,'TFS Details'!E:E)</f>
        <v>4378932</v>
      </c>
      <c r="D164" s="17" t="s">
        <v>22</v>
      </c>
      <c r="E164" s="73" t="s">
        <v>477</v>
      </c>
      <c r="F164" s="121">
        <v>4378933</v>
      </c>
      <c r="G164" s="73" t="s">
        <v>454</v>
      </c>
      <c r="H164" s="197" t="s">
        <v>453</v>
      </c>
      <c r="I164" s="201"/>
      <c r="K164" s="97" t="s">
        <v>18</v>
      </c>
      <c r="L164" s="16" t="s">
        <v>465</v>
      </c>
      <c r="M164" s="16" t="s">
        <v>28</v>
      </c>
      <c r="N164" s="17"/>
      <c r="O164" s="134"/>
      <c r="Q164" s="176"/>
      <c r="R164" s="176"/>
      <c r="S164" s="176"/>
      <c r="T164" s="176"/>
      <c r="W164" s="17" t="s">
        <v>183</v>
      </c>
      <c r="X164" s="17" t="s">
        <v>183</v>
      </c>
      <c r="Y164" s="17" t="s">
        <v>183</v>
      </c>
      <c r="Z164" s="17" t="s">
        <v>183</v>
      </c>
      <c r="AA164" s="176">
        <v>31</v>
      </c>
      <c r="AB164" s="176">
        <v>4</v>
      </c>
      <c r="AC164" s="176">
        <v>4</v>
      </c>
      <c r="AD164" s="176">
        <v>4</v>
      </c>
      <c r="AE164" s="33">
        <v>1</v>
      </c>
      <c r="AF164" s="33">
        <v>0.85</v>
      </c>
      <c r="AG164" s="25" t="str">
        <f>_xlfn.XLOOKUP(F164,'TFS Details'!F:F,'TFS Details'!H:H)</f>
        <v>Test Complete</v>
      </c>
      <c r="AH164" s="44">
        <v>4</v>
      </c>
      <c r="AI164" s="44">
        <v>0</v>
      </c>
      <c r="AJ164" s="44">
        <v>0</v>
      </c>
      <c r="AK164" s="44">
        <v>0</v>
      </c>
      <c r="AL164" s="40">
        <f t="shared" si="23"/>
        <v>4</v>
      </c>
      <c r="AM164" s="41">
        <f t="shared" si="20"/>
        <v>1</v>
      </c>
      <c r="AN164" s="41">
        <f t="shared" si="21"/>
        <v>1</v>
      </c>
      <c r="AO164" s="25"/>
      <c r="AP164" s="25" t="str">
        <f>_xlfn.XLOOKUP(F164,'TFS Details'!F:F,'TFS Details'!I:I)</f>
        <v>DynamicDev</v>
      </c>
      <c r="AQ164" s="25" t="str">
        <f>_xlfn.XLOOKUP(AP164,'TFS Details'!I:I,'TFS Details'!AE:AE)</f>
        <v>sona.job</v>
      </c>
    </row>
    <row r="165" spans="1:43">
      <c r="A165" s="24" t="str">
        <f>_xlfn.XLOOKUP(F165,'TFS Details'!F:F,'TFS Details'!D:D)</f>
        <v>DFD</v>
      </c>
      <c r="B165" s="24" t="str">
        <f>_xlfn.XLOOKUP(F165,'TFS Details'!F:F,'TFS Details'!A:A)</f>
        <v>[DFD Enhancement] Routing logic update for SA and SME types and Copyright year update</v>
      </c>
      <c r="C165" s="64">
        <f>_xlfn.XLOOKUP(F165,'TFS Details'!F:F,'TFS Details'!E:E)</f>
        <v>4328940</v>
      </c>
      <c r="D165" s="17" t="s">
        <v>22</v>
      </c>
      <c r="E165" s="73" t="s">
        <v>478</v>
      </c>
      <c r="F165" s="121">
        <v>4381777</v>
      </c>
      <c r="G165" s="73" t="s">
        <v>441</v>
      </c>
      <c r="H165" s="197" t="s">
        <v>440</v>
      </c>
      <c r="I165" s="201"/>
      <c r="K165" s="97" t="s">
        <v>18</v>
      </c>
      <c r="L165" s="16" t="s">
        <v>479</v>
      </c>
      <c r="M165" s="16" t="s">
        <v>28</v>
      </c>
      <c r="N165" s="17"/>
      <c r="O165" s="134"/>
      <c r="Q165" s="176"/>
      <c r="R165" s="176"/>
      <c r="S165" s="176"/>
      <c r="T165" s="176"/>
      <c r="W165" s="17" t="s">
        <v>183</v>
      </c>
      <c r="X165" s="17" t="s">
        <v>183</v>
      </c>
      <c r="Y165" s="17" t="s">
        <v>183</v>
      </c>
      <c r="Z165" s="17" t="s">
        <v>183</v>
      </c>
      <c r="AA165" s="176">
        <v>63</v>
      </c>
      <c r="AB165" s="176">
        <v>16</v>
      </c>
      <c r="AC165" s="176">
        <v>18</v>
      </c>
      <c r="AD165" s="176">
        <v>18</v>
      </c>
      <c r="AE165" s="33">
        <v>0.88</v>
      </c>
      <c r="AF165" s="33">
        <v>0.8</v>
      </c>
      <c r="AG165" s="25" t="str">
        <f>_xlfn.XLOOKUP(F165,'TFS Details'!F:F,'TFS Details'!H:H)</f>
        <v>Test Complete</v>
      </c>
      <c r="AH165" s="44">
        <v>18</v>
      </c>
      <c r="AI165" s="44">
        <v>0</v>
      </c>
      <c r="AJ165" s="44">
        <v>0</v>
      </c>
      <c r="AK165" s="44">
        <v>0</v>
      </c>
      <c r="AL165" s="40">
        <f t="shared" si="23"/>
        <v>18</v>
      </c>
      <c r="AM165" s="41">
        <f t="shared" si="20"/>
        <v>1</v>
      </c>
      <c r="AN165" s="41">
        <f t="shared" si="21"/>
        <v>1</v>
      </c>
      <c r="AO165" s="25"/>
      <c r="AP165" s="25" t="str">
        <f>_xlfn.XLOOKUP(F165,'TFS Details'!F:F,'TFS Details'!I:I)</f>
        <v>BackDoorGuardians</v>
      </c>
      <c r="AQ165" s="25" t="str">
        <f>_xlfn.XLOOKUP(AP165,'TFS Details'!I:I,'TFS Details'!AE:AE)</f>
        <v>sona.job</v>
      </c>
    </row>
    <row r="166" spans="1:43">
      <c r="A166" s="24" t="str">
        <f>_xlfn.XLOOKUP(F166,'TFS Details'!F:F,'TFS Details'!D:D)</f>
        <v>Advisory SA - SONG</v>
      </c>
      <c r="B166" s="24" t="str">
        <f>_xlfn.XLOOKUP(F166,'TFS Details'!F:F,'TFS Details'!A:A)</f>
        <v>PLD - Advisory SA Role</v>
      </c>
      <c r="C166" s="64">
        <f>_xlfn.XLOOKUP(F166,'TFS Details'!F:F,'TFS Details'!E:E)</f>
        <v>4386527</v>
      </c>
      <c r="D166" s="17" t="s">
        <v>22</v>
      </c>
      <c r="E166" s="73" t="s">
        <v>480</v>
      </c>
      <c r="F166" s="121">
        <v>4387497</v>
      </c>
      <c r="G166" s="73" t="s">
        <v>453</v>
      </c>
      <c r="H166" s="197" t="s">
        <v>454</v>
      </c>
      <c r="I166" s="201"/>
      <c r="K166" s="97" t="s">
        <v>18</v>
      </c>
      <c r="L166" s="16" t="s">
        <v>481</v>
      </c>
      <c r="M166" s="16" t="s">
        <v>64</v>
      </c>
      <c r="N166" s="17"/>
      <c r="O166" s="134"/>
      <c r="Q166" s="176"/>
      <c r="R166" s="176"/>
      <c r="S166" s="176"/>
      <c r="T166" s="176"/>
      <c r="W166" s="17" t="s">
        <v>183</v>
      </c>
      <c r="X166" s="17" t="s">
        <v>183</v>
      </c>
      <c r="Y166" s="17" t="s">
        <v>183</v>
      </c>
      <c r="Z166" s="17" t="s">
        <v>183</v>
      </c>
      <c r="AA166" s="176">
        <v>51</v>
      </c>
      <c r="AB166" s="176">
        <v>10</v>
      </c>
      <c r="AC166" s="176">
        <v>12</v>
      </c>
      <c r="AD166" s="176">
        <v>11</v>
      </c>
      <c r="AE166" s="33">
        <v>0.91</v>
      </c>
      <c r="AF166" s="33">
        <v>0.8</v>
      </c>
      <c r="AG166" s="25" t="str">
        <f>_xlfn.XLOOKUP(F166,'TFS Details'!F:F,'TFS Details'!H:H)</f>
        <v>UAT In Test</v>
      </c>
      <c r="AH166" s="44">
        <v>10</v>
      </c>
      <c r="AI166" s="44">
        <v>0</v>
      </c>
      <c r="AJ166" s="44">
        <v>0</v>
      </c>
      <c r="AK166" s="44">
        <v>0</v>
      </c>
      <c r="AL166" s="40">
        <f t="shared" si="23"/>
        <v>10</v>
      </c>
      <c r="AM166" s="41">
        <f t="shared" si="20"/>
        <v>1</v>
      </c>
      <c r="AN166" s="41">
        <f t="shared" si="21"/>
        <v>1</v>
      </c>
      <c r="AO166" s="25"/>
      <c r="AP166" s="25" t="str">
        <f>_xlfn.XLOOKUP(F166,'TFS Details'!F:F,'TFS Details'!I:I)</f>
        <v>Pacemakers</v>
      </c>
      <c r="AQ166" s="25" t="str">
        <f>_xlfn.XLOOKUP(AP166,'TFS Details'!I:I,'TFS Details'!AE:AE)</f>
        <v>sona.job</v>
      </c>
    </row>
    <row r="167" spans="1:43">
      <c r="A167" s="24" t="str">
        <f>_xlfn.XLOOKUP(F167,'TFS Details'!F:F,'TFS Details'!D:D)</f>
        <v>Advisory SA - SONG</v>
      </c>
      <c r="B167" s="24" t="str">
        <f>_xlfn.XLOOKUP(F167,'TFS Details'!F:F,'TFS Details'!A:A)</f>
        <v>PLD - Advisory SA Role</v>
      </c>
      <c r="C167" s="64">
        <f>_xlfn.XLOOKUP(F167,'TFS Details'!F:F,'TFS Details'!E:E)</f>
        <v>4386527</v>
      </c>
      <c r="D167" s="17" t="s">
        <v>22</v>
      </c>
      <c r="E167" s="73" t="s">
        <v>482</v>
      </c>
      <c r="F167" s="121">
        <v>4387505</v>
      </c>
      <c r="G167" s="73" t="s">
        <v>453</v>
      </c>
      <c r="H167" s="197" t="s">
        <v>454</v>
      </c>
      <c r="I167" s="201"/>
      <c r="K167" s="97" t="s">
        <v>18</v>
      </c>
      <c r="L167" s="16" t="s">
        <v>465</v>
      </c>
      <c r="M167" s="16" t="s">
        <v>28</v>
      </c>
      <c r="N167" s="17"/>
      <c r="O167" s="134"/>
      <c r="Q167" s="176"/>
      <c r="R167" s="176"/>
      <c r="S167" s="176"/>
      <c r="T167" s="176"/>
      <c r="W167" s="17" t="s">
        <v>183</v>
      </c>
      <c r="X167" s="17" t="s">
        <v>183</v>
      </c>
      <c r="Y167" s="17" t="s">
        <v>183</v>
      </c>
      <c r="Z167" s="17" t="s">
        <v>183</v>
      </c>
      <c r="AA167" s="176">
        <v>51</v>
      </c>
      <c r="AB167" s="176">
        <v>12</v>
      </c>
      <c r="AC167" s="176">
        <v>12</v>
      </c>
      <c r="AD167" s="176">
        <v>12</v>
      </c>
      <c r="AE167" s="33">
        <v>1</v>
      </c>
      <c r="AF167" s="33">
        <v>0.8</v>
      </c>
      <c r="AG167" s="25" t="str">
        <f>_xlfn.XLOOKUP(F167,'TFS Details'!F:F,'TFS Details'!H:H)</f>
        <v>UAT In Test</v>
      </c>
      <c r="AH167" s="44">
        <v>12</v>
      </c>
      <c r="AI167" s="44">
        <v>0</v>
      </c>
      <c r="AJ167" s="44">
        <v>0</v>
      </c>
      <c r="AK167" s="44">
        <v>0</v>
      </c>
      <c r="AL167" s="40">
        <f t="shared" si="23"/>
        <v>12</v>
      </c>
      <c r="AM167" s="41">
        <f t="shared" si="20"/>
        <v>1</v>
      </c>
      <c r="AN167" s="41">
        <f t="shared" si="21"/>
        <v>1</v>
      </c>
      <c r="AO167" s="25"/>
      <c r="AP167" s="25" t="str">
        <f>_xlfn.XLOOKUP(F167,'TFS Details'!F:F,'TFS Details'!I:I)</f>
        <v>Pacemakers</v>
      </c>
      <c r="AQ167" s="25" t="str">
        <f>_xlfn.XLOOKUP(AP167,'TFS Details'!I:I,'TFS Details'!AE:AE)</f>
        <v>sona.job</v>
      </c>
    </row>
    <row r="168" spans="1:43">
      <c r="A168" s="24" t="str">
        <f>_xlfn.XLOOKUP(F168,'TFS Details'!F:F,'TFS Details'!D:D)</f>
        <v>Advisory SA - SONG</v>
      </c>
      <c r="B168" s="24" t="str">
        <f>_xlfn.XLOOKUP(F168,'TFS Details'!F:F,'TFS Details'!A:A)</f>
        <v>PLD - Advisory SA Role</v>
      </c>
      <c r="C168" s="64">
        <f>_xlfn.XLOOKUP(F168,'TFS Details'!F:F,'TFS Details'!E:E)</f>
        <v>4386527</v>
      </c>
      <c r="D168" s="17" t="s">
        <v>22</v>
      </c>
      <c r="E168" s="73" t="s">
        <v>483</v>
      </c>
      <c r="F168" s="121">
        <v>4387512</v>
      </c>
      <c r="G168" s="73" t="s">
        <v>431</v>
      </c>
      <c r="H168" s="197" t="s">
        <v>432</v>
      </c>
      <c r="I168" s="201"/>
      <c r="K168" s="97" t="s">
        <v>18</v>
      </c>
      <c r="L168" s="16" t="s">
        <v>484</v>
      </c>
      <c r="M168" s="16" t="s">
        <v>28</v>
      </c>
      <c r="N168" s="17"/>
      <c r="O168" s="134"/>
      <c r="Q168" s="176"/>
      <c r="R168" s="176"/>
      <c r="S168" s="176"/>
      <c r="T168" s="176"/>
      <c r="W168" s="17" t="s">
        <v>183</v>
      </c>
      <c r="X168" s="17" t="s">
        <v>183</v>
      </c>
      <c r="Y168" s="17" t="s">
        <v>183</v>
      </c>
      <c r="Z168" s="17" t="s">
        <v>183</v>
      </c>
      <c r="AA168" s="176">
        <v>44</v>
      </c>
      <c r="AB168" s="176">
        <v>6</v>
      </c>
      <c r="AC168" s="176">
        <v>6</v>
      </c>
      <c r="AD168" s="176">
        <v>6</v>
      </c>
      <c r="AE168" s="33">
        <v>0.9</v>
      </c>
      <c r="AF168" s="33">
        <v>0.8</v>
      </c>
      <c r="AG168" s="25" t="str">
        <f>_xlfn.XLOOKUP(F168,'TFS Details'!F:F,'TFS Details'!H:H)</f>
        <v>UAT In Test</v>
      </c>
      <c r="AH168" s="44">
        <v>6</v>
      </c>
      <c r="AI168" s="44">
        <v>0</v>
      </c>
      <c r="AJ168" s="44">
        <v>0</v>
      </c>
      <c r="AK168" s="44">
        <v>0</v>
      </c>
      <c r="AL168" s="40">
        <f t="shared" si="23"/>
        <v>6</v>
      </c>
      <c r="AM168" s="41">
        <f t="shared" si="20"/>
        <v>1</v>
      </c>
      <c r="AN168" s="41">
        <f t="shared" si="21"/>
        <v>1</v>
      </c>
      <c r="AO168" s="25" t="s">
        <v>434</v>
      </c>
      <c r="AP168" s="25" t="str">
        <f>_xlfn.XLOOKUP(F168,'TFS Details'!F:F,'TFS Details'!I:I)</f>
        <v>Pacemakers</v>
      </c>
      <c r="AQ168" s="25" t="str">
        <f>_xlfn.XLOOKUP(AP168,'TFS Details'!I:I,'TFS Details'!AE:AE)</f>
        <v>sona.job</v>
      </c>
    </row>
    <row r="169" spans="1:43">
      <c r="A169" s="24" t="str">
        <f>_xlfn.XLOOKUP(F169,'TFS Details'!F:F,'TFS Details'!D:D)</f>
        <v>DFD</v>
      </c>
      <c r="B169" s="24" t="str">
        <f>_xlfn.XLOOKUP(F169,'TFS Details'!F:F,'TFS Details'!A:A)</f>
        <v>ESA role rename to Market Maker ESA</v>
      </c>
      <c r="C169" s="64">
        <f>_xlfn.XLOOKUP(F169,'TFS Details'!F:F,'TFS Details'!E:E)</f>
        <v>4384974</v>
      </c>
      <c r="D169" s="17" t="s">
        <v>22</v>
      </c>
      <c r="E169" s="73" t="s">
        <v>485</v>
      </c>
      <c r="F169" s="121">
        <v>4385147</v>
      </c>
      <c r="G169" s="73" t="s">
        <v>440</v>
      </c>
      <c r="H169" s="197" t="s">
        <v>441</v>
      </c>
      <c r="I169" s="201"/>
      <c r="K169" s="97" t="s">
        <v>18</v>
      </c>
      <c r="L169" s="16" t="s">
        <v>470</v>
      </c>
      <c r="M169" s="16" t="s">
        <v>48</v>
      </c>
      <c r="N169" s="17"/>
      <c r="O169" s="134"/>
      <c r="Q169" s="176"/>
      <c r="R169" s="176"/>
      <c r="S169" s="176"/>
      <c r="T169" s="176"/>
      <c r="W169" s="17" t="s">
        <v>183</v>
      </c>
      <c r="X169" s="17" t="s">
        <v>183</v>
      </c>
      <c r="Y169" s="17" t="s">
        <v>183</v>
      </c>
      <c r="Z169" s="17" t="s">
        <v>183</v>
      </c>
      <c r="AA169" s="176">
        <v>25</v>
      </c>
      <c r="AB169" s="176">
        <v>4</v>
      </c>
      <c r="AC169" s="176">
        <v>8</v>
      </c>
      <c r="AD169" s="176">
        <v>8</v>
      </c>
      <c r="AE169" s="33">
        <v>0.5</v>
      </c>
      <c r="AF169" s="33">
        <v>0.6</v>
      </c>
      <c r="AG169" s="25" t="str">
        <f>_xlfn.XLOOKUP(F169,'TFS Details'!F:F,'TFS Details'!H:H)</f>
        <v>UAT In Test</v>
      </c>
      <c r="AH169" s="44">
        <v>8</v>
      </c>
      <c r="AI169" s="44">
        <v>0</v>
      </c>
      <c r="AJ169" s="44">
        <v>0</v>
      </c>
      <c r="AK169" s="44">
        <v>0</v>
      </c>
      <c r="AL169" s="40">
        <f t="shared" si="23"/>
        <v>8</v>
      </c>
      <c r="AM169" s="41">
        <f t="shared" si="20"/>
        <v>1</v>
      </c>
      <c r="AN169" s="41">
        <f t="shared" si="21"/>
        <v>1</v>
      </c>
      <c r="AO169" s="25"/>
      <c r="AP169" s="25" t="str">
        <f>_xlfn.XLOOKUP(F169,'TFS Details'!F:F,'TFS Details'!I:I)</f>
        <v>BackDoorGuardians</v>
      </c>
      <c r="AQ169" s="25" t="str">
        <f>_xlfn.XLOOKUP(AP169,'TFS Details'!I:I,'TFS Details'!AE:AE)</f>
        <v>sona.job</v>
      </c>
    </row>
    <row r="170" spans="1:43">
      <c r="A170" s="24" t="str">
        <f>_xlfn.XLOOKUP(F170,'TFS Details'!F:F,'TFS Details'!D:D)</f>
        <v>PLD</v>
      </c>
      <c r="B170" s="24" t="str">
        <f>_xlfn.XLOOKUP(F170,'TFS Details'!F:F,'TFS Details'!A:A)</f>
        <v>ESA role rename to Market Maker ESA</v>
      </c>
      <c r="C170" s="64">
        <f>_xlfn.XLOOKUP(F170,'TFS Details'!F:F,'TFS Details'!E:E)</f>
        <v>4384974</v>
      </c>
      <c r="D170" s="17" t="s">
        <v>22</v>
      </c>
      <c r="E170" s="73" t="s">
        <v>486</v>
      </c>
      <c r="F170" s="121">
        <v>4386791</v>
      </c>
      <c r="G170" s="73" t="s">
        <v>436</v>
      </c>
      <c r="H170" s="197" t="s">
        <v>437</v>
      </c>
      <c r="I170" s="201"/>
      <c r="K170" s="97" t="s">
        <v>18</v>
      </c>
      <c r="L170" s="16" t="s">
        <v>479</v>
      </c>
      <c r="M170" s="16" t="s">
        <v>28</v>
      </c>
      <c r="N170" s="17"/>
      <c r="O170" s="134"/>
      <c r="Q170" s="176"/>
      <c r="R170" s="176"/>
      <c r="S170" s="176"/>
      <c r="T170" s="176"/>
      <c r="W170" s="17" t="s">
        <v>183</v>
      </c>
      <c r="X170" s="17" t="s">
        <v>183</v>
      </c>
      <c r="Y170" s="17" t="s">
        <v>183</v>
      </c>
      <c r="Z170" s="17" t="s">
        <v>183</v>
      </c>
      <c r="AA170" s="176">
        <v>30</v>
      </c>
      <c r="AB170" s="176">
        <v>9</v>
      </c>
      <c r="AC170" s="176">
        <v>13</v>
      </c>
      <c r="AD170" s="176">
        <v>13</v>
      </c>
      <c r="AE170" s="33">
        <v>0.69</v>
      </c>
      <c r="AF170" s="33">
        <v>0.7</v>
      </c>
      <c r="AG170" s="25" t="str">
        <f>_xlfn.XLOOKUP(F170,'TFS Details'!F:F,'TFS Details'!H:H)</f>
        <v>UAT In Test</v>
      </c>
      <c r="AH170" s="44">
        <v>12</v>
      </c>
      <c r="AI170" s="44">
        <v>0</v>
      </c>
      <c r="AJ170" s="44">
        <v>0</v>
      </c>
      <c r="AK170" s="44">
        <v>0</v>
      </c>
      <c r="AL170" s="40">
        <v>12</v>
      </c>
      <c r="AM170" s="41">
        <f t="shared" si="20"/>
        <v>1</v>
      </c>
      <c r="AN170" s="41">
        <f t="shared" si="21"/>
        <v>1</v>
      </c>
      <c r="AO170" s="25"/>
      <c r="AP170" s="25" t="str">
        <f>_xlfn.XLOOKUP(F170,'TFS Details'!F:F,'TFS Details'!I:I)</f>
        <v>Pacemakers</v>
      </c>
      <c r="AQ170" s="25" t="str">
        <f>_xlfn.XLOOKUP(AP170,'TFS Details'!I:I,'TFS Details'!AE:AE)</f>
        <v>sona.job</v>
      </c>
    </row>
    <row r="171" spans="1:43">
      <c r="A171" s="24" t="str">
        <f>_xlfn.XLOOKUP(F171,'TFS Details'!F:F,'TFS Details'!D:D)</f>
        <v>Market Maker ESA  - status sync</v>
      </c>
      <c r="B171" s="24" t="str">
        <f>_xlfn.XLOOKUP(F171,'TFS Details'!F:F,'TFS Details'!A:A)</f>
        <v>ESA role rename to Market Maker ESA</v>
      </c>
      <c r="C171" s="64">
        <f>_xlfn.XLOOKUP(F171,'TFS Details'!F:F,'TFS Details'!E:E)</f>
        <v>4384974</v>
      </c>
      <c r="D171" s="17" t="s">
        <v>22</v>
      </c>
      <c r="E171" s="73" t="s">
        <v>487</v>
      </c>
      <c r="F171" s="121">
        <v>4387669</v>
      </c>
      <c r="G171" s="73" t="s">
        <v>453</v>
      </c>
      <c r="H171" s="197" t="s">
        <v>454</v>
      </c>
      <c r="I171" s="201"/>
      <c r="K171" s="97" t="s">
        <v>18</v>
      </c>
      <c r="L171" s="16" t="s">
        <v>488</v>
      </c>
      <c r="M171" s="16" t="s">
        <v>48</v>
      </c>
      <c r="N171" s="17"/>
      <c r="O171" s="134"/>
      <c r="Q171" s="176"/>
      <c r="R171" s="176"/>
      <c r="S171" s="176"/>
      <c r="T171" s="176"/>
      <c r="W171" s="17" t="s">
        <v>183</v>
      </c>
      <c r="X171" s="17" t="s">
        <v>183</v>
      </c>
      <c r="Y171" s="17" t="s">
        <v>183</v>
      </c>
      <c r="Z171" s="17" t="s">
        <v>183</v>
      </c>
      <c r="AA171" s="176">
        <v>61</v>
      </c>
      <c r="AB171" s="176">
        <v>18</v>
      </c>
      <c r="AC171" s="176">
        <v>17</v>
      </c>
      <c r="AD171" s="176">
        <v>17</v>
      </c>
      <c r="AE171" s="33">
        <v>0.91</v>
      </c>
      <c r="AF171" s="33">
        <v>0.8</v>
      </c>
      <c r="AG171" s="25" t="str">
        <f>_xlfn.XLOOKUP(F171,'TFS Details'!F:F,'TFS Details'!H:H)</f>
        <v>UAT In Test</v>
      </c>
      <c r="AH171" s="44">
        <v>17</v>
      </c>
      <c r="AI171" s="44">
        <v>0</v>
      </c>
      <c r="AJ171" s="44">
        <v>0</v>
      </c>
      <c r="AK171" s="44">
        <v>0</v>
      </c>
      <c r="AL171" s="40">
        <f t="shared" si="23"/>
        <v>17</v>
      </c>
      <c r="AM171" s="41">
        <f t="shared" si="20"/>
        <v>1</v>
      </c>
      <c r="AN171" s="41">
        <f t="shared" si="21"/>
        <v>1</v>
      </c>
      <c r="AO171" s="25"/>
      <c r="AP171" s="25" t="str">
        <f>_xlfn.XLOOKUP(F171,'TFS Details'!F:F,'TFS Details'!I:I)</f>
        <v>TechPhantoms</v>
      </c>
      <c r="AQ171" s="25" t="str">
        <f>_xlfn.XLOOKUP(AP171,'TFS Details'!I:I,'TFS Details'!AE:AE)</f>
        <v>sowjanya.kari</v>
      </c>
    </row>
    <row r="172" spans="1:43">
      <c r="A172" s="24" t="str">
        <f>_xlfn.XLOOKUP(F172,'TFS Details'!F:F,'TFS Details'!D:D)</f>
        <v>GEN AI</v>
      </c>
      <c r="B172" s="24" t="str">
        <f>_xlfn.XLOOKUP(F172,'TFS Details'!F:F,'TFS Details'!A:A)</f>
        <v>GEN AI Feb Enhancements</v>
      </c>
      <c r="C172" s="64">
        <f>_xlfn.XLOOKUP(F172,'TFS Details'!F:F,'TFS Details'!E:E)</f>
        <v>4319934</v>
      </c>
      <c r="D172" s="17" t="s">
        <v>49</v>
      </c>
      <c r="E172" s="73" t="s">
        <v>489</v>
      </c>
      <c r="F172" s="74">
        <v>4105358</v>
      </c>
      <c r="G172" s="73" t="s">
        <v>490</v>
      </c>
      <c r="H172" s="73" t="s">
        <v>491</v>
      </c>
      <c r="I172" s="73"/>
      <c r="J172" s="73" t="s">
        <v>91</v>
      </c>
      <c r="K172" s="97" t="s">
        <v>18</v>
      </c>
      <c r="L172" s="16" t="s">
        <v>492</v>
      </c>
      <c r="M172" s="16" t="s">
        <v>21</v>
      </c>
      <c r="N172" s="17" t="s">
        <v>182</v>
      </c>
      <c r="O172" s="134"/>
      <c r="Q172" s="176"/>
      <c r="R172" s="176"/>
      <c r="S172" s="176"/>
      <c r="T172" s="176"/>
      <c r="W172" s="17" t="s">
        <v>183</v>
      </c>
      <c r="X172" s="17" t="s">
        <v>183</v>
      </c>
      <c r="Y172" s="17" t="s">
        <v>183</v>
      </c>
      <c r="Z172" s="17" t="s">
        <v>183</v>
      </c>
      <c r="AA172" s="176">
        <v>22</v>
      </c>
      <c r="AB172" s="176">
        <v>6</v>
      </c>
      <c r="AC172" s="176">
        <v>5</v>
      </c>
      <c r="AD172" s="176">
        <v>11</v>
      </c>
      <c r="AE172" s="33">
        <v>0.8</v>
      </c>
      <c r="AF172" s="33">
        <v>0.9</v>
      </c>
      <c r="AG172" s="25" t="str">
        <f>_xlfn.XLOOKUP(F172,'TFS Details'!F:F,'TFS Details'!H:H)</f>
        <v>UAT In Test</v>
      </c>
      <c r="AH172" s="44">
        <v>4</v>
      </c>
      <c r="AI172" s="44">
        <v>0</v>
      </c>
      <c r="AJ172" s="44">
        <v>0</v>
      </c>
      <c r="AK172" s="44">
        <v>0</v>
      </c>
      <c r="AL172" s="40">
        <v>4</v>
      </c>
      <c r="AM172" s="41">
        <f t="shared" si="20"/>
        <v>1</v>
      </c>
      <c r="AN172" s="41">
        <f t="shared" si="21"/>
        <v>1</v>
      </c>
      <c r="AO172" s="25" t="s">
        <v>434</v>
      </c>
      <c r="AP172" s="25" t="str">
        <f>_xlfn.XLOOKUP(F172,'TFS Details'!F:F,'TFS Details'!I:I)</f>
        <v>Code Mavin</v>
      </c>
      <c r="AQ172" s="25" t="str">
        <f>_xlfn.XLOOKUP(AP172,'TFS Details'!I:I,'TFS Details'!AE:AE)</f>
        <v>n.d.krishnakumar</v>
      </c>
    </row>
    <row r="173" spans="1:43">
      <c r="A173" s="24" t="str">
        <f>_xlfn.XLOOKUP(F173,'TFS Details'!F:F,'TFS Details'!D:D)</f>
        <v>Gen AI</v>
      </c>
      <c r="B173" s="24" t="str">
        <f>_xlfn.XLOOKUP(F173,'TFS Details'!F:F,'TFS Details'!A:A)</f>
        <v>March Release DLC Revamp - Gen AI</v>
      </c>
      <c r="C173" s="64">
        <f>_xlfn.XLOOKUP(F173,'TFS Details'!F:F,'TFS Details'!E:E)</f>
        <v>4260380</v>
      </c>
      <c r="D173" s="17" t="s">
        <v>49</v>
      </c>
      <c r="E173" s="73" t="s">
        <v>493</v>
      </c>
      <c r="F173" s="74">
        <v>4260379</v>
      </c>
      <c r="G173" s="73" t="s">
        <v>494</v>
      </c>
      <c r="H173" s="73" t="s">
        <v>495</v>
      </c>
      <c r="I173" s="73"/>
      <c r="J173" s="73" t="s">
        <v>118</v>
      </c>
      <c r="K173" s="17" t="s">
        <v>1</v>
      </c>
      <c r="L173" s="16"/>
      <c r="N173" s="17" t="s">
        <v>182</v>
      </c>
      <c r="O173" s="134"/>
      <c r="P173" s="33">
        <v>1</v>
      </c>
      <c r="Q173" s="176">
        <v>3</v>
      </c>
      <c r="R173" s="176">
        <v>1</v>
      </c>
      <c r="S173" s="176">
        <v>1</v>
      </c>
      <c r="T173" s="176">
        <v>1</v>
      </c>
      <c r="U173" s="33">
        <v>0.95</v>
      </c>
      <c r="V173" s="33">
        <v>0.95</v>
      </c>
      <c r="W173" s="17" t="s">
        <v>183</v>
      </c>
      <c r="X173" s="17" t="s">
        <v>183</v>
      </c>
      <c r="Y173" s="17" t="s">
        <v>183</v>
      </c>
      <c r="Z173" s="17" t="s">
        <v>183</v>
      </c>
      <c r="AA173" s="176">
        <v>30</v>
      </c>
      <c r="AB173" s="176">
        <v>20</v>
      </c>
      <c r="AC173" s="176">
        <v>2</v>
      </c>
      <c r="AD173" s="176">
        <v>10</v>
      </c>
      <c r="AE173" s="33">
        <v>0.7</v>
      </c>
      <c r="AF173" s="33">
        <v>0.6</v>
      </c>
      <c r="AG173" s="25" t="str">
        <f>_xlfn.XLOOKUP(F173,'TFS Details'!F:F,'TFS Details'!H:H)</f>
        <v>UAT In Test</v>
      </c>
      <c r="AH173" s="44">
        <v>10</v>
      </c>
      <c r="AI173" s="44">
        <v>0</v>
      </c>
      <c r="AJ173" s="44">
        <v>0</v>
      </c>
      <c r="AK173" s="44">
        <v>0</v>
      </c>
      <c r="AL173" s="40">
        <f t="shared" ref="AL173:AL179" si="24">SUM(AH173:AK173)</f>
        <v>10</v>
      </c>
      <c r="AM173" s="41">
        <f t="shared" si="20"/>
        <v>1</v>
      </c>
      <c r="AN173" s="41">
        <f t="shared" si="21"/>
        <v>1</v>
      </c>
      <c r="AO173" s="25"/>
      <c r="AP173" s="25" t="str">
        <f>_xlfn.XLOOKUP(F173,'TFS Details'!F:F,'TFS Details'!I:I)</f>
        <v>Code Mavin</v>
      </c>
      <c r="AQ173" s="25" t="str">
        <f>_xlfn.XLOOKUP(AP173,'TFS Details'!I:I,'TFS Details'!AE:AE)</f>
        <v>n.d.krishnakumar</v>
      </c>
    </row>
    <row r="174" spans="1:43">
      <c r="A174" s="24" t="str">
        <f>_xlfn.XLOOKUP(F174,'TFS Details'!F:F,'TFS Details'!D:D)</f>
        <v>Gen AI</v>
      </c>
      <c r="B174" s="24" t="str">
        <f>_xlfn.XLOOKUP(F174,'TFS Details'!F:F,'TFS Details'!A:A)</f>
        <v>March Release DLC Revamp - Gen AI</v>
      </c>
      <c r="C174" s="64">
        <f>_xlfn.XLOOKUP(F174,'TFS Details'!F:F,'TFS Details'!E:E)</f>
        <v>4260380</v>
      </c>
      <c r="D174" s="17" t="s">
        <v>49</v>
      </c>
      <c r="E174" s="73" t="s">
        <v>496</v>
      </c>
      <c r="F174" s="74">
        <v>4265988</v>
      </c>
      <c r="G174" s="73" t="s">
        <v>494</v>
      </c>
      <c r="H174" s="73" t="s">
        <v>495</v>
      </c>
      <c r="I174" s="73"/>
      <c r="J174" s="73" t="s">
        <v>118</v>
      </c>
      <c r="K174" s="17" t="s">
        <v>1</v>
      </c>
      <c r="L174" s="16"/>
      <c r="N174" s="17" t="s">
        <v>182</v>
      </c>
      <c r="O174" s="134"/>
      <c r="P174" s="33">
        <v>1</v>
      </c>
      <c r="Q174" s="176">
        <v>3</v>
      </c>
      <c r="R174" s="176">
        <v>1</v>
      </c>
      <c r="S174" s="176">
        <v>1</v>
      </c>
      <c r="T174" s="176">
        <v>1</v>
      </c>
      <c r="U174" s="33">
        <v>0.95</v>
      </c>
      <c r="V174" s="33">
        <v>0.95</v>
      </c>
      <c r="W174" s="17" t="s">
        <v>183</v>
      </c>
      <c r="X174" s="17" t="s">
        <v>183</v>
      </c>
      <c r="Y174" s="17" t="s">
        <v>183</v>
      </c>
      <c r="Z174" s="17" t="s">
        <v>183</v>
      </c>
      <c r="AA174" s="176">
        <v>20</v>
      </c>
      <c r="AB174" s="176">
        <v>10</v>
      </c>
      <c r="AC174" s="176">
        <v>1</v>
      </c>
      <c r="AD174" s="176">
        <v>6</v>
      </c>
      <c r="AE174" s="33">
        <v>1</v>
      </c>
      <c r="AF174" s="33">
        <v>0.8</v>
      </c>
      <c r="AG174" s="25" t="str">
        <f>_xlfn.XLOOKUP(F174,'TFS Details'!F:F,'TFS Details'!H:H)</f>
        <v>UAT In Test</v>
      </c>
      <c r="AH174" s="44">
        <v>9</v>
      </c>
      <c r="AI174" s="44">
        <v>0</v>
      </c>
      <c r="AJ174" s="44">
        <v>0</v>
      </c>
      <c r="AK174" s="44">
        <v>0</v>
      </c>
      <c r="AL174" s="40">
        <v>9</v>
      </c>
      <c r="AM174" s="41">
        <f t="shared" si="20"/>
        <v>1</v>
      </c>
      <c r="AN174" s="41">
        <f t="shared" si="21"/>
        <v>1</v>
      </c>
      <c r="AO174" s="25"/>
      <c r="AP174" s="25" t="str">
        <f>_xlfn.XLOOKUP(F174,'TFS Details'!F:F,'TFS Details'!I:I)</f>
        <v>Code Mavin</v>
      </c>
      <c r="AQ174" s="25" t="str">
        <f>_xlfn.XLOOKUP(AP174,'TFS Details'!I:I,'TFS Details'!AE:AE)</f>
        <v>n.d.krishnakumar</v>
      </c>
    </row>
    <row r="175" spans="1:43">
      <c r="A175" s="24" t="str">
        <f>_xlfn.XLOOKUP(F175,'TFS Details'!F:F,'TFS Details'!D:D)</f>
        <v>Gen AI</v>
      </c>
      <c r="B175" s="24" t="str">
        <f>_xlfn.XLOOKUP(F175,'TFS Details'!F:F,'TFS Details'!A:A)</f>
        <v>March Release DLC Revamp - Gen AI</v>
      </c>
      <c r="C175" s="64">
        <f>_xlfn.XLOOKUP(F175,'TFS Details'!F:F,'TFS Details'!E:E)</f>
        <v>4260380</v>
      </c>
      <c r="D175" s="17" t="s">
        <v>49</v>
      </c>
      <c r="E175" s="73" t="s">
        <v>497</v>
      </c>
      <c r="F175" s="74">
        <v>4265998</v>
      </c>
      <c r="G175" s="73" t="s">
        <v>494</v>
      </c>
      <c r="H175" s="73" t="s">
        <v>495</v>
      </c>
      <c r="I175" s="73"/>
      <c r="J175" s="73" t="s">
        <v>118</v>
      </c>
      <c r="K175" s="17" t="s">
        <v>1</v>
      </c>
      <c r="L175" s="16"/>
      <c r="N175" s="17" t="s">
        <v>182</v>
      </c>
      <c r="O175" s="134"/>
      <c r="P175" s="33">
        <v>1</v>
      </c>
      <c r="Q175" s="176">
        <v>4</v>
      </c>
      <c r="R175" s="176">
        <v>3</v>
      </c>
      <c r="S175" s="176">
        <v>1</v>
      </c>
      <c r="T175" s="176">
        <v>1</v>
      </c>
      <c r="U175" s="33">
        <v>0.7</v>
      </c>
      <c r="V175" s="33">
        <v>0.6</v>
      </c>
      <c r="W175" s="17" t="s">
        <v>183</v>
      </c>
      <c r="X175" s="17" t="s">
        <v>183</v>
      </c>
      <c r="Y175" s="17" t="s">
        <v>183</v>
      </c>
      <c r="Z175" s="17" t="s">
        <v>183</v>
      </c>
      <c r="AA175" s="176">
        <v>40</v>
      </c>
      <c r="AB175" s="176">
        <v>20</v>
      </c>
      <c r="AC175" s="176">
        <v>2</v>
      </c>
      <c r="AD175" s="176">
        <v>8</v>
      </c>
      <c r="AE175" s="33">
        <v>1</v>
      </c>
      <c r="AF175" s="33">
        <v>0.8</v>
      </c>
      <c r="AG175" s="25" t="str">
        <f>_xlfn.XLOOKUP(F175,'TFS Details'!F:F,'TFS Details'!H:H)</f>
        <v>UAT In Test</v>
      </c>
      <c r="AH175" s="44">
        <v>9</v>
      </c>
      <c r="AI175" s="44">
        <v>0</v>
      </c>
      <c r="AJ175" s="44">
        <v>0</v>
      </c>
      <c r="AK175" s="44">
        <v>0</v>
      </c>
      <c r="AL175" s="40">
        <f t="shared" si="24"/>
        <v>9</v>
      </c>
      <c r="AM175" s="41">
        <f t="shared" si="20"/>
        <v>1</v>
      </c>
      <c r="AN175" s="41">
        <f t="shared" si="21"/>
        <v>1</v>
      </c>
      <c r="AO175" s="25"/>
      <c r="AP175" s="25" t="str">
        <f>_xlfn.XLOOKUP(F175,'TFS Details'!F:F,'TFS Details'!I:I)</f>
        <v>Code Mavin</v>
      </c>
      <c r="AQ175" s="25" t="str">
        <f>_xlfn.XLOOKUP(AP175,'TFS Details'!I:I,'TFS Details'!AE:AE)</f>
        <v>n.d.krishnakumar</v>
      </c>
    </row>
    <row r="176" spans="1:43">
      <c r="A176" s="24" t="str">
        <f>_xlfn.XLOOKUP(F176,'TFS Details'!F:F,'TFS Details'!D:D)</f>
        <v>Gen AI</v>
      </c>
      <c r="B176" s="24" t="str">
        <f>_xlfn.XLOOKUP(F176,'TFS Details'!F:F,'TFS Details'!A:A)</f>
        <v>March Release DLC Revamp - Gen AI</v>
      </c>
      <c r="C176" s="64">
        <f>_xlfn.XLOOKUP(F176,'TFS Details'!F:F,'TFS Details'!E:E)</f>
        <v>4260380</v>
      </c>
      <c r="D176" s="17" t="s">
        <v>49</v>
      </c>
      <c r="E176" s="73" t="s">
        <v>498</v>
      </c>
      <c r="F176" s="74">
        <v>4266022</v>
      </c>
      <c r="G176" s="73" t="s">
        <v>494</v>
      </c>
      <c r="H176" s="73" t="s">
        <v>495</v>
      </c>
      <c r="I176" s="73"/>
      <c r="J176" s="73" t="s">
        <v>118</v>
      </c>
      <c r="K176" s="97" t="s">
        <v>18</v>
      </c>
      <c r="L176" s="16" t="s">
        <v>499</v>
      </c>
      <c r="M176" s="16" t="s">
        <v>48</v>
      </c>
      <c r="N176" s="17"/>
      <c r="O176" s="134"/>
      <c r="Q176" s="176"/>
      <c r="R176" s="176"/>
      <c r="S176" s="176"/>
      <c r="T176" s="176"/>
      <c r="W176" s="17" t="s">
        <v>183</v>
      </c>
      <c r="X176" s="17" t="s">
        <v>183</v>
      </c>
      <c r="Y176" s="17" t="s">
        <v>183</v>
      </c>
      <c r="Z176" s="17" t="s">
        <v>183</v>
      </c>
      <c r="AA176" s="176">
        <v>20</v>
      </c>
      <c r="AB176" s="176">
        <v>10</v>
      </c>
      <c r="AC176" s="176">
        <v>1</v>
      </c>
      <c r="AD176" s="176">
        <v>5</v>
      </c>
      <c r="AE176" s="33">
        <v>0.9</v>
      </c>
      <c r="AF176" s="33">
        <v>0.9</v>
      </c>
      <c r="AG176" s="25" t="str">
        <f>_xlfn.XLOOKUP(F176,'TFS Details'!F:F,'TFS Details'!H:H)</f>
        <v>UAT In Test</v>
      </c>
      <c r="AH176" s="44">
        <v>19</v>
      </c>
      <c r="AI176" s="44">
        <v>2</v>
      </c>
      <c r="AJ176" s="44">
        <v>0</v>
      </c>
      <c r="AK176" s="44">
        <v>0</v>
      </c>
      <c r="AL176" s="40">
        <v>21</v>
      </c>
      <c r="AM176" s="41">
        <f t="shared" si="20"/>
        <v>1</v>
      </c>
      <c r="AN176" s="41">
        <f t="shared" si="21"/>
        <v>0.90476190476190477</v>
      </c>
      <c r="AO176" s="25" t="s">
        <v>500</v>
      </c>
      <c r="AP176" s="25" t="str">
        <f>_xlfn.XLOOKUP(F176,'TFS Details'!F:F,'TFS Details'!I:I)</f>
        <v>Code Mavin</v>
      </c>
      <c r="AQ176" s="25" t="str">
        <f>_xlfn.XLOOKUP(AP176,'TFS Details'!I:I,'TFS Details'!AE:AE)</f>
        <v>n.d.krishnakumar</v>
      </c>
    </row>
    <row r="177" spans="1:43">
      <c r="A177" s="24" t="str">
        <f>_xlfn.XLOOKUP(F177,'TFS Details'!F:F,'TFS Details'!D:D)</f>
        <v>Gen AI</v>
      </c>
      <c r="B177" s="24" t="str">
        <f>_xlfn.XLOOKUP(F177,'TFS Details'!F:F,'TFS Details'!A:A)</f>
        <v>March Release DLC Revamp - Gen AI</v>
      </c>
      <c r="C177" s="64">
        <f>_xlfn.XLOOKUP(F177,'TFS Details'!F:F,'TFS Details'!E:E)</f>
        <v>4260380</v>
      </c>
      <c r="D177" s="17" t="s">
        <v>49</v>
      </c>
      <c r="E177" s="73" t="s">
        <v>501</v>
      </c>
      <c r="F177" s="74">
        <v>4266024</v>
      </c>
      <c r="G177" s="73" t="s">
        <v>494</v>
      </c>
      <c r="H177" s="73" t="s">
        <v>495</v>
      </c>
      <c r="I177" s="73"/>
      <c r="J177" s="73" t="s">
        <v>118</v>
      </c>
      <c r="K177" s="17" t="s">
        <v>1</v>
      </c>
      <c r="L177" s="16"/>
      <c r="N177" s="97" t="s">
        <v>182</v>
      </c>
      <c r="O177" s="134"/>
      <c r="P177" s="33">
        <v>1</v>
      </c>
      <c r="Q177" s="176">
        <v>8</v>
      </c>
      <c r="R177" s="176">
        <v>3</v>
      </c>
      <c r="S177" s="176">
        <v>5</v>
      </c>
      <c r="T177" s="176">
        <v>8</v>
      </c>
      <c r="U177" s="33">
        <v>0.45</v>
      </c>
      <c r="V177" s="33">
        <v>0.45</v>
      </c>
      <c r="W177" s="17" t="s">
        <v>183</v>
      </c>
      <c r="X177" s="17" t="s">
        <v>183</v>
      </c>
      <c r="Y177" s="17" t="s">
        <v>183</v>
      </c>
      <c r="Z177" s="17" t="s">
        <v>183</v>
      </c>
      <c r="AA177" s="176">
        <v>40</v>
      </c>
      <c r="AB177" s="176">
        <v>20</v>
      </c>
      <c r="AC177" s="176">
        <v>2</v>
      </c>
      <c r="AD177" s="176">
        <v>10</v>
      </c>
      <c r="AE177" s="33">
        <v>1</v>
      </c>
      <c r="AF177" s="33">
        <v>0.8</v>
      </c>
      <c r="AG177" s="25" t="str">
        <f>_xlfn.XLOOKUP(F177,'TFS Details'!F:F,'TFS Details'!H:H)</f>
        <v>UAT In Test</v>
      </c>
      <c r="AH177" s="44">
        <v>11</v>
      </c>
      <c r="AI177" s="44">
        <v>0</v>
      </c>
      <c r="AJ177" s="44">
        <v>0</v>
      </c>
      <c r="AK177" s="44">
        <v>0</v>
      </c>
      <c r="AL177" s="40">
        <f t="shared" si="24"/>
        <v>11</v>
      </c>
      <c r="AM177" s="41">
        <f t="shared" si="20"/>
        <v>1</v>
      </c>
      <c r="AN177" s="41">
        <f t="shared" si="21"/>
        <v>1</v>
      </c>
      <c r="AO177" s="25"/>
      <c r="AP177" s="25" t="str">
        <f>_xlfn.XLOOKUP(F177,'TFS Details'!F:F,'TFS Details'!I:I)</f>
        <v>Code Mavin</v>
      </c>
      <c r="AQ177" s="25" t="str">
        <f>_xlfn.XLOOKUP(AP177,'TFS Details'!I:I,'TFS Details'!AE:AE)</f>
        <v>n.d.krishnakumar</v>
      </c>
    </row>
    <row r="178" spans="1:43">
      <c r="A178" s="24" t="str">
        <f>_xlfn.XLOOKUP(F178,'TFS Details'!F:F,'TFS Details'!D:D)</f>
        <v>Gen AI</v>
      </c>
      <c r="B178" s="24" t="str">
        <f>_xlfn.XLOOKUP(F178,'TFS Details'!F:F,'TFS Details'!A:A)</f>
        <v>March Release DLC Revamp - Gen AI</v>
      </c>
      <c r="C178" s="64">
        <f>_xlfn.XLOOKUP(F178,'TFS Details'!F:F,'TFS Details'!E:E)</f>
        <v>4260380</v>
      </c>
      <c r="D178" s="17" t="s">
        <v>49</v>
      </c>
      <c r="E178" s="73" t="s">
        <v>502</v>
      </c>
      <c r="F178" s="74">
        <v>4267005</v>
      </c>
      <c r="G178" s="73" t="s">
        <v>494</v>
      </c>
      <c r="H178" s="73" t="s">
        <v>495</v>
      </c>
      <c r="I178" s="73"/>
      <c r="J178" s="73" t="s">
        <v>118</v>
      </c>
      <c r="K178" s="97" t="s">
        <v>18</v>
      </c>
      <c r="L178" s="16" t="s">
        <v>499</v>
      </c>
      <c r="M178" s="16" t="s">
        <v>48</v>
      </c>
      <c r="N178" s="17" t="s">
        <v>182</v>
      </c>
      <c r="O178" s="134"/>
      <c r="Q178" s="176"/>
      <c r="R178" s="176"/>
      <c r="S178" s="176"/>
      <c r="T178" s="176"/>
      <c r="W178" s="17" t="s">
        <v>183</v>
      </c>
      <c r="X178" s="17" t="s">
        <v>183</v>
      </c>
      <c r="Y178" s="17" t="s">
        <v>183</v>
      </c>
      <c r="Z178" s="17" t="s">
        <v>183</v>
      </c>
      <c r="AA178" s="176">
        <v>20</v>
      </c>
      <c r="AB178" s="176">
        <v>10</v>
      </c>
      <c r="AC178" s="176">
        <v>1</v>
      </c>
      <c r="AD178" s="176">
        <v>5</v>
      </c>
      <c r="AE178" s="33">
        <v>0.9</v>
      </c>
      <c r="AF178" s="33">
        <v>0.9</v>
      </c>
      <c r="AG178" s="25" t="str">
        <f>_xlfn.XLOOKUP(F178,'TFS Details'!F:F,'TFS Details'!H:H)</f>
        <v>UAT In Test</v>
      </c>
      <c r="AH178" s="44">
        <v>18</v>
      </c>
      <c r="AI178" s="44">
        <v>2</v>
      </c>
      <c r="AJ178" s="44">
        <v>0</v>
      </c>
      <c r="AK178" s="44">
        <v>0</v>
      </c>
      <c r="AL178" s="40">
        <v>20</v>
      </c>
      <c r="AM178" s="41">
        <f t="shared" si="20"/>
        <v>1</v>
      </c>
      <c r="AN178" s="41">
        <f t="shared" si="21"/>
        <v>0.9</v>
      </c>
      <c r="AO178" s="25" t="s">
        <v>503</v>
      </c>
      <c r="AP178" s="25" t="str">
        <f>_xlfn.XLOOKUP(F178,'TFS Details'!F:F,'TFS Details'!I:I)</f>
        <v>Code Mavin</v>
      </c>
      <c r="AQ178" s="25" t="str">
        <f>_xlfn.XLOOKUP(AP178,'TFS Details'!I:I,'TFS Details'!AE:AE)</f>
        <v>n.d.krishnakumar</v>
      </c>
    </row>
    <row r="179" spans="1:43">
      <c r="A179" s="24" t="str">
        <f>_xlfn.XLOOKUP(F179,'TFS Details'!F:F,'TFS Details'!D:D)</f>
        <v>Gen AI</v>
      </c>
      <c r="B179" s="24" t="str">
        <f>_xlfn.XLOOKUP(F179,'TFS Details'!F:F,'TFS Details'!A:A)</f>
        <v>March Release DLC Revamp - Gen AI</v>
      </c>
      <c r="C179" s="64">
        <f>_xlfn.XLOOKUP(F179,'TFS Details'!F:F,'TFS Details'!E:E)</f>
        <v>4260380</v>
      </c>
      <c r="D179" s="17" t="s">
        <v>49</v>
      </c>
      <c r="E179" s="73" t="s">
        <v>504</v>
      </c>
      <c r="F179" s="74">
        <v>4267410</v>
      </c>
      <c r="G179" s="73" t="s">
        <v>505</v>
      </c>
      <c r="H179" s="73" t="s">
        <v>506</v>
      </c>
      <c r="I179" s="73"/>
      <c r="J179" s="73" t="s">
        <v>108</v>
      </c>
      <c r="K179" s="97" t="s">
        <v>18</v>
      </c>
      <c r="L179" s="173" t="s">
        <v>507</v>
      </c>
      <c r="M179" s="16" t="s">
        <v>21</v>
      </c>
      <c r="N179" s="17"/>
      <c r="O179" s="134"/>
      <c r="Q179" s="176"/>
      <c r="R179" s="176"/>
      <c r="S179" s="176"/>
      <c r="T179" s="176"/>
      <c r="W179" s="17" t="s">
        <v>183</v>
      </c>
      <c r="X179" s="17" t="s">
        <v>183</v>
      </c>
      <c r="Y179" s="17" t="s">
        <v>183</v>
      </c>
      <c r="Z179" s="17" t="s">
        <v>183</v>
      </c>
      <c r="AA179" s="176">
        <v>80</v>
      </c>
      <c r="AB179" s="176">
        <v>28</v>
      </c>
      <c r="AC179" s="176">
        <v>0</v>
      </c>
      <c r="AD179" s="176">
        <v>28</v>
      </c>
      <c r="AE179" s="33">
        <v>0.7</v>
      </c>
      <c r="AF179" s="33">
        <v>0.6</v>
      </c>
      <c r="AG179" s="25" t="str">
        <f>_xlfn.XLOOKUP(F179,'TFS Details'!F:F,'TFS Details'!H:H)</f>
        <v>UAT In Test</v>
      </c>
      <c r="AH179" s="44">
        <v>28</v>
      </c>
      <c r="AI179" s="44">
        <v>0</v>
      </c>
      <c r="AJ179" s="44">
        <v>0</v>
      </c>
      <c r="AK179" s="44">
        <v>0</v>
      </c>
      <c r="AL179" s="40">
        <f t="shared" si="24"/>
        <v>28</v>
      </c>
      <c r="AM179" s="41">
        <f t="shared" si="20"/>
        <v>1</v>
      </c>
      <c r="AN179" s="41">
        <f t="shared" si="21"/>
        <v>1</v>
      </c>
      <c r="AO179" s="25"/>
      <c r="AP179" s="25" t="str">
        <f>_xlfn.XLOOKUP(F179,'TFS Details'!F:F,'TFS Details'!I:I)</f>
        <v>Code Mavin</v>
      </c>
      <c r="AQ179" s="25" t="str">
        <f>_xlfn.XLOOKUP(AP179,'TFS Details'!I:I,'TFS Details'!AE:AE)</f>
        <v>n.d.krishnakumar</v>
      </c>
    </row>
    <row r="180" spans="1:43">
      <c r="A180" s="24" t="str">
        <f>_xlfn.XLOOKUP(F180,'TFS Details'!F:F,'TFS Details'!D:D)</f>
        <v>Gen AI</v>
      </c>
      <c r="B180" s="24" t="str">
        <f>_xlfn.XLOOKUP(F180,'TFS Details'!F:F,'TFS Details'!A:A)</f>
        <v>March Release DLC Revamp - Gen AI</v>
      </c>
      <c r="C180" s="64">
        <f>_xlfn.XLOOKUP(F180,'TFS Details'!F:F,'TFS Details'!E:E)</f>
        <v>4260380</v>
      </c>
      <c r="D180" s="17" t="s">
        <v>49</v>
      </c>
      <c r="E180" s="73" t="s">
        <v>508</v>
      </c>
      <c r="F180" s="74">
        <v>4267715</v>
      </c>
      <c r="G180" s="73" t="s">
        <v>505</v>
      </c>
      <c r="H180" s="73" t="s">
        <v>506</v>
      </c>
      <c r="I180" s="73"/>
      <c r="J180" s="73" t="s">
        <v>108</v>
      </c>
      <c r="K180" s="97" t="s">
        <v>18</v>
      </c>
      <c r="L180" s="173" t="s">
        <v>507</v>
      </c>
      <c r="M180" s="16" t="s">
        <v>21</v>
      </c>
      <c r="N180" s="17"/>
      <c r="O180" s="134"/>
      <c r="Q180" s="176"/>
      <c r="R180" s="176"/>
      <c r="S180" s="176"/>
      <c r="T180" s="176"/>
      <c r="W180" s="17" t="s">
        <v>183</v>
      </c>
      <c r="X180" s="17" t="s">
        <v>183</v>
      </c>
      <c r="Y180" s="17" t="s">
        <v>183</v>
      </c>
      <c r="Z180" s="17" t="s">
        <v>183</v>
      </c>
      <c r="AA180" s="176">
        <v>100</v>
      </c>
      <c r="AB180" s="176">
        <v>34</v>
      </c>
      <c r="AC180" s="176">
        <v>0</v>
      </c>
      <c r="AD180" s="176">
        <v>34</v>
      </c>
      <c r="AE180" s="33">
        <v>0.8</v>
      </c>
      <c r="AF180" s="33">
        <v>0.7</v>
      </c>
      <c r="AG180" s="25" t="str">
        <f>_xlfn.XLOOKUP(F180,'TFS Details'!F:F,'TFS Details'!H:H)</f>
        <v>UAT In Test</v>
      </c>
      <c r="AH180" s="44">
        <v>34</v>
      </c>
      <c r="AI180" s="44">
        <v>0</v>
      </c>
      <c r="AJ180" s="44">
        <v>0</v>
      </c>
      <c r="AK180" s="44">
        <v>0</v>
      </c>
      <c r="AL180" s="40">
        <v>34</v>
      </c>
      <c r="AM180" s="41">
        <f t="shared" si="20"/>
        <v>1</v>
      </c>
      <c r="AN180" s="41">
        <f t="shared" si="21"/>
        <v>1</v>
      </c>
      <c r="AO180" s="25"/>
      <c r="AP180" s="25" t="str">
        <f>_xlfn.XLOOKUP(F180,'TFS Details'!F:F,'TFS Details'!I:I)</f>
        <v>Code Mavin</v>
      </c>
      <c r="AQ180" s="25" t="str">
        <f>_xlfn.XLOOKUP(AP180,'TFS Details'!I:I,'TFS Details'!AE:AE)</f>
        <v>n.d.krishnakumar</v>
      </c>
    </row>
    <row r="181" spans="1:43">
      <c r="A181" s="24" t="str">
        <f>_xlfn.XLOOKUP(F181,'TFS Details'!F:F,'TFS Details'!D:D)</f>
        <v>GEN AI</v>
      </c>
      <c r="B181" s="24" t="str">
        <f>_xlfn.XLOOKUP(F181,'TFS Details'!F:F,'TFS Details'!A:A)</f>
        <v>GEN AI March Enhancements</v>
      </c>
      <c r="C181" s="64">
        <f>_xlfn.XLOOKUP(F181,'TFS Details'!F:F,'TFS Details'!E:E)</f>
        <v>4319932</v>
      </c>
      <c r="D181" s="17" t="s">
        <v>49</v>
      </c>
      <c r="E181" s="73" t="s">
        <v>509</v>
      </c>
      <c r="F181" s="74">
        <v>4228339</v>
      </c>
      <c r="G181" s="73" t="s">
        <v>490</v>
      </c>
      <c r="H181" s="73" t="s">
        <v>491</v>
      </c>
      <c r="I181" s="73"/>
      <c r="J181" s="73" t="s">
        <v>91</v>
      </c>
      <c r="K181" s="17" t="s">
        <v>1</v>
      </c>
      <c r="L181" s="16"/>
      <c r="N181" s="97" t="s">
        <v>182</v>
      </c>
      <c r="O181" s="134">
        <v>4</v>
      </c>
      <c r="P181" s="33">
        <v>1</v>
      </c>
      <c r="Q181" s="176">
        <v>5</v>
      </c>
      <c r="R181" s="176">
        <v>1</v>
      </c>
      <c r="S181" s="176">
        <v>0</v>
      </c>
      <c r="T181" s="176">
        <v>1</v>
      </c>
      <c r="U181" s="33">
        <v>0.5</v>
      </c>
      <c r="V181" s="33">
        <v>0.5</v>
      </c>
      <c r="W181" s="17" t="s">
        <v>183</v>
      </c>
      <c r="X181" s="17" t="s">
        <v>183</v>
      </c>
      <c r="Y181" s="17" t="s">
        <v>183</v>
      </c>
      <c r="Z181" s="17" t="s">
        <v>183</v>
      </c>
      <c r="AA181" s="176">
        <v>24</v>
      </c>
      <c r="AB181" s="176">
        <v>7</v>
      </c>
      <c r="AC181" s="176">
        <v>2</v>
      </c>
      <c r="AD181" s="176">
        <v>9</v>
      </c>
      <c r="AE181" s="33">
        <v>0.8</v>
      </c>
      <c r="AF181" s="33">
        <v>0.9</v>
      </c>
      <c r="AG181" s="25" t="str">
        <f>_xlfn.XLOOKUP(F181,'TFS Details'!F:F,'TFS Details'!H:H)</f>
        <v>UAT In Test</v>
      </c>
      <c r="AH181" s="44">
        <v>9</v>
      </c>
      <c r="AI181" s="44">
        <v>0</v>
      </c>
      <c r="AJ181" s="44">
        <v>0</v>
      </c>
      <c r="AK181" s="44">
        <v>0</v>
      </c>
      <c r="AL181" s="40">
        <v>9</v>
      </c>
      <c r="AM181" s="41">
        <f t="shared" si="20"/>
        <v>1</v>
      </c>
      <c r="AN181" s="41">
        <f t="shared" si="21"/>
        <v>1</v>
      </c>
      <c r="AO181" s="25" t="s">
        <v>510</v>
      </c>
      <c r="AP181" s="25" t="str">
        <f>_xlfn.XLOOKUP(F181,'TFS Details'!F:F,'TFS Details'!I:I)</f>
        <v>Code Mavin</v>
      </c>
      <c r="AQ181" s="25" t="str">
        <f>_xlfn.XLOOKUP(AP181,'TFS Details'!I:I,'TFS Details'!AE:AE)</f>
        <v>n.d.krishnakumar</v>
      </c>
    </row>
    <row r="182" spans="1:43">
      <c r="A182" s="24" t="str">
        <f>_xlfn.XLOOKUP(F182,'TFS Details'!F:F,'TFS Details'!D:D)</f>
        <v>GEN AI</v>
      </c>
      <c r="B182" s="24" t="str">
        <f>_xlfn.XLOOKUP(F182,'TFS Details'!F:F,'TFS Details'!A:A)</f>
        <v>Retrospective Learnings - Opportunity Benchmarks</v>
      </c>
      <c r="C182" s="64">
        <f>_xlfn.XLOOKUP(F182,'TFS Details'!F:F,'TFS Details'!E:E)</f>
        <v>4223629</v>
      </c>
      <c r="D182" s="17" t="s">
        <v>49</v>
      </c>
      <c r="E182" s="73" t="s">
        <v>511</v>
      </c>
      <c r="F182" s="74">
        <v>4147643</v>
      </c>
      <c r="G182" s="73" t="s">
        <v>495</v>
      </c>
      <c r="H182" s="73" t="s">
        <v>494</v>
      </c>
      <c r="I182" s="73"/>
      <c r="J182" s="73" t="s">
        <v>512</v>
      </c>
      <c r="K182" s="97" t="s">
        <v>18</v>
      </c>
      <c r="L182" s="16" t="s">
        <v>513</v>
      </c>
      <c r="M182" s="16" t="s">
        <v>61</v>
      </c>
      <c r="N182" s="17" t="s">
        <v>191</v>
      </c>
      <c r="O182" s="134"/>
      <c r="Q182" s="176"/>
      <c r="R182" s="176"/>
      <c r="S182" s="176"/>
      <c r="T182" s="176"/>
      <c r="W182" s="17" t="s">
        <v>183</v>
      </c>
      <c r="X182" s="17" t="s">
        <v>183</v>
      </c>
      <c r="Y182" s="17" t="s">
        <v>183</v>
      </c>
      <c r="Z182" s="17" t="s">
        <v>183</v>
      </c>
      <c r="AA182" s="176" t="s">
        <v>514</v>
      </c>
      <c r="AB182" s="176" t="s">
        <v>515</v>
      </c>
      <c r="AC182" s="176" t="s">
        <v>516</v>
      </c>
      <c r="AD182" s="176" t="s">
        <v>517</v>
      </c>
      <c r="AE182" s="33">
        <v>0.1</v>
      </c>
      <c r="AF182" s="199" t="s">
        <v>518</v>
      </c>
      <c r="AG182" s="25" t="str">
        <f>_xlfn.XLOOKUP(F182,'TFS Details'!F:F,'TFS Details'!H:H)</f>
        <v>UAT In Test</v>
      </c>
      <c r="AH182" s="44">
        <v>8</v>
      </c>
      <c r="AI182" s="44">
        <v>0</v>
      </c>
      <c r="AJ182" s="44">
        <v>0</v>
      </c>
      <c r="AK182" s="44">
        <v>0</v>
      </c>
      <c r="AL182" s="40">
        <f t="shared" ref="AL182:AL212" si="25">SUM(AH182:AK182)</f>
        <v>8</v>
      </c>
      <c r="AM182" s="41">
        <f t="shared" si="20"/>
        <v>1</v>
      </c>
      <c r="AN182" s="41">
        <f t="shared" si="21"/>
        <v>1</v>
      </c>
      <c r="AO182" s="25" t="s">
        <v>519</v>
      </c>
      <c r="AP182" s="25" t="str">
        <f>_xlfn.XLOOKUP(F182,'TFS Details'!F:F,'TFS Details'!I:I)</f>
        <v>GEN AI - Solution Super Agent</v>
      </c>
      <c r="AQ182" s="25" t="str">
        <f>_xlfn.XLOOKUP(AP182,'TFS Details'!I:I,'TFS Details'!AE:AE)</f>
        <v>pandidurai.ks</v>
      </c>
    </row>
    <row r="183" spans="1:43">
      <c r="A183" s="24" t="str">
        <f>_xlfn.XLOOKUP(F183,'TFS Details'!F:F,'TFS Details'!D:D)</f>
        <v>GEN AI</v>
      </c>
      <c r="B183" s="24" t="str">
        <f>_xlfn.XLOOKUP(F183,'TFS Details'!F:F,'TFS Details'!A:A)</f>
        <v>Retrospective Learnings - Opportunity Benchmarks</v>
      </c>
      <c r="C183" s="64">
        <f>_xlfn.XLOOKUP(F183,'TFS Details'!F:F,'TFS Details'!E:E)</f>
        <v>4223629</v>
      </c>
      <c r="D183" s="17" t="s">
        <v>49</v>
      </c>
      <c r="E183" s="73" t="s">
        <v>520</v>
      </c>
      <c r="F183" s="74">
        <v>4240160</v>
      </c>
      <c r="G183" s="73" t="s">
        <v>495</v>
      </c>
      <c r="H183" s="73" t="s">
        <v>494</v>
      </c>
      <c r="I183" s="73"/>
      <c r="J183" s="73" t="s">
        <v>512</v>
      </c>
      <c r="K183" s="97" t="s">
        <v>18</v>
      </c>
      <c r="L183" s="16" t="s">
        <v>513</v>
      </c>
      <c r="M183" s="16" t="s">
        <v>61</v>
      </c>
      <c r="N183" s="17" t="s">
        <v>191</v>
      </c>
      <c r="O183" s="134"/>
      <c r="Q183" s="176"/>
      <c r="R183" s="176"/>
      <c r="S183" s="176"/>
      <c r="T183" s="176"/>
      <c r="W183" s="17" t="s">
        <v>183</v>
      </c>
      <c r="X183" s="17" t="s">
        <v>183</v>
      </c>
      <c r="Y183" s="17" t="s">
        <v>183</v>
      </c>
      <c r="Z183" s="17" t="s">
        <v>183</v>
      </c>
      <c r="AA183" s="176" t="s">
        <v>521</v>
      </c>
      <c r="AB183" s="176" t="s">
        <v>522</v>
      </c>
      <c r="AC183" s="176" t="s">
        <v>523</v>
      </c>
      <c r="AD183" s="176" t="s">
        <v>524</v>
      </c>
      <c r="AE183" s="33">
        <v>0.1</v>
      </c>
      <c r="AF183" s="199" t="s">
        <v>518</v>
      </c>
      <c r="AG183" s="25" t="str">
        <f>_xlfn.XLOOKUP(F183,'TFS Details'!F:F,'TFS Details'!H:H)</f>
        <v>UAT In Test</v>
      </c>
      <c r="AH183" s="44">
        <v>12</v>
      </c>
      <c r="AI183" s="44">
        <v>0</v>
      </c>
      <c r="AJ183" s="44">
        <v>0</v>
      </c>
      <c r="AK183" s="44">
        <v>0</v>
      </c>
      <c r="AL183" s="40">
        <f t="shared" si="25"/>
        <v>12</v>
      </c>
      <c r="AM183" s="41">
        <f t="shared" si="20"/>
        <v>1</v>
      </c>
      <c r="AN183" s="41">
        <f t="shared" si="21"/>
        <v>1</v>
      </c>
      <c r="AO183" s="25" t="s">
        <v>519</v>
      </c>
      <c r="AP183" s="25" t="str">
        <f>_xlfn.XLOOKUP(F183,'TFS Details'!F:F,'TFS Details'!I:I)</f>
        <v>GEN AI - Solution Super Agent</v>
      </c>
      <c r="AQ183" s="25" t="str">
        <f>_xlfn.XLOOKUP(AP183,'TFS Details'!I:I,'TFS Details'!AE:AE)</f>
        <v>pandidurai.ks</v>
      </c>
    </row>
    <row r="184" spans="1:43">
      <c r="A184" s="24" t="str">
        <f>_xlfn.XLOOKUP(F184,'TFS Details'!F:F,'TFS Details'!D:D)</f>
        <v xml:space="preserve">Gen AI </v>
      </c>
      <c r="B184" s="24" t="str">
        <f>_xlfn.XLOOKUP(F184,'TFS Details'!F:F,'TFS Details'!A:A)</f>
        <v>[Gen AI - SSA] - Enhancement of SSA Agent info. pane.</v>
      </c>
      <c r="C184" s="64">
        <f>_xlfn.XLOOKUP(F184,'TFS Details'!F:F,'TFS Details'!E:E)</f>
        <v>4372101</v>
      </c>
      <c r="D184" s="17" t="s">
        <v>49</v>
      </c>
      <c r="E184" s="73" t="s">
        <v>525</v>
      </c>
      <c r="F184" s="74">
        <v>4271339</v>
      </c>
      <c r="G184" s="73" t="s">
        <v>526</v>
      </c>
      <c r="H184" s="73" t="s">
        <v>527</v>
      </c>
      <c r="I184" s="73"/>
      <c r="J184" s="73" t="s">
        <v>114</v>
      </c>
      <c r="K184" s="97" t="s">
        <v>18</v>
      </c>
      <c r="L184" s="16" t="s">
        <v>528</v>
      </c>
      <c r="M184" s="16" t="s">
        <v>72</v>
      </c>
      <c r="N184" s="17" t="s">
        <v>191</v>
      </c>
      <c r="O184" s="134"/>
      <c r="Q184" s="176"/>
      <c r="R184" s="176"/>
      <c r="S184" s="176"/>
      <c r="T184" s="176"/>
      <c r="W184" s="17" t="s">
        <v>183</v>
      </c>
      <c r="X184" s="17" t="s">
        <v>183</v>
      </c>
      <c r="Y184" s="17" t="s">
        <v>183</v>
      </c>
      <c r="Z184" s="17" t="s">
        <v>183</v>
      </c>
      <c r="AA184" s="176">
        <v>40</v>
      </c>
      <c r="AB184" s="176">
        <v>18</v>
      </c>
      <c r="AC184" s="176">
        <v>0</v>
      </c>
      <c r="AD184" s="176">
        <v>36</v>
      </c>
      <c r="AE184" s="33">
        <v>0.9</v>
      </c>
      <c r="AF184" s="33">
        <v>0.9</v>
      </c>
      <c r="AG184" s="25" t="str">
        <f>_xlfn.XLOOKUP(F184,'TFS Details'!F:F,'TFS Details'!H:H)</f>
        <v>UAT In Test</v>
      </c>
      <c r="AH184" s="44">
        <v>18</v>
      </c>
      <c r="AI184" s="44">
        <v>0</v>
      </c>
      <c r="AJ184" s="44">
        <v>0</v>
      </c>
      <c r="AK184" s="44">
        <v>0</v>
      </c>
      <c r="AL184" s="40">
        <f t="shared" si="25"/>
        <v>18</v>
      </c>
      <c r="AM184" s="41">
        <f t="shared" si="20"/>
        <v>1</v>
      </c>
      <c r="AN184" s="41">
        <f t="shared" si="21"/>
        <v>1</v>
      </c>
      <c r="AO184" s="25"/>
      <c r="AP184" s="25" t="str">
        <f>_xlfn.XLOOKUP(F184,'TFS Details'!F:F,'TFS Details'!I:I)</f>
        <v>GEN AI - Solution Super Agent</v>
      </c>
      <c r="AQ184" s="25" t="str">
        <f>_xlfn.XLOOKUP(AP184,'TFS Details'!I:I,'TFS Details'!AE:AE)</f>
        <v>pandidurai.ks</v>
      </c>
    </row>
    <row r="185" spans="1:43">
      <c r="A185" s="24" t="str">
        <f>_xlfn.XLOOKUP(F185,'TFS Details'!F:F,'TFS Details'!D:D)</f>
        <v>Solution Super Agent</v>
      </c>
      <c r="B185" s="24" t="str">
        <f>_xlfn.XLOOKUP(F185,'TFS Details'!F:F,'TFS Details'!A:A)</f>
        <v>[Gen AI - SSA] - Span of Search</v>
      </c>
      <c r="C185" s="64">
        <f>_xlfn.XLOOKUP(F185,'TFS Details'!F:F,'TFS Details'!E:E)</f>
        <v>4357664</v>
      </c>
      <c r="D185" s="17" t="s">
        <v>49</v>
      </c>
      <c r="E185" s="73" t="s">
        <v>529</v>
      </c>
      <c r="F185" s="74">
        <v>4358867</v>
      </c>
      <c r="G185" s="73" t="s">
        <v>526</v>
      </c>
      <c r="H185" s="73" t="s">
        <v>527</v>
      </c>
      <c r="I185" s="73"/>
      <c r="J185" s="73" t="s">
        <v>114</v>
      </c>
      <c r="K185" s="17" t="s">
        <v>1</v>
      </c>
      <c r="L185" s="16"/>
      <c r="N185" s="17" t="s">
        <v>182</v>
      </c>
      <c r="O185" s="134">
        <v>3</v>
      </c>
      <c r="P185" s="33">
        <v>1</v>
      </c>
      <c r="Q185" s="176">
        <v>3</v>
      </c>
      <c r="R185" s="176">
        <v>1</v>
      </c>
      <c r="S185" s="176">
        <v>1</v>
      </c>
      <c r="T185" s="176">
        <v>1</v>
      </c>
      <c r="U185" s="33">
        <v>0.7</v>
      </c>
      <c r="V185" s="33">
        <v>0.7</v>
      </c>
      <c r="W185" s="17" t="s">
        <v>183</v>
      </c>
      <c r="X185" s="17" t="s">
        <v>183</v>
      </c>
      <c r="Y185" s="17" t="s">
        <v>183</v>
      </c>
      <c r="Z185" s="17" t="s">
        <v>183</v>
      </c>
      <c r="AA185" s="176">
        <v>40</v>
      </c>
      <c r="AB185" s="176">
        <v>13</v>
      </c>
      <c r="AC185" s="176">
        <v>4</v>
      </c>
      <c r="AD185" s="176">
        <v>17</v>
      </c>
      <c r="AE185" s="33">
        <v>0.7</v>
      </c>
      <c r="AF185" s="33">
        <v>0.6</v>
      </c>
      <c r="AG185" s="25" t="str">
        <f>_xlfn.XLOOKUP(F185,'TFS Details'!F:F,'TFS Details'!H:H)</f>
        <v>UAT In Test</v>
      </c>
      <c r="AH185" s="44">
        <v>17</v>
      </c>
      <c r="AI185" s="44">
        <v>0</v>
      </c>
      <c r="AJ185" s="44">
        <v>0</v>
      </c>
      <c r="AK185" s="228">
        <v>0</v>
      </c>
      <c r="AL185" s="40">
        <f t="shared" si="25"/>
        <v>17</v>
      </c>
      <c r="AM185" s="41">
        <f t="shared" si="20"/>
        <v>1</v>
      </c>
      <c r="AN185" s="41">
        <f t="shared" si="21"/>
        <v>1</v>
      </c>
      <c r="AO185" s="25"/>
      <c r="AP185" s="25" t="str">
        <f>_xlfn.XLOOKUP(F185,'TFS Details'!F:F,'TFS Details'!I:I)</f>
        <v>GEN AI - Solution Super Agent</v>
      </c>
      <c r="AQ185" s="25" t="str">
        <f>_xlfn.XLOOKUP(AP185,'TFS Details'!I:I,'TFS Details'!AE:AE)</f>
        <v>pandidurai.ks</v>
      </c>
    </row>
    <row r="186" spans="1:43">
      <c r="A186" s="24" t="str">
        <f>_xlfn.XLOOKUP(F186,'TFS Details'!F:F,'TFS Details'!D:D)</f>
        <v>Solution Super Agent</v>
      </c>
      <c r="B186" s="24" t="str">
        <f>_xlfn.XLOOKUP(F186,'TFS Details'!F:F,'TFS Details'!A:A)</f>
        <v>[SSA - SCA] - Prompt Library UI changes</v>
      </c>
      <c r="C186" s="64">
        <f>_xlfn.XLOOKUP(F186,'TFS Details'!F:F,'TFS Details'!E:E)</f>
        <v>4361786</v>
      </c>
      <c r="D186" s="17" t="s">
        <v>49</v>
      </c>
      <c r="E186" s="73" t="s">
        <v>530</v>
      </c>
      <c r="F186" s="74">
        <v>4363949</v>
      </c>
      <c r="G186" s="73" t="s">
        <v>531</v>
      </c>
      <c r="H186" s="73" t="s">
        <v>527</v>
      </c>
      <c r="I186" s="73"/>
      <c r="J186" s="73" t="s">
        <v>101</v>
      </c>
      <c r="K186" s="97" t="s">
        <v>18</v>
      </c>
      <c r="L186" s="101" t="s">
        <v>532</v>
      </c>
      <c r="M186" s="16" t="s">
        <v>21</v>
      </c>
      <c r="N186" s="17"/>
      <c r="O186" s="134"/>
      <c r="Q186" s="176"/>
      <c r="R186" s="176"/>
      <c r="S186" s="176"/>
      <c r="T186" s="176"/>
      <c r="U186" s="33">
        <v>0.7</v>
      </c>
      <c r="V186" s="33">
        <v>0.7</v>
      </c>
      <c r="W186" s="17" t="s">
        <v>183</v>
      </c>
      <c r="X186" s="17" t="s">
        <v>183</v>
      </c>
      <c r="Y186" s="17" t="s">
        <v>183</v>
      </c>
      <c r="Z186" s="17" t="s">
        <v>183</v>
      </c>
      <c r="AA186" s="176">
        <v>20</v>
      </c>
      <c r="AB186" s="176">
        <v>10</v>
      </c>
      <c r="AC186" s="176">
        <v>7</v>
      </c>
      <c r="AD186" s="176">
        <v>17</v>
      </c>
      <c r="AE186" s="33">
        <v>0.7</v>
      </c>
      <c r="AF186" s="33">
        <v>0.7</v>
      </c>
      <c r="AG186" s="25" t="str">
        <f>_xlfn.XLOOKUP(F186,'TFS Details'!F:F,'TFS Details'!H:H)</f>
        <v>UAT In Test</v>
      </c>
      <c r="AH186" s="44">
        <v>18</v>
      </c>
      <c r="AI186" s="44">
        <v>0</v>
      </c>
      <c r="AJ186" s="44">
        <v>0</v>
      </c>
      <c r="AK186" s="44">
        <v>0</v>
      </c>
      <c r="AL186" s="40">
        <f>SUM(AH186:AK186)</f>
        <v>18</v>
      </c>
      <c r="AM186" s="41">
        <f t="shared" si="20"/>
        <v>1</v>
      </c>
      <c r="AN186" s="41">
        <f t="shared" si="21"/>
        <v>1</v>
      </c>
      <c r="AO186" s="25" t="s">
        <v>434</v>
      </c>
      <c r="AP186" s="25" t="str">
        <f>_xlfn.XLOOKUP(F186,'TFS Details'!F:F,'TFS Details'!I:I)</f>
        <v>GEN AI - Solution Super Agent</v>
      </c>
      <c r="AQ186" s="25" t="str">
        <f>_xlfn.XLOOKUP(AP186,'TFS Details'!I:I,'TFS Details'!AE:AE)</f>
        <v>pandidurai.ks</v>
      </c>
    </row>
    <row r="187" spans="1:43">
      <c r="A187" s="24" t="str">
        <f>_xlfn.XLOOKUP(F187,'TFS Details'!F:F,'TFS Details'!D:D)</f>
        <v>Solution Super Agent</v>
      </c>
      <c r="B187" s="24" t="str">
        <f>_xlfn.XLOOKUP(F187,'TFS Details'!F:F,'TFS Details'!A:A)</f>
        <v>CR: [Gen AI - SSA] - Featuring SSA chat as part of the screen</v>
      </c>
      <c r="C187" s="64">
        <f>_xlfn.XLOOKUP(F187,'TFS Details'!F:F,'TFS Details'!E:E)</f>
        <v>4330816</v>
      </c>
      <c r="D187" s="17" t="s">
        <v>49</v>
      </c>
      <c r="E187" s="73" t="s">
        <v>533</v>
      </c>
      <c r="F187" s="74">
        <v>4366164</v>
      </c>
      <c r="G187" s="73" t="s">
        <v>531</v>
      </c>
      <c r="H187" s="73" t="s">
        <v>527</v>
      </c>
      <c r="I187" s="73"/>
      <c r="J187" s="73" t="s">
        <v>101</v>
      </c>
      <c r="K187" s="97" t="s">
        <v>18</v>
      </c>
      <c r="L187" s="184" t="s">
        <v>534</v>
      </c>
      <c r="M187" s="16" t="s">
        <v>72</v>
      </c>
      <c r="N187" s="17"/>
      <c r="O187" s="134"/>
      <c r="Q187" s="176"/>
      <c r="R187" s="176"/>
      <c r="S187" s="176"/>
      <c r="T187" s="176"/>
      <c r="U187" s="33">
        <v>0.65</v>
      </c>
      <c r="V187" s="33">
        <v>0.65</v>
      </c>
      <c r="W187" s="17" t="s">
        <v>183</v>
      </c>
      <c r="X187" s="17" t="s">
        <v>183</v>
      </c>
      <c r="Y187" s="17" t="s">
        <v>183</v>
      </c>
      <c r="Z187" s="17" t="s">
        <v>183</v>
      </c>
      <c r="AA187" s="176">
        <v>20</v>
      </c>
      <c r="AB187" s="176">
        <v>5</v>
      </c>
      <c r="AC187" s="176">
        <v>15</v>
      </c>
      <c r="AD187" s="176">
        <v>20</v>
      </c>
      <c r="AE187" s="33"/>
      <c r="AF187" s="33"/>
      <c r="AG187" s="25" t="str">
        <f>_xlfn.XLOOKUP(F187,'TFS Details'!F:F,'TFS Details'!H:H)</f>
        <v>UAT In Test</v>
      </c>
      <c r="AH187" s="44">
        <v>15</v>
      </c>
      <c r="AI187" s="44">
        <v>0</v>
      </c>
      <c r="AJ187" s="44">
        <v>0</v>
      </c>
      <c r="AK187" s="44">
        <v>0</v>
      </c>
      <c r="AL187" s="40">
        <f t="shared" si="25"/>
        <v>15</v>
      </c>
      <c r="AM187" s="41">
        <f t="shared" si="20"/>
        <v>1</v>
      </c>
      <c r="AN187" s="41">
        <f t="shared" si="21"/>
        <v>1</v>
      </c>
      <c r="AO187" s="25" t="s">
        <v>434</v>
      </c>
      <c r="AP187" s="25" t="str">
        <f>_xlfn.XLOOKUP(F187,'TFS Details'!F:F,'TFS Details'!I:I)</f>
        <v>GEN AI - Solution Super Agent</v>
      </c>
      <c r="AQ187" s="25" t="str">
        <f>_xlfn.XLOOKUP(AP187,'TFS Details'!I:I,'TFS Details'!AE:AE)</f>
        <v>pandidurai.ks</v>
      </c>
    </row>
    <row r="188" spans="1:43">
      <c r="A188" s="24" t="str">
        <f>_xlfn.XLOOKUP(F188,'TFS Details'!F:F,'TFS Details'!D:D)</f>
        <v>GEN AI</v>
      </c>
      <c r="B188" s="24" t="str">
        <f>_xlfn.XLOOKUP(F188,'TFS Details'!F:F,'TFS Details'!A:A)</f>
        <v>Solution Version Comparator Feature in SSA</v>
      </c>
      <c r="C188" s="64">
        <f>_xlfn.XLOOKUP(F188,'TFS Details'!F:F,'TFS Details'!E:E)</f>
        <v>4373741</v>
      </c>
      <c r="D188" s="17" t="s">
        <v>49</v>
      </c>
      <c r="E188" s="73" t="s">
        <v>535</v>
      </c>
      <c r="F188" s="74">
        <v>4330981</v>
      </c>
      <c r="G188" s="73" t="s">
        <v>531</v>
      </c>
      <c r="H188" s="73" t="s">
        <v>527</v>
      </c>
      <c r="I188" s="73"/>
      <c r="J188" s="73" t="s">
        <v>101</v>
      </c>
      <c r="K188" s="17" t="s">
        <v>1</v>
      </c>
      <c r="L188" s="16"/>
      <c r="N188" s="17" t="s">
        <v>182</v>
      </c>
      <c r="O188" s="134">
        <v>2</v>
      </c>
      <c r="P188" s="33">
        <v>1</v>
      </c>
      <c r="Q188" s="176">
        <v>13</v>
      </c>
      <c r="R188" s="176">
        <v>5</v>
      </c>
      <c r="S188" s="176">
        <v>1</v>
      </c>
      <c r="T188" s="176">
        <v>1</v>
      </c>
      <c r="U188" s="33">
        <v>0.5</v>
      </c>
      <c r="V188" s="33">
        <v>0.5</v>
      </c>
      <c r="W188" s="17" t="s">
        <v>183</v>
      </c>
      <c r="X188" s="17" t="s">
        <v>183</v>
      </c>
      <c r="Y188" s="17" t="s">
        <v>183</v>
      </c>
      <c r="Z188" s="17" t="s">
        <v>183</v>
      </c>
      <c r="AA188" s="176">
        <v>20</v>
      </c>
      <c r="AB188" s="176">
        <v>4</v>
      </c>
      <c r="AC188" s="176">
        <v>14</v>
      </c>
      <c r="AD188" s="176">
        <v>18</v>
      </c>
      <c r="AE188" s="33">
        <v>0.5</v>
      </c>
      <c r="AF188" s="33">
        <v>0.5</v>
      </c>
      <c r="AG188" s="25" t="str">
        <f>_xlfn.XLOOKUP(F188,'TFS Details'!F:F,'TFS Details'!H:H)</f>
        <v>UAT In Test</v>
      </c>
      <c r="AH188" s="44">
        <v>18</v>
      </c>
      <c r="AI188" s="44">
        <v>0</v>
      </c>
      <c r="AJ188" s="44">
        <v>0</v>
      </c>
      <c r="AK188" s="44">
        <v>0</v>
      </c>
      <c r="AL188" s="40">
        <f t="shared" si="25"/>
        <v>18</v>
      </c>
      <c r="AM188" s="41">
        <f t="shared" si="20"/>
        <v>1</v>
      </c>
      <c r="AN188" s="41">
        <f t="shared" si="21"/>
        <v>1</v>
      </c>
      <c r="AO188" s="25" t="s">
        <v>536</v>
      </c>
      <c r="AP188" s="25" t="str">
        <f>_xlfn.XLOOKUP(F188,'TFS Details'!F:F,'TFS Details'!I:I)</f>
        <v>GEN AI - Solution Super Agent</v>
      </c>
      <c r="AQ188" s="25" t="str">
        <f>_xlfn.XLOOKUP(AP188,'TFS Details'!I:I,'TFS Details'!AE:AE)</f>
        <v>pandidurai.ks</v>
      </c>
    </row>
    <row r="189" spans="1:43">
      <c r="A189" s="24" t="str">
        <f>_xlfn.XLOOKUP(F189,'TFS Details'!F:F,'TFS Details'!D:D)</f>
        <v>Gen AI</v>
      </c>
      <c r="B189" s="24" t="str">
        <f>_xlfn.XLOOKUP(F189,'TFS Details'!F:F,'TFS Details'!A:A)</f>
        <v>Retrospective Learnings - Opportunity Benchmarks</v>
      </c>
      <c r="C189" s="64">
        <f>_xlfn.XLOOKUP(F189,'TFS Details'!F:F,'TFS Details'!E:E)</f>
        <v>4223629</v>
      </c>
      <c r="D189" s="17" t="s">
        <v>49</v>
      </c>
      <c r="E189" s="73" t="s">
        <v>537</v>
      </c>
      <c r="F189" s="74">
        <v>4337147</v>
      </c>
      <c r="G189" s="73" t="s">
        <v>538</v>
      </c>
      <c r="H189" s="73" t="s">
        <v>539</v>
      </c>
      <c r="I189" s="73"/>
      <c r="J189" s="73" t="s">
        <v>540</v>
      </c>
      <c r="K189" s="97" t="s">
        <v>18</v>
      </c>
      <c r="L189" s="16" t="s">
        <v>541</v>
      </c>
      <c r="M189" s="16" t="s">
        <v>21</v>
      </c>
      <c r="N189" s="17"/>
      <c r="O189" s="134"/>
      <c r="Q189" s="176"/>
      <c r="R189" s="176"/>
      <c r="S189" s="176"/>
      <c r="T189" s="176"/>
      <c r="W189" s="17" t="s">
        <v>183</v>
      </c>
      <c r="X189" s="17" t="s">
        <v>183</v>
      </c>
      <c r="Y189" s="17" t="s">
        <v>183</v>
      </c>
      <c r="Z189" s="17" t="s">
        <v>183</v>
      </c>
      <c r="AA189" s="176">
        <v>24</v>
      </c>
      <c r="AB189" s="176">
        <v>10</v>
      </c>
      <c r="AC189" s="176">
        <v>2</v>
      </c>
      <c r="AD189" s="176">
        <v>12</v>
      </c>
      <c r="AE189" s="33">
        <v>0.83</v>
      </c>
      <c r="AF189" s="33">
        <v>0.9</v>
      </c>
      <c r="AG189" s="25" t="str">
        <f>_xlfn.XLOOKUP(F189,'TFS Details'!F:F,'TFS Details'!H:H)</f>
        <v>UAT In Test</v>
      </c>
      <c r="AH189" s="44">
        <v>12</v>
      </c>
      <c r="AI189" s="44">
        <v>0</v>
      </c>
      <c r="AJ189" s="44">
        <v>0</v>
      </c>
      <c r="AK189" s="44">
        <v>0</v>
      </c>
      <c r="AL189" s="40">
        <f t="shared" si="25"/>
        <v>12</v>
      </c>
      <c r="AM189" s="41">
        <f t="shared" si="20"/>
        <v>1</v>
      </c>
      <c r="AN189" s="41">
        <f t="shared" si="21"/>
        <v>1</v>
      </c>
      <c r="AO189" s="25" t="s">
        <v>536</v>
      </c>
      <c r="AP189" s="25" t="str">
        <f>_xlfn.XLOOKUP(F189,'TFS Details'!F:F,'TFS Details'!I:I)</f>
        <v>GEN AI - Solution Super Agent</v>
      </c>
      <c r="AQ189" s="25" t="str">
        <f>_xlfn.XLOOKUP(AP189,'TFS Details'!I:I,'TFS Details'!AE:AE)</f>
        <v>pandidurai.ks</v>
      </c>
    </row>
    <row r="190" spans="1:43">
      <c r="A190" s="24" t="str">
        <f>_xlfn.XLOOKUP(F190,'TFS Details'!F:F,'TFS Details'!D:D)</f>
        <v>Gen AI</v>
      </c>
      <c r="B190" s="24" t="str">
        <f>_xlfn.XLOOKUP(F190,'TFS Details'!F:F,'TFS Details'!A:A)</f>
        <v>[Gen AI - SSA] - Enhancements of SSA Chat</v>
      </c>
      <c r="C190" s="64">
        <f>_xlfn.XLOOKUP(F190,'TFS Details'!F:F,'TFS Details'!E:E)</f>
        <v>4393292</v>
      </c>
      <c r="D190" s="17" t="s">
        <v>49</v>
      </c>
      <c r="E190" s="73" t="s">
        <v>542</v>
      </c>
      <c r="F190" s="74">
        <v>4341515</v>
      </c>
      <c r="G190" s="73" t="s">
        <v>531</v>
      </c>
      <c r="H190" s="73" t="s">
        <v>527</v>
      </c>
      <c r="I190" s="73"/>
      <c r="J190" s="73" t="s">
        <v>101</v>
      </c>
      <c r="K190" s="17" t="s">
        <v>1</v>
      </c>
      <c r="L190" s="16"/>
      <c r="N190" s="17" t="s">
        <v>182</v>
      </c>
      <c r="O190" s="134">
        <v>3</v>
      </c>
      <c r="P190" s="33">
        <v>1</v>
      </c>
      <c r="Q190" s="176">
        <v>10</v>
      </c>
      <c r="R190" s="176">
        <v>5</v>
      </c>
      <c r="S190" s="176">
        <v>3</v>
      </c>
      <c r="T190" s="176">
        <v>3</v>
      </c>
      <c r="U190" s="33">
        <v>0.5</v>
      </c>
      <c r="V190" s="33">
        <v>0.5</v>
      </c>
      <c r="W190" s="17" t="s">
        <v>183</v>
      </c>
      <c r="X190" s="17" t="s">
        <v>183</v>
      </c>
      <c r="Y190" s="17" t="s">
        <v>183</v>
      </c>
      <c r="Z190" s="17" t="s">
        <v>183</v>
      </c>
      <c r="AA190" s="176">
        <v>20</v>
      </c>
      <c r="AB190" s="176">
        <v>6</v>
      </c>
      <c r="AC190" s="176">
        <v>4</v>
      </c>
      <c r="AD190" s="176">
        <v>10</v>
      </c>
      <c r="AE190" s="33">
        <v>0.65</v>
      </c>
      <c r="AF190" s="33">
        <v>0.65</v>
      </c>
      <c r="AG190" s="25" t="str">
        <f>_xlfn.XLOOKUP(F190,'TFS Details'!F:F,'TFS Details'!H:H)</f>
        <v>UAT In Test</v>
      </c>
      <c r="AH190" s="44">
        <v>10</v>
      </c>
      <c r="AI190" s="44">
        <v>0</v>
      </c>
      <c r="AJ190" s="44">
        <v>0</v>
      </c>
      <c r="AK190" s="44">
        <v>0</v>
      </c>
      <c r="AL190" s="40">
        <f t="shared" si="25"/>
        <v>10</v>
      </c>
      <c r="AM190" s="41">
        <f t="shared" si="20"/>
        <v>1</v>
      </c>
      <c r="AN190" s="41">
        <f t="shared" si="21"/>
        <v>1</v>
      </c>
      <c r="AO190" s="25" t="s">
        <v>536</v>
      </c>
      <c r="AP190" s="25" t="str">
        <f>_xlfn.XLOOKUP(F190,'TFS Details'!F:F,'TFS Details'!I:I)</f>
        <v>GEN AI - Solution Super Agent</v>
      </c>
      <c r="AQ190" s="25" t="str">
        <f>_xlfn.XLOOKUP(AP190,'TFS Details'!I:I,'TFS Details'!AE:AE)</f>
        <v>pandidurai.ks</v>
      </c>
    </row>
    <row r="191" spans="1:43">
      <c r="A191" s="24" t="str">
        <f>_xlfn.XLOOKUP(F191,'TFS Details'!F:F,'TFS Details'!D:D)</f>
        <v>Gen AI</v>
      </c>
      <c r="B191" s="24" t="str">
        <f>_xlfn.XLOOKUP(F191,'TFS Details'!F:F,'TFS Details'!A:A)</f>
        <v>Retrospective Learnings - Opportunity Benchmarks</v>
      </c>
      <c r="C191" s="64">
        <f>_xlfn.XLOOKUP(F191,'TFS Details'!F:F,'TFS Details'!E:E)</f>
        <v>4223629</v>
      </c>
      <c r="D191" s="17" t="s">
        <v>49</v>
      </c>
      <c r="E191" s="73" t="s">
        <v>543</v>
      </c>
      <c r="F191" s="74">
        <v>4344830</v>
      </c>
      <c r="G191" s="73" t="s">
        <v>531</v>
      </c>
      <c r="H191" s="73" t="s">
        <v>527</v>
      </c>
      <c r="I191" s="73"/>
      <c r="J191" s="73" t="s">
        <v>101</v>
      </c>
      <c r="K191" s="17" t="s">
        <v>1</v>
      </c>
      <c r="L191" s="16"/>
      <c r="N191" s="17" t="s">
        <v>182</v>
      </c>
      <c r="O191" s="134">
        <v>2</v>
      </c>
      <c r="P191" s="33">
        <v>1</v>
      </c>
      <c r="Q191" s="176">
        <v>8</v>
      </c>
      <c r="R191" s="176">
        <v>4</v>
      </c>
      <c r="S191" s="176">
        <v>2</v>
      </c>
      <c r="T191" s="176">
        <v>2</v>
      </c>
      <c r="U191" s="33">
        <v>0.5</v>
      </c>
      <c r="V191" s="33">
        <v>0.5</v>
      </c>
      <c r="W191" s="17" t="s">
        <v>183</v>
      </c>
      <c r="X191" s="17" t="s">
        <v>183</v>
      </c>
      <c r="Y191" s="17" t="s">
        <v>183</v>
      </c>
      <c r="Z191" s="17" t="s">
        <v>183</v>
      </c>
      <c r="AA191" s="176">
        <v>20</v>
      </c>
      <c r="AB191" s="176">
        <v>4</v>
      </c>
      <c r="AC191" s="176">
        <v>4</v>
      </c>
      <c r="AD191" s="176">
        <v>8</v>
      </c>
      <c r="AE191" s="33">
        <v>0.5</v>
      </c>
      <c r="AF191" s="33">
        <v>0.5</v>
      </c>
      <c r="AG191" s="25" t="str">
        <f>_xlfn.XLOOKUP(F191,'TFS Details'!F:F,'TFS Details'!H:H)</f>
        <v>UAT In Test</v>
      </c>
      <c r="AH191" s="44">
        <v>8</v>
      </c>
      <c r="AI191" s="44">
        <v>0</v>
      </c>
      <c r="AJ191" s="44">
        <v>0</v>
      </c>
      <c r="AK191" s="44">
        <v>0</v>
      </c>
      <c r="AL191" s="40">
        <f t="shared" si="25"/>
        <v>8</v>
      </c>
      <c r="AM191" s="41">
        <f t="shared" si="20"/>
        <v>1</v>
      </c>
      <c r="AN191" s="41">
        <f t="shared" si="21"/>
        <v>1</v>
      </c>
      <c r="AO191" s="25" t="s">
        <v>536</v>
      </c>
      <c r="AP191" s="25" t="str">
        <f>_xlfn.XLOOKUP(F191,'TFS Details'!F:F,'TFS Details'!I:I)</f>
        <v>GEN AI - Solution Super Agent</v>
      </c>
      <c r="AQ191" s="25" t="str">
        <f>_xlfn.XLOOKUP(AP191,'TFS Details'!I:I,'TFS Details'!AE:AE)</f>
        <v>pandidurai.ks</v>
      </c>
    </row>
    <row r="192" spans="1:43">
      <c r="A192" s="24" t="str">
        <f>_xlfn.XLOOKUP(F192,'TFS Details'!F:F,'TFS Details'!D:D)</f>
        <v>GEN AI</v>
      </c>
      <c r="B192" s="24" t="str">
        <f>_xlfn.XLOOKUP(F192,'TFS Details'!F:F,'TFS Details'!A:A)</f>
        <v>Retrospective Learnings - Opportunity Benchmarks</v>
      </c>
      <c r="C192" s="64">
        <f>_xlfn.XLOOKUP(F192,'TFS Details'!F:F,'TFS Details'!E:E)</f>
        <v>4223629</v>
      </c>
      <c r="D192" s="17" t="s">
        <v>49</v>
      </c>
      <c r="E192" s="73" t="s">
        <v>544</v>
      </c>
      <c r="F192" s="74">
        <v>4240154</v>
      </c>
      <c r="G192" s="73" t="s">
        <v>545</v>
      </c>
      <c r="H192" s="73" t="s">
        <v>546</v>
      </c>
      <c r="I192" s="73"/>
      <c r="J192" s="73" t="s">
        <v>547</v>
      </c>
      <c r="K192" s="97" t="s">
        <v>18</v>
      </c>
      <c r="L192" s="16" t="s">
        <v>548</v>
      </c>
      <c r="M192" s="16" t="s">
        <v>21</v>
      </c>
      <c r="N192" s="17" t="s">
        <v>191</v>
      </c>
      <c r="O192" s="134"/>
      <c r="Q192" s="176"/>
      <c r="R192" s="176"/>
      <c r="S192" s="176"/>
      <c r="T192" s="176"/>
      <c r="W192" s="17" t="s">
        <v>183</v>
      </c>
      <c r="X192" s="17" t="s">
        <v>183</v>
      </c>
      <c r="Y192" s="17" t="s">
        <v>183</v>
      </c>
      <c r="Z192" s="17" t="s">
        <v>183</v>
      </c>
      <c r="AA192" s="176">
        <v>15</v>
      </c>
      <c r="AB192" s="176">
        <v>6</v>
      </c>
      <c r="AC192" s="176">
        <v>6</v>
      </c>
      <c r="AD192" s="176">
        <v>12</v>
      </c>
      <c r="AE192" s="33">
        <v>0.4</v>
      </c>
      <c r="AF192" s="33">
        <v>0.8</v>
      </c>
      <c r="AG192" s="25" t="str">
        <f>_xlfn.XLOOKUP(F192,'TFS Details'!F:F,'TFS Details'!H:H)</f>
        <v>UAT In Test</v>
      </c>
      <c r="AH192" s="44">
        <v>10</v>
      </c>
      <c r="AI192" s="44">
        <v>0</v>
      </c>
      <c r="AJ192" s="44">
        <v>0</v>
      </c>
      <c r="AK192" s="44">
        <v>0</v>
      </c>
      <c r="AL192" s="40">
        <f t="shared" si="25"/>
        <v>10</v>
      </c>
      <c r="AM192" s="41">
        <f t="shared" si="20"/>
        <v>1</v>
      </c>
      <c r="AN192" s="41">
        <f t="shared" si="21"/>
        <v>1</v>
      </c>
      <c r="AO192" s="25" t="s">
        <v>549</v>
      </c>
      <c r="AP192" s="25" t="str">
        <f>_xlfn.XLOOKUP(F192,'TFS Details'!F:F,'TFS Details'!I:I)</f>
        <v>GEN AI - Solution Super Agent</v>
      </c>
      <c r="AQ192" s="25" t="str">
        <f>_xlfn.XLOOKUP(AP192,'TFS Details'!I:I,'TFS Details'!AE:AE)</f>
        <v>pandidurai.ks</v>
      </c>
    </row>
    <row r="193" spans="1:43">
      <c r="A193" s="24" t="str">
        <f>_xlfn.XLOOKUP(F193,'TFS Details'!F:F,'TFS Details'!D:D)</f>
        <v>GEN AI</v>
      </c>
      <c r="B193" s="24" t="str">
        <f>_xlfn.XLOOKUP(F193,'TFS Details'!F:F,'TFS Details'!A:A)</f>
        <v>Retrospective Learnings - Opportunity Benchmarks</v>
      </c>
      <c r="C193" s="64">
        <f>_xlfn.XLOOKUP(F193,'TFS Details'!F:F,'TFS Details'!E:E)</f>
        <v>4223629</v>
      </c>
      <c r="D193" s="17" t="s">
        <v>49</v>
      </c>
      <c r="E193" s="73" t="s">
        <v>550</v>
      </c>
      <c r="F193" s="74">
        <v>4240155</v>
      </c>
      <c r="G193" s="73" t="s">
        <v>545</v>
      </c>
      <c r="H193" s="73" t="s">
        <v>546</v>
      </c>
      <c r="I193" s="73"/>
      <c r="J193" s="73" t="s">
        <v>547</v>
      </c>
      <c r="K193" s="97" t="s">
        <v>18</v>
      </c>
      <c r="L193" s="16" t="s">
        <v>551</v>
      </c>
      <c r="M193" s="16" t="s">
        <v>21</v>
      </c>
      <c r="N193" s="17" t="s">
        <v>191</v>
      </c>
      <c r="O193" s="134"/>
      <c r="Q193" s="176"/>
      <c r="R193" s="176"/>
      <c r="S193" s="176"/>
      <c r="T193" s="176"/>
      <c r="W193" s="17" t="s">
        <v>183</v>
      </c>
      <c r="X193" s="17" t="s">
        <v>183</v>
      </c>
      <c r="Y193" s="17" t="s">
        <v>183</v>
      </c>
      <c r="Z193" s="17" t="s">
        <v>183</v>
      </c>
      <c r="AA193" s="176">
        <v>20</v>
      </c>
      <c r="AB193" s="176">
        <v>5</v>
      </c>
      <c r="AC193" s="176">
        <v>7</v>
      </c>
      <c r="AD193" s="176">
        <v>12</v>
      </c>
      <c r="AE193" s="33">
        <v>0.25</v>
      </c>
      <c r="AF193" s="33">
        <v>0.6</v>
      </c>
      <c r="AG193" s="25" t="str">
        <f>_xlfn.XLOOKUP(F193,'TFS Details'!F:F,'TFS Details'!H:H)</f>
        <v>UAT In Test</v>
      </c>
      <c r="AH193" s="44">
        <v>11</v>
      </c>
      <c r="AI193" s="44">
        <v>0</v>
      </c>
      <c r="AJ193" s="44">
        <v>0</v>
      </c>
      <c r="AK193" s="44">
        <v>0</v>
      </c>
      <c r="AL193" s="40">
        <f t="shared" si="25"/>
        <v>11</v>
      </c>
      <c r="AM193" s="41">
        <f t="shared" si="20"/>
        <v>1</v>
      </c>
      <c r="AN193" s="41">
        <f t="shared" si="21"/>
        <v>1</v>
      </c>
      <c r="AO193" s="25" t="s">
        <v>549</v>
      </c>
      <c r="AP193" s="25" t="str">
        <f>_xlfn.XLOOKUP(F193,'TFS Details'!F:F,'TFS Details'!I:I)</f>
        <v>GEN AI - Solution Super Agent</v>
      </c>
      <c r="AQ193" s="25" t="str">
        <f>_xlfn.XLOOKUP(AP193,'TFS Details'!I:I,'TFS Details'!AE:AE)</f>
        <v>pandidurai.ks</v>
      </c>
    </row>
    <row r="194" spans="1:43">
      <c r="A194" s="24" t="str">
        <f>_xlfn.XLOOKUP(F194,'TFS Details'!F:F,'TFS Details'!D:D)</f>
        <v>GEN AI</v>
      </c>
      <c r="B194" s="24" t="str">
        <f>_xlfn.XLOOKUP(F194,'TFS Details'!F:F,'TFS Details'!A:A)</f>
        <v>Retrospective Learnings - Opportunity Benchmarks</v>
      </c>
      <c r="C194" s="64">
        <f>_xlfn.XLOOKUP(F194,'TFS Details'!F:F,'TFS Details'!E:E)</f>
        <v>4223629</v>
      </c>
      <c r="D194" s="17" t="s">
        <v>49</v>
      </c>
      <c r="E194" s="73" t="s">
        <v>552</v>
      </c>
      <c r="F194" s="74">
        <v>4240158</v>
      </c>
      <c r="G194" s="73" t="s">
        <v>538</v>
      </c>
      <c r="H194" s="73" t="s">
        <v>539</v>
      </c>
      <c r="I194" s="73"/>
      <c r="J194" s="73" t="s">
        <v>540</v>
      </c>
      <c r="K194" s="97" t="s">
        <v>18</v>
      </c>
      <c r="L194" s="16" t="s">
        <v>541</v>
      </c>
      <c r="M194" s="16" t="s">
        <v>21</v>
      </c>
      <c r="N194" s="17"/>
      <c r="O194" s="134"/>
      <c r="Q194" s="176"/>
      <c r="R194" s="176"/>
      <c r="S194" s="176"/>
      <c r="T194" s="176"/>
      <c r="W194" s="17" t="s">
        <v>183</v>
      </c>
      <c r="X194" s="17" t="s">
        <v>183</v>
      </c>
      <c r="Y194" s="17" t="s">
        <v>183</v>
      </c>
      <c r="Z194" s="17" t="s">
        <v>183</v>
      </c>
      <c r="AA194" s="176">
        <v>31</v>
      </c>
      <c r="AB194" s="176">
        <v>15</v>
      </c>
      <c r="AC194" s="176">
        <v>3</v>
      </c>
      <c r="AD194" s="176">
        <v>18</v>
      </c>
      <c r="AE194" s="33">
        <v>0.82</v>
      </c>
      <c r="AF194" s="33">
        <v>0.9</v>
      </c>
      <c r="AG194" s="25" t="str">
        <f>_xlfn.XLOOKUP(F194,'TFS Details'!F:F,'TFS Details'!H:H)</f>
        <v>UAT In Test</v>
      </c>
      <c r="AH194" s="44">
        <v>17</v>
      </c>
      <c r="AI194" s="44">
        <v>0</v>
      </c>
      <c r="AJ194" s="44">
        <v>0</v>
      </c>
      <c r="AK194" s="44">
        <v>0</v>
      </c>
      <c r="AL194" s="40">
        <f t="shared" si="25"/>
        <v>17</v>
      </c>
      <c r="AM194" s="41">
        <f t="shared" ref="AM194:AM257" si="26">IF(AH194+AI194=0,0,SUM(AH194:AI194)/AL194)</f>
        <v>1</v>
      </c>
      <c r="AN194" s="41">
        <f t="shared" ref="AN194:AN259" si="27">IF(AH194=0,0,AH194/(SUM(AH194:AJ194)))</f>
        <v>1</v>
      </c>
      <c r="AO194" s="25" t="s">
        <v>536</v>
      </c>
      <c r="AP194" s="25" t="str">
        <f>_xlfn.XLOOKUP(F194,'TFS Details'!F:F,'TFS Details'!I:I)</f>
        <v>GEN AI - Solution Super Agent</v>
      </c>
      <c r="AQ194" s="25" t="str">
        <f>_xlfn.XLOOKUP(AP194,'TFS Details'!I:I,'TFS Details'!AE:AE)</f>
        <v>pandidurai.ks</v>
      </c>
    </row>
    <row r="195" spans="1:43">
      <c r="A195" s="24" t="str">
        <f>_xlfn.XLOOKUP(F195,'TFS Details'!F:F,'TFS Details'!D:D)</f>
        <v>Gen AI</v>
      </c>
      <c r="B195" s="24" t="str">
        <f>_xlfn.XLOOKUP(F195,'TFS Details'!F:F,'TFS Details'!A:A)</f>
        <v>Retrospective Learnings - Opportunity Benchmarks</v>
      </c>
      <c r="C195" s="64">
        <f>_xlfn.XLOOKUP(F195,'TFS Details'!F:F,'TFS Details'!E:E)</f>
        <v>4223629</v>
      </c>
      <c r="D195" s="17" t="s">
        <v>49</v>
      </c>
      <c r="E195" s="73" t="s">
        <v>553</v>
      </c>
      <c r="F195" s="74">
        <v>4278524</v>
      </c>
      <c r="G195" s="73" t="s">
        <v>538</v>
      </c>
      <c r="H195" s="73" t="s">
        <v>539</v>
      </c>
      <c r="I195" s="73"/>
      <c r="J195" s="73" t="s">
        <v>540</v>
      </c>
      <c r="K195" s="97" t="s">
        <v>18</v>
      </c>
      <c r="L195" s="16" t="s">
        <v>541</v>
      </c>
      <c r="M195" s="16" t="s">
        <v>21</v>
      </c>
      <c r="N195" s="17"/>
      <c r="O195" s="134"/>
      <c r="Q195" s="176"/>
      <c r="R195" s="176"/>
      <c r="S195" s="176"/>
      <c r="T195" s="176"/>
      <c r="W195" s="17" t="s">
        <v>183</v>
      </c>
      <c r="X195" s="17" t="s">
        <v>183</v>
      </c>
      <c r="Y195" s="17" t="s">
        <v>183</v>
      </c>
      <c r="Z195" s="17" t="s">
        <v>183</v>
      </c>
      <c r="AA195" s="176">
        <v>22</v>
      </c>
      <c r="AB195" s="176">
        <v>13</v>
      </c>
      <c r="AC195" s="176">
        <v>2</v>
      </c>
      <c r="AD195" s="176">
        <v>15</v>
      </c>
      <c r="AE195" s="33">
        <v>0.85</v>
      </c>
      <c r="AF195" s="33">
        <v>0.9</v>
      </c>
      <c r="AG195" s="25" t="str">
        <f>_xlfn.XLOOKUP(F195,'TFS Details'!F:F,'TFS Details'!H:H)</f>
        <v>UAT In Test</v>
      </c>
      <c r="AH195" s="44">
        <v>15</v>
      </c>
      <c r="AI195" s="44">
        <v>0</v>
      </c>
      <c r="AJ195" s="44">
        <v>0</v>
      </c>
      <c r="AK195" s="44">
        <v>0</v>
      </c>
      <c r="AL195" s="40">
        <f t="shared" si="25"/>
        <v>15</v>
      </c>
      <c r="AM195" s="41">
        <f t="shared" si="26"/>
        <v>1</v>
      </c>
      <c r="AN195" s="41">
        <f t="shared" si="27"/>
        <v>1</v>
      </c>
      <c r="AO195" s="25" t="s">
        <v>536</v>
      </c>
      <c r="AP195" s="25" t="str">
        <f>_xlfn.XLOOKUP(F195,'TFS Details'!F:F,'TFS Details'!I:I)</f>
        <v>GEN AI - Solution Super Agent</v>
      </c>
      <c r="AQ195" s="25" t="str">
        <f>_xlfn.XLOOKUP(AP195,'TFS Details'!I:I,'TFS Details'!AE:AE)</f>
        <v>pandidurai.ks</v>
      </c>
    </row>
    <row r="196" spans="1:43">
      <c r="A196" s="24" t="str">
        <f>_xlfn.XLOOKUP(F196,'TFS Details'!F:F,'TFS Details'!D:D)</f>
        <v>Solution Super Agent</v>
      </c>
      <c r="B196" s="24" t="str">
        <f>_xlfn.XLOOKUP(F196,'TFS Details'!F:F,'TFS Details'!A:A)</f>
        <v>[Gen AI - SSA] - PII Reporting form changes.</v>
      </c>
      <c r="C196" s="64">
        <f>_xlfn.XLOOKUP(F196,'TFS Details'!F:F,'TFS Details'!E:E)</f>
        <v>4368560</v>
      </c>
      <c r="D196" s="17" t="s">
        <v>49</v>
      </c>
      <c r="E196" s="73" t="s">
        <v>554</v>
      </c>
      <c r="F196" s="74">
        <v>4372293</v>
      </c>
      <c r="G196" s="73" t="s">
        <v>539</v>
      </c>
      <c r="H196" s="73" t="s">
        <v>538</v>
      </c>
      <c r="I196" s="73"/>
      <c r="J196" s="73" t="s">
        <v>95</v>
      </c>
      <c r="K196" s="17" t="s">
        <v>1</v>
      </c>
      <c r="L196" s="16"/>
      <c r="N196" s="16" t="s">
        <v>182</v>
      </c>
      <c r="O196" s="134">
        <v>1</v>
      </c>
      <c r="P196" s="33">
        <v>1</v>
      </c>
      <c r="Q196" s="176">
        <v>15</v>
      </c>
      <c r="R196" s="176">
        <v>1</v>
      </c>
      <c r="S196" s="176">
        <v>1</v>
      </c>
      <c r="T196" s="176">
        <v>1</v>
      </c>
      <c r="U196" s="33">
        <v>0.6</v>
      </c>
      <c r="V196" s="33">
        <v>0.6</v>
      </c>
      <c r="W196" s="17" t="s">
        <v>183</v>
      </c>
      <c r="X196" s="17" t="s">
        <v>183</v>
      </c>
      <c r="Y196" s="17" t="s">
        <v>183</v>
      </c>
      <c r="Z196" s="17" t="s">
        <v>183</v>
      </c>
      <c r="AA196" s="176">
        <v>30</v>
      </c>
      <c r="AB196" s="176">
        <v>1</v>
      </c>
      <c r="AC196" s="176">
        <v>3</v>
      </c>
      <c r="AD196" s="176">
        <v>4</v>
      </c>
      <c r="AE196" s="33">
        <v>0.25</v>
      </c>
      <c r="AF196" s="33">
        <v>0.25</v>
      </c>
      <c r="AG196" s="25" t="str">
        <f>_xlfn.XLOOKUP(F196,'TFS Details'!F:F,'TFS Details'!H:H)</f>
        <v>UAT In Test</v>
      </c>
      <c r="AH196" s="44">
        <v>4</v>
      </c>
      <c r="AI196" s="44">
        <v>0</v>
      </c>
      <c r="AJ196" s="44">
        <v>0</v>
      </c>
      <c r="AK196" s="44">
        <v>0</v>
      </c>
      <c r="AL196" s="40">
        <f t="shared" si="25"/>
        <v>4</v>
      </c>
      <c r="AM196" s="41">
        <f t="shared" si="26"/>
        <v>1</v>
      </c>
      <c r="AN196" s="41">
        <f t="shared" si="27"/>
        <v>1</v>
      </c>
      <c r="AO196" s="25"/>
      <c r="AP196" s="25" t="str">
        <f>_xlfn.XLOOKUP(F196,'TFS Details'!F:F,'TFS Details'!I:I)</f>
        <v>GEN AI - Solution Super Agent</v>
      </c>
      <c r="AQ196" s="25" t="str">
        <f>_xlfn.XLOOKUP(AP196,'TFS Details'!I:I,'TFS Details'!AE:AE)</f>
        <v>pandidurai.ks</v>
      </c>
    </row>
    <row r="197" spans="1:43">
      <c r="A197" s="24" t="str">
        <f>_xlfn.XLOOKUP(F197,'TFS Details'!F:F,'TFS Details'!D:D)</f>
        <v>Solution Super Agent</v>
      </c>
      <c r="B197" s="24" t="str">
        <f>_xlfn.XLOOKUP(F197,'TFS Details'!F:F,'TFS Details'!A:A)</f>
        <v>CR: [Gen AI - SSA] - Featuring SSA chat as part of the screen</v>
      </c>
      <c r="C197" s="64">
        <f>_xlfn.XLOOKUP(F197,'TFS Details'!F:F,'TFS Details'!E:E)</f>
        <v>4330816</v>
      </c>
      <c r="D197" s="17" t="s">
        <v>36</v>
      </c>
      <c r="E197" s="73" t="s">
        <v>555</v>
      </c>
      <c r="F197" s="74">
        <v>4373745</v>
      </c>
      <c r="G197" s="73" t="s">
        <v>539</v>
      </c>
      <c r="H197" s="73" t="s">
        <v>538</v>
      </c>
      <c r="I197" s="73"/>
      <c r="J197" s="73" t="s">
        <v>95</v>
      </c>
      <c r="K197" s="97" t="s">
        <v>18</v>
      </c>
      <c r="L197" s="16" t="s">
        <v>556</v>
      </c>
      <c r="M197" s="16" t="s">
        <v>21</v>
      </c>
      <c r="N197" s="17"/>
      <c r="O197" s="134"/>
      <c r="Q197" s="176"/>
      <c r="R197" s="176"/>
      <c r="S197" s="176"/>
      <c r="T197" s="176"/>
      <c r="W197" s="17" t="s">
        <v>183</v>
      </c>
      <c r="X197" s="17" t="s">
        <v>183</v>
      </c>
      <c r="Y197" s="17" t="s">
        <v>183</v>
      </c>
      <c r="Z197" s="17" t="s">
        <v>183</v>
      </c>
      <c r="AA197" s="176">
        <v>25</v>
      </c>
      <c r="AB197" s="176"/>
      <c r="AC197" s="176">
        <v>4</v>
      </c>
      <c r="AD197" s="176">
        <v>4</v>
      </c>
      <c r="AE197" s="33">
        <v>0.8</v>
      </c>
      <c r="AF197" s="33">
        <v>1</v>
      </c>
      <c r="AG197" s="25" t="str">
        <f>_xlfn.XLOOKUP(F197,'TFS Details'!F:F,'TFS Details'!H:H)</f>
        <v>UAT In Test</v>
      </c>
      <c r="AH197" s="44">
        <v>4</v>
      </c>
      <c r="AI197" s="44">
        <v>0</v>
      </c>
      <c r="AJ197" s="44">
        <v>0</v>
      </c>
      <c r="AK197" s="44">
        <v>0</v>
      </c>
      <c r="AL197" s="40">
        <f t="shared" si="25"/>
        <v>4</v>
      </c>
      <c r="AM197" s="41">
        <f t="shared" si="26"/>
        <v>1</v>
      </c>
      <c r="AN197" s="41">
        <f t="shared" si="27"/>
        <v>1</v>
      </c>
      <c r="AO197" s="25"/>
      <c r="AP197" s="25" t="str">
        <f>_xlfn.XLOOKUP(F197,'TFS Details'!F:F,'TFS Details'!I:I)</f>
        <v>GEN AI - Solution Super Agent</v>
      </c>
      <c r="AQ197" s="25" t="str">
        <f>_xlfn.XLOOKUP(AP197,'TFS Details'!I:I,'TFS Details'!AE:AE)</f>
        <v>pandidurai.ks</v>
      </c>
    </row>
    <row r="198" spans="1:43">
      <c r="A198" s="24" t="str">
        <f>_xlfn.XLOOKUP(F198,'TFS Details'!F:F,'TFS Details'!D:D)</f>
        <v>Solution Super Agent</v>
      </c>
      <c r="B198" s="24" t="str">
        <f>_xlfn.XLOOKUP(F198,'TFS Details'!F:F,'TFS Details'!A:A)</f>
        <v>[Gen AI - SSA] - Span of Search</v>
      </c>
      <c r="C198" s="64">
        <f>_xlfn.XLOOKUP(F198,'TFS Details'!F:F,'TFS Details'!E:E)</f>
        <v>4357664</v>
      </c>
      <c r="D198" s="17" t="s">
        <v>49</v>
      </c>
      <c r="E198" s="73" t="s">
        <v>557</v>
      </c>
      <c r="F198" s="74">
        <v>4357665</v>
      </c>
      <c r="G198" s="73" t="s">
        <v>539</v>
      </c>
      <c r="H198" s="73" t="s">
        <v>538</v>
      </c>
      <c r="I198" s="73"/>
      <c r="J198" s="73" t="s">
        <v>95</v>
      </c>
      <c r="K198" s="17" t="s">
        <v>1</v>
      </c>
      <c r="L198" s="16"/>
      <c r="N198" s="16" t="s">
        <v>182</v>
      </c>
      <c r="O198" s="134">
        <v>1</v>
      </c>
      <c r="P198" s="33">
        <v>1</v>
      </c>
      <c r="Q198" s="176">
        <v>10</v>
      </c>
      <c r="R198" s="176">
        <v>1</v>
      </c>
      <c r="S198" s="176">
        <v>1</v>
      </c>
      <c r="T198" s="176">
        <v>1</v>
      </c>
      <c r="U198" s="33">
        <v>0.7</v>
      </c>
      <c r="V198" s="33">
        <v>0.6</v>
      </c>
      <c r="W198" s="17" t="s">
        <v>183</v>
      </c>
      <c r="X198" s="17" t="s">
        <v>183</v>
      </c>
      <c r="Y198" s="17" t="s">
        <v>183</v>
      </c>
      <c r="Z198" s="17" t="s">
        <v>183</v>
      </c>
      <c r="AA198" s="176">
        <v>30</v>
      </c>
      <c r="AB198" s="176">
        <v>1</v>
      </c>
      <c r="AC198" s="176">
        <v>4</v>
      </c>
      <c r="AD198" s="176">
        <v>5</v>
      </c>
      <c r="AE198" s="33">
        <v>0.25</v>
      </c>
      <c r="AF198" s="33">
        <v>0.25</v>
      </c>
      <c r="AG198" s="25" t="str">
        <f>_xlfn.XLOOKUP(F198,'TFS Details'!F:F,'TFS Details'!H:H)</f>
        <v>UAT In Test</v>
      </c>
      <c r="AH198" s="44">
        <v>5</v>
      </c>
      <c r="AI198" s="44">
        <v>0</v>
      </c>
      <c r="AJ198" s="44">
        <v>0</v>
      </c>
      <c r="AK198" s="44">
        <v>0</v>
      </c>
      <c r="AL198" s="40">
        <f t="shared" si="25"/>
        <v>5</v>
      </c>
      <c r="AM198" s="41">
        <f t="shared" si="26"/>
        <v>1</v>
      </c>
      <c r="AN198" s="41">
        <f t="shared" si="27"/>
        <v>1</v>
      </c>
      <c r="AO198" s="25"/>
      <c r="AP198" s="25" t="str">
        <f>_xlfn.XLOOKUP(F198,'TFS Details'!F:F,'TFS Details'!I:I)</f>
        <v>GEN AI - Solution Super Agent</v>
      </c>
      <c r="AQ198" s="25" t="str">
        <f>_xlfn.XLOOKUP(AP198,'TFS Details'!I:I,'TFS Details'!AE:AE)</f>
        <v>pandidurai.ks</v>
      </c>
    </row>
    <row r="199" spans="1:43">
      <c r="A199" s="24" t="str">
        <f>_xlfn.XLOOKUP(F199,'TFS Details'!F:F,'TFS Details'!D:D)</f>
        <v>Solution Super Agent</v>
      </c>
      <c r="B199" s="24" t="str">
        <f>_xlfn.XLOOKUP(F199,'TFS Details'!F:F,'TFS Details'!A:A)</f>
        <v>[Gen AI - SSA] - Span of Search</v>
      </c>
      <c r="C199" s="64">
        <f>_xlfn.XLOOKUP(F199,'TFS Details'!F:F,'TFS Details'!E:E)</f>
        <v>4357664</v>
      </c>
      <c r="D199" s="17" t="s">
        <v>49</v>
      </c>
      <c r="E199" s="73" t="s">
        <v>558</v>
      </c>
      <c r="F199" s="74">
        <v>4372156</v>
      </c>
      <c r="G199" s="73" t="s">
        <v>539</v>
      </c>
      <c r="H199" s="73" t="s">
        <v>538</v>
      </c>
      <c r="I199" s="73"/>
      <c r="J199" s="73" t="s">
        <v>95</v>
      </c>
      <c r="K199" s="17" t="s">
        <v>1</v>
      </c>
      <c r="L199" s="16"/>
      <c r="N199" s="17" t="s">
        <v>182</v>
      </c>
      <c r="O199" s="134">
        <v>1</v>
      </c>
      <c r="P199" s="33">
        <v>1</v>
      </c>
      <c r="Q199" s="176">
        <v>8</v>
      </c>
      <c r="R199" s="176">
        <v>1</v>
      </c>
      <c r="S199" s="176">
        <v>1</v>
      </c>
      <c r="T199" s="176">
        <v>1</v>
      </c>
      <c r="U199" s="33">
        <v>0.6</v>
      </c>
      <c r="V199" s="33">
        <v>0.6</v>
      </c>
      <c r="W199" s="17" t="s">
        <v>183</v>
      </c>
      <c r="X199" s="17" t="s">
        <v>183</v>
      </c>
      <c r="Y199" s="17" t="s">
        <v>183</v>
      </c>
      <c r="Z199" s="17" t="s">
        <v>183</v>
      </c>
      <c r="AA199" s="176">
        <v>30</v>
      </c>
      <c r="AB199" s="176"/>
      <c r="AC199" s="176"/>
      <c r="AD199" s="176">
        <v>3</v>
      </c>
      <c r="AE199" s="33">
        <v>0.9</v>
      </c>
      <c r="AF199" s="33">
        <v>0.9</v>
      </c>
      <c r="AG199" s="25" t="str">
        <f>_xlfn.XLOOKUP(F199,'TFS Details'!F:F,'TFS Details'!H:H)</f>
        <v>UAT In Test</v>
      </c>
      <c r="AH199" s="44">
        <v>4</v>
      </c>
      <c r="AI199" s="44">
        <v>0</v>
      </c>
      <c r="AJ199" s="44">
        <v>0</v>
      </c>
      <c r="AK199" s="44">
        <v>0</v>
      </c>
      <c r="AL199" s="40">
        <f t="shared" si="25"/>
        <v>4</v>
      </c>
      <c r="AM199" s="41">
        <f t="shared" si="26"/>
        <v>1</v>
      </c>
      <c r="AN199" s="41">
        <f t="shared" si="27"/>
        <v>1</v>
      </c>
      <c r="AO199" s="25"/>
      <c r="AP199" s="25" t="str">
        <f>_xlfn.XLOOKUP(F199,'TFS Details'!F:F,'TFS Details'!I:I)</f>
        <v>GEN AI - Solution Super Agent</v>
      </c>
      <c r="AQ199" s="25" t="str">
        <f>_xlfn.XLOOKUP(AP199,'TFS Details'!I:I,'TFS Details'!AE:AE)</f>
        <v>pandidurai.ks</v>
      </c>
    </row>
    <row r="200" spans="1:43">
      <c r="A200" s="24" t="str">
        <f>_xlfn.XLOOKUP(F200,'TFS Details'!F:F,'TFS Details'!D:D)</f>
        <v>Solution Super Agent</v>
      </c>
      <c r="B200" s="24" t="str">
        <f>_xlfn.XLOOKUP(F200,'TFS Details'!F:F,'TFS Details'!A:A)</f>
        <v>CR: [Gen AI - SSA] - Featuring SSA chat as part of the screen</v>
      </c>
      <c r="C200" s="64">
        <f>_xlfn.XLOOKUP(F200,'TFS Details'!F:F,'TFS Details'!E:E)</f>
        <v>4330816</v>
      </c>
      <c r="D200" s="17" t="s">
        <v>49</v>
      </c>
      <c r="E200" s="73" t="s">
        <v>559</v>
      </c>
      <c r="F200" s="74">
        <v>4368371</v>
      </c>
      <c r="G200" s="73" t="s">
        <v>539</v>
      </c>
      <c r="H200" s="73" t="s">
        <v>538</v>
      </c>
      <c r="I200" s="73"/>
      <c r="J200" s="73" t="s">
        <v>95</v>
      </c>
      <c r="K200" s="97" t="s">
        <v>18</v>
      </c>
      <c r="L200" s="16" t="s">
        <v>560</v>
      </c>
      <c r="M200" s="16" t="s">
        <v>72</v>
      </c>
      <c r="N200" s="17"/>
      <c r="O200" s="134"/>
      <c r="Q200" s="176"/>
      <c r="R200" s="176"/>
      <c r="S200" s="176"/>
      <c r="T200" s="176"/>
      <c r="W200" s="17" t="s">
        <v>183</v>
      </c>
      <c r="X200" s="17" t="s">
        <v>183</v>
      </c>
      <c r="Y200" s="17" t="s">
        <v>183</v>
      </c>
      <c r="Z200" s="17" t="s">
        <v>183</v>
      </c>
      <c r="AA200" s="176">
        <v>25</v>
      </c>
      <c r="AB200" s="176">
        <v>1</v>
      </c>
      <c r="AC200" s="176">
        <v>3</v>
      </c>
      <c r="AD200" s="176">
        <v>4</v>
      </c>
      <c r="AE200" s="33">
        <v>0.1</v>
      </c>
      <c r="AF200" s="33">
        <v>0.9</v>
      </c>
      <c r="AG200" s="25" t="str">
        <f>_xlfn.XLOOKUP(F200,'TFS Details'!F:F,'TFS Details'!H:H)</f>
        <v>UAT In Test</v>
      </c>
      <c r="AH200" s="44">
        <v>3</v>
      </c>
      <c r="AI200" s="44">
        <v>0</v>
      </c>
      <c r="AJ200" s="44">
        <v>0</v>
      </c>
      <c r="AK200" s="44">
        <v>0</v>
      </c>
      <c r="AL200" s="40">
        <f t="shared" si="25"/>
        <v>3</v>
      </c>
      <c r="AM200" s="41">
        <f t="shared" si="26"/>
        <v>1</v>
      </c>
      <c r="AN200" s="41">
        <f t="shared" si="27"/>
        <v>1</v>
      </c>
      <c r="AO200" s="25">
        <v>4423452</v>
      </c>
      <c r="AP200" s="25" t="str">
        <f>_xlfn.XLOOKUP(F200,'TFS Details'!F:F,'TFS Details'!I:I)</f>
        <v>GEN AI - Solution Super Agent</v>
      </c>
      <c r="AQ200" s="25" t="str">
        <f>_xlfn.XLOOKUP(AP200,'TFS Details'!I:I,'TFS Details'!AE:AE)</f>
        <v>pandidurai.ks</v>
      </c>
    </row>
    <row r="201" spans="1:43">
      <c r="A201" s="24" t="str">
        <f>_xlfn.XLOOKUP(F201,'TFS Details'!F:F,'TFS Details'!D:D)</f>
        <v>Solution Super Agent</v>
      </c>
      <c r="B201" s="24" t="str">
        <f>_xlfn.XLOOKUP(F201,'TFS Details'!F:F,'TFS Details'!A:A)</f>
        <v>[Gen AI - SSA] - PII Reporting form changes.</v>
      </c>
      <c r="C201" s="64">
        <f>_xlfn.XLOOKUP(F201,'TFS Details'!F:F,'TFS Details'!E:E)</f>
        <v>4368560</v>
      </c>
      <c r="D201" s="17" t="s">
        <v>49</v>
      </c>
      <c r="E201" s="73" t="s">
        <v>561</v>
      </c>
      <c r="F201" s="74">
        <v>4368401</v>
      </c>
      <c r="G201" s="73" t="s">
        <v>539</v>
      </c>
      <c r="H201" s="73" t="s">
        <v>538</v>
      </c>
      <c r="I201" s="73"/>
      <c r="J201" s="73" t="s">
        <v>95</v>
      </c>
      <c r="K201" s="97" t="s">
        <v>18</v>
      </c>
      <c r="L201" s="16" t="s">
        <v>562</v>
      </c>
      <c r="M201" s="16" t="s">
        <v>72</v>
      </c>
      <c r="N201" s="17"/>
      <c r="O201" s="134"/>
      <c r="Q201" s="176"/>
      <c r="R201" s="176"/>
      <c r="S201" s="176"/>
      <c r="T201" s="176"/>
      <c r="W201" s="17" t="s">
        <v>183</v>
      </c>
      <c r="X201" s="17" t="s">
        <v>183</v>
      </c>
      <c r="Y201" s="17" t="s">
        <v>183</v>
      </c>
      <c r="Z201" s="17" t="s">
        <v>183</v>
      </c>
      <c r="AA201" s="176">
        <v>30</v>
      </c>
      <c r="AB201" s="176">
        <v>5</v>
      </c>
      <c r="AC201" s="176">
        <v>10</v>
      </c>
      <c r="AD201" s="176">
        <v>15</v>
      </c>
      <c r="AE201" s="33">
        <v>0.3</v>
      </c>
      <c r="AF201" s="33">
        <v>0.3</v>
      </c>
      <c r="AG201" s="25" t="str">
        <f>_xlfn.XLOOKUP(F201,'TFS Details'!F:F,'TFS Details'!H:H)</f>
        <v>UAT In Test</v>
      </c>
      <c r="AH201" s="44">
        <v>15</v>
      </c>
      <c r="AI201" s="44">
        <v>0</v>
      </c>
      <c r="AJ201" s="44">
        <v>0</v>
      </c>
      <c r="AK201" s="44">
        <v>0</v>
      </c>
      <c r="AL201" s="40">
        <f t="shared" si="25"/>
        <v>15</v>
      </c>
      <c r="AM201" s="41">
        <f t="shared" si="26"/>
        <v>1</v>
      </c>
      <c r="AN201" s="41">
        <f t="shared" si="27"/>
        <v>1</v>
      </c>
      <c r="AO201" s="25"/>
      <c r="AP201" s="25" t="str">
        <f>_xlfn.XLOOKUP(F201,'TFS Details'!F:F,'TFS Details'!I:I)</f>
        <v>GEN AI - Solution Super Agent</v>
      </c>
      <c r="AQ201" s="25" t="str">
        <f>_xlfn.XLOOKUP(AP201,'TFS Details'!I:I,'TFS Details'!AE:AE)</f>
        <v>pandidurai.ks</v>
      </c>
    </row>
    <row r="202" spans="1:43">
      <c r="A202" s="24" t="str">
        <f>_xlfn.XLOOKUP(F202,'TFS Details'!F:F,'TFS Details'!D:D)</f>
        <v>Solution Review Agent</v>
      </c>
      <c r="B202" s="24" t="str">
        <f>_xlfn.XLOOKUP(F202,'TFS Details'!F:F,'TFS Details'!A:A)</f>
        <v>[Gen AI - SRA] - Review Agent L2 summarization</v>
      </c>
      <c r="C202" s="64">
        <f>_xlfn.XLOOKUP(F202,'TFS Details'!F:F,'TFS Details'!E:E)</f>
        <v>4369470</v>
      </c>
      <c r="D202" s="17" t="s">
        <v>49</v>
      </c>
      <c r="E202" s="73" t="s">
        <v>563</v>
      </c>
      <c r="F202" s="74">
        <v>4368402</v>
      </c>
      <c r="G202" s="73" t="s">
        <v>409</v>
      </c>
      <c r="H202" s="73" t="s">
        <v>564</v>
      </c>
      <c r="I202" s="73"/>
      <c r="J202" s="73"/>
      <c r="K202" s="97" t="s">
        <v>18</v>
      </c>
      <c r="L202" s="173" t="s">
        <v>565</v>
      </c>
      <c r="M202" s="16" t="s">
        <v>21</v>
      </c>
      <c r="N202" s="17"/>
      <c r="O202" s="134"/>
      <c r="Q202" s="176"/>
      <c r="R202" s="176"/>
      <c r="S202" s="176"/>
      <c r="T202" s="176"/>
      <c r="W202" s="17" t="s">
        <v>183</v>
      </c>
      <c r="X202" s="17" t="s">
        <v>183</v>
      </c>
      <c r="Y202" s="17" t="s">
        <v>183</v>
      </c>
      <c r="Z202" s="17" t="s">
        <v>183</v>
      </c>
      <c r="AA202" s="176">
        <v>20</v>
      </c>
      <c r="AB202" s="176">
        <v>8</v>
      </c>
      <c r="AC202" s="176">
        <v>9</v>
      </c>
      <c r="AD202" s="176">
        <v>9</v>
      </c>
      <c r="AE202" s="33">
        <v>0.75</v>
      </c>
      <c r="AF202" s="33">
        <v>0.9</v>
      </c>
      <c r="AG202" s="25" t="str">
        <f>_xlfn.XLOOKUP(F202,'TFS Details'!F:F,'TFS Details'!H:H)</f>
        <v>UAT In Test</v>
      </c>
      <c r="AH202" s="44">
        <v>9</v>
      </c>
      <c r="AI202" s="44">
        <v>0</v>
      </c>
      <c r="AJ202" s="44">
        <v>0</v>
      </c>
      <c r="AK202" s="44">
        <v>0</v>
      </c>
      <c r="AL202" s="40">
        <f t="shared" si="25"/>
        <v>9</v>
      </c>
      <c r="AM202" s="41">
        <f t="shared" si="26"/>
        <v>1</v>
      </c>
      <c r="AN202" s="41">
        <f t="shared" si="27"/>
        <v>1</v>
      </c>
      <c r="AO202" s="25"/>
      <c r="AP202" s="25" t="str">
        <f>_xlfn.XLOOKUP(F202,'TFS Details'!F:F,'TFS Details'!I:I)</f>
        <v>Gen AI - Solution Review Agent</v>
      </c>
      <c r="AQ202" s="25" t="str">
        <f>_xlfn.XLOOKUP(AP202,'TFS Details'!I:I,'TFS Details'!AE:AE)</f>
        <v>n.d.krishnakumar</v>
      </c>
    </row>
    <row r="203" spans="1:43">
      <c r="A203" s="24" t="str">
        <f>_xlfn.XLOOKUP(F203,'TFS Details'!F:F,'TFS Details'!D:D)</f>
        <v>Solution Super Agent</v>
      </c>
      <c r="B203" s="24" t="str">
        <f>_xlfn.XLOOKUP(F203,'TFS Details'!F:F,'TFS Details'!A:A)</f>
        <v>[Gen AI - SSA] - PII Reporting form changes.</v>
      </c>
      <c r="C203" s="64">
        <f>_xlfn.XLOOKUP(F203,'TFS Details'!F:F,'TFS Details'!E:E)</f>
        <v>4368560</v>
      </c>
      <c r="D203" s="17" t="s">
        <v>49</v>
      </c>
      <c r="E203" s="73" t="s">
        <v>566</v>
      </c>
      <c r="F203" s="74">
        <v>4368403</v>
      </c>
      <c r="G203" s="73" t="s">
        <v>409</v>
      </c>
      <c r="H203" s="73" t="s">
        <v>564</v>
      </c>
      <c r="I203" s="73"/>
      <c r="J203" s="73"/>
      <c r="K203" s="97" t="s">
        <v>18</v>
      </c>
      <c r="L203" s="184" t="s">
        <v>534</v>
      </c>
      <c r="M203" s="16" t="s">
        <v>72</v>
      </c>
      <c r="N203" s="17"/>
      <c r="O203" s="134"/>
      <c r="Q203" s="176"/>
      <c r="R203" s="176"/>
      <c r="S203" s="176"/>
      <c r="T203" s="176"/>
      <c r="W203" s="17" t="s">
        <v>183</v>
      </c>
      <c r="X203" s="17" t="s">
        <v>183</v>
      </c>
      <c r="Y203" s="17" t="s">
        <v>183</v>
      </c>
      <c r="Z203" s="17" t="s">
        <v>183</v>
      </c>
      <c r="AA203" s="176">
        <v>20</v>
      </c>
      <c r="AB203" s="176">
        <v>8</v>
      </c>
      <c r="AC203" s="176">
        <v>5</v>
      </c>
      <c r="AD203" s="176">
        <v>9</v>
      </c>
      <c r="AE203" s="33">
        <v>0.75</v>
      </c>
      <c r="AF203" s="33">
        <v>0.9</v>
      </c>
      <c r="AG203" s="25" t="str">
        <f>_xlfn.XLOOKUP(F203,'TFS Details'!F:F,'TFS Details'!H:H)</f>
        <v>UAT In Test</v>
      </c>
      <c r="AH203" s="44">
        <v>6</v>
      </c>
      <c r="AI203" s="44">
        <v>0</v>
      </c>
      <c r="AJ203" s="44">
        <v>0</v>
      </c>
      <c r="AK203" s="44">
        <v>0</v>
      </c>
      <c r="AL203" s="40">
        <f t="shared" si="25"/>
        <v>6</v>
      </c>
      <c r="AM203" s="41">
        <f t="shared" si="26"/>
        <v>1</v>
      </c>
      <c r="AN203" s="41">
        <f t="shared" si="27"/>
        <v>1</v>
      </c>
      <c r="AO203" s="25"/>
      <c r="AP203" s="25" t="str">
        <f>_xlfn.XLOOKUP(F203,'TFS Details'!F:F,'TFS Details'!I:I)</f>
        <v>GEN AI - Solution Super Agent</v>
      </c>
      <c r="AQ203" s="25" t="str">
        <f>_xlfn.XLOOKUP(AP203,'TFS Details'!I:I,'TFS Details'!AE:AE)</f>
        <v>pandidurai.ks</v>
      </c>
    </row>
    <row r="204" spans="1:43">
      <c r="A204" s="24" t="str">
        <f>_xlfn.XLOOKUP(F204,'TFS Details'!F:F,'TFS Details'!D:D)</f>
        <v>Solution Super Agent</v>
      </c>
      <c r="B204" s="24" t="str">
        <f>_xlfn.XLOOKUP(F204,'TFS Details'!F:F,'TFS Details'!A:A)</f>
        <v>[Gen AI - SSA] - Enhancement of SSA Agent info. pane.</v>
      </c>
      <c r="C204" s="64">
        <f>_xlfn.XLOOKUP(F204,'TFS Details'!F:F,'TFS Details'!E:E)</f>
        <v>4372101</v>
      </c>
      <c r="D204" s="17" t="s">
        <v>36</v>
      </c>
      <c r="E204" s="73" t="s">
        <v>567</v>
      </c>
      <c r="F204" s="74">
        <v>4373635</v>
      </c>
      <c r="G204" s="73" t="s">
        <v>409</v>
      </c>
      <c r="H204" s="73" t="s">
        <v>564</v>
      </c>
      <c r="I204" s="73"/>
      <c r="J204" s="73"/>
      <c r="K204" s="97" t="s">
        <v>18</v>
      </c>
      <c r="L204" s="16" t="s">
        <v>507</v>
      </c>
      <c r="M204" s="16" t="s">
        <v>21</v>
      </c>
      <c r="N204" s="17"/>
      <c r="O204" s="134"/>
      <c r="Q204" s="176"/>
      <c r="R204" s="176"/>
      <c r="S204" s="176"/>
      <c r="T204" s="176"/>
      <c r="W204" s="17" t="s">
        <v>183</v>
      </c>
      <c r="X204" s="17" t="s">
        <v>183</v>
      </c>
      <c r="Y204" s="17" t="s">
        <v>183</v>
      </c>
      <c r="Z204" s="17" t="s">
        <v>183</v>
      </c>
      <c r="AA204" s="176">
        <v>20</v>
      </c>
      <c r="AB204" s="176">
        <v>8</v>
      </c>
      <c r="AC204" s="176">
        <v>8</v>
      </c>
      <c r="AD204" s="176">
        <v>9</v>
      </c>
      <c r="AE204" s="33">
        <v>0.75</v>
      </c>
      <c r="AF204" s="33">
        <v>0.9</v>
      </c>
      <c r="AG204" s="25" t="str">
        <f>_xlfn.XLOOKUP(F204,'TFS Details'!F:F,'TFS Details'!H:H)</f>
        <v>UAT In Test</v>
      </c>
      <c r="AH204" s="44">
        <v>9</v>
      </c>
      <c r="AI204" s="44">
        <v>0</v>
      </c>
      <c r="AJ204" s="44">
        <v>0</v>
      </c>
      <c r="AK204" s="44">
        <v>0</v>
      </c>
      <c r="AL204" s="40">
        <f t="shared" si="25"/>
        <v>9</v>
      </c>
      <c r="AM204" s="41">
        <f t="shared" si="26"/>
        <v>1</v>
      </c>
      <c r="AN204" s="41">
        <f t="shared" si="27"/>
        <v>1</v>
      </c>
      <c r="AO204" s="25"/>
      <c r="AP204" s="25" t="str">
        <f>_xlfn.XLOOKUP(F204,'TFS Details'!F:F,'TFS Details'!I:I)</f>
        <v>GEN AI - Solution Super Agent</v>
      </c>
      <c r="AQ204" s="25" t="str">
        <f>_xlfn.XLOOKUP(AP204,'TFS Details'!I:I,'TFS Details'!AE:AE)</f>
        <v>pandidurai.ks</v>
      </c>
    </row>
    <row r="205" spans="1:43">
      <c r="A205" s="24" t="str">
        <f>_xlfn.XLOOKUP(F205,'TFS Details'!F:F,'TFS Details'!D:D)</f>
        <v>GEN AI</v>
      </c>
      <c r="B205" s="24" t="str">
        <f>_xlfn.XLOOKUP(F205,'TFS Details'!F:F,'TFS Details'!A:A)</f>
        <v>HSP March Release Enhancements</v>
      </c>
      <c r="C205" s="64">
        <f>_xlfn.XLOOKUP(F205,'TFS Details'!F:F,'TFS Details'!E:E)</f>
        <v>4387681</v>
      </c>
      <c r="D205" s="17" t="s">
        <v>36</v>
      </c>
      <c r="E205" s="73" t="s">
        <v>568</v>
      </c>
      <c r="F205" s="74">
        <v>4392105</v>
      </c>
      <c r="G205" s="73" t="s">
        <v>569</v>
      </c>
      <c r="H205" s="73" t="s">
        <v>570</v>
      </c>
      <c r="I205" s="73"/>
      <c r="J205" s="73"/>
      <c r="K205" s="97" t="s">
        <v>18</v>
      </c>
      <c r="L205" s="173" t="s">
        <v>571</v>
      </c>
      <c r="M205" s="16" t="s">
        <v>21</v>
      </c>
      <c r="N205" s="17"/>
      <c r="O205" s="134"/>
      <c r="Q205" s="176"/>
      <c r="R205" s="176"/>
      <c r="S205" s="176"/>
      <c r="T205" s="176"/>
      <c r="W205" s="17" t="s">
        <v>183</v>
      </c>
      <c r="X205" s="17" t="s">
        <v>183</v>
      </c>
      <c r="Y205" s="17" t="s">
        <v>183</v>
      </c>
      <c r="Z205" s="17" t="s">
        <v>183</v>
      </c>
      <c r="AA205" s="176"/>
      <c r="AB205" s="176"/>
      <c r="AC205" s="176">
        <v>1</v>
      </c>
      <c r="AD205" s="176">
        <v>1</v>
      </c>
      <c r="AE205" s="33"/>
      <c r="AF205" s="33">
        <v>1</v>
      </c>
      <c r="AG205" s="25" t="s">
        <v>572</v>
      </c>
      <c r="AH205" s="44">
        <v>1</v>
      </c>
      <c r="AI205" s="44">
        <v>0</v>
      </c>
      <c r="AJ205" s="44">
        <v>0</v>
      </c>
      <c r="AK205" s="44">
        <v>0</v>
      </c>
      <c r="AL205" s="40">
        <f>SUM(AH205:AK205)</f>
        <v>1</v>
      </c>
      <c r="AM205" s="41">
        <f t="shared" si="26"/>
        <v>1</v>
      </c>
      <c r="AN205" s="41">
        <f>IF(AH205=0,0,AH205/(SUM(AH205:AJ205)))</f>
        <v>1</v>
      </c>
      <c r="AO205" s="25"/>
      <c r="AP205" s="25" t="str">
        <f>_xlfn.XLOOKUP(F205,'TFS Details'!F:F,'TFS Details'!I:I)</f>
        <v>Harvesting solutionPlan</v>
      </c>
      <c r="AQ205" s="25" t="str">
        <f>_xlfn.XLOOKUP(AP205,'TFS Details'!I:I,'TFS Details'!AE:AE)</f>
        <v>pandidurai.ks</v>
      </c>
    </row>
    <row r="206" spans="1:43">
      <c r="A206" s="24" t="str">
        <f>_xlfn.XLOOKUP(F206,'TFS Details'!F:F,'TFS Details'!D:D)</f>
        <v>Gen AI</v>
      </c>
      <c r="B206" s="24" t="str">
        <f>_xlfn.XLOOKUP(F206,'TFS Details'!F:F,'TFS Details'!A:A)</f>
        <v>[Gen AI - SSA] - S2C Use Cases</v>
      </c>
      <c r="C206" s="64">
        <f>_xlfn.XLOOKUP(F206,'TFS Details'!F:F,'TFS Details'!E:E)</f>
        <v>4369453</v>
      </c>
      <c r="D206" s="17" t="s">
        <v>49</v>
      </c>
      <c r="E206" s="73" t="s">
        <v>573</v>
      </c>
      <c r="F206" s="74">
        <v>4368021</v>
      </c>
      <c r="G206" s="73" t="s">
        <v>574</v>
      </c>
      <c r="H206" s="73" t="s">
        <v>570</v>
      </c>
      <c r="I206" s="73"/>
      <c r="J206" s="73"/>
      <c r="K206" s="97" t="s">
        <v>18</v>
      </c>
      <c r="L206" s="173" t="s">
        <v>571</v>
      </c>
      <c r="M206" s="16" t="s">
        <v>21</v>
      </c>
      <c r="N206" s="17"/>
      <c r="O206" s="134"/>
      <c r="Q206" s="176"/>
      <c r="R206" s="176"/>
      <c r="S206" s="176"/>
      <c r="T206" s="176"/>
      <c r="W206" s="17" t="s">
        <v>183</v>
      </c>
      <c r="X206" s="17" t="s">
        <v>183</v>
      </c>
      <c r="Y206" s="17" t="s">
        <v>183</v>
      </c>
      <c r="Z206" s="17" t="s">
        <v>183</v>
      </c>
      <c r="AA206" s="176">
        <v>20</v>
      </c>
      <c r="AB206" s="176">
        <v>2</v>
      </c>
      <c r="AC206" s="176">
        <v>7</v>
      </c>
      <c r="AD206" s="176">
        <v>7</v>
      </c>
      <c r="AE206" s="33">
        <v>0.25</v>
      </c>
      <c r="AF206" s="33">
        <v>0.25</v>
      </c>
      <c r="AG206" s="25" t="str">
        <f>_xlfn.XLOOKUP(F206,'TFS Details'!F:F,'TFS Details'!H:H)</f>
        <v>UAT In Test</v>
      </c>
      <c r="AH206" s="44">
        <v>7</v>
      </c>
      <c r="AI206" s="44">
        <v>0</v>
      </c>
      <c r="AJ206" s="44">
        <v>0</v>
      </c>
      <c r="AK206" s="44">
        <v>0</v>
      </c>
      <c r="AL206" s="40">
        <v>7</v>
      </c>
      <c r="AM206" s="41">
        <f t="shared" si="26"/>
        <v>1</v>
      </c>
      <c r="AN206" s="41">
        <f t="shared" si="27"/>
        <v>1</v>
      </c>
      <c r="AO206" s="25"/>
      <c r="AP206" s="25" t="str">
        <f>_xlfn.XLOOKUP(F206,'TFS Details'!F:F,'TFS Details'!I:I)</f>
        <v>GEN AI - Solution Super Agent</v>
      </c>
      <c r="AQ206" s="25" t="str">
        <f>_xlfn.XLOOKUP(AP206,'TFS Details'!I:I,'TFS Details'!AE:AE)</f>
        <v>pandidurai.ks</v>
      </c>
    </row>
    <row r="207" spans="1:43">
      <c r="A207" s="24" t="str">
        <f>_xlfn.XLOOKUP(F207,'TFS Details'!F:F,'TFS Details'!D:D)</f>
        <v>Gen AI</v>
      </c>
      <c r="B207" s="24" t="str">
        <f>_xlfn.XLOOKUP(F207,'TFS Details'!F:F,'TFS Details'!A:A)</f>
        <v>[Gen AI - SSA] - S2C Use Cases</v>
      </c>
      <c r="C207" s="64">
        <f>_xlfn.XLOOKUP(F207,'TFS Details'!F:F,'TFS Details'!E:E)</f>
        <v>4369453</v>
      </c>
      <c r="D207" s="17" t="s">
        <v>49</v>
      </c>
      <c r="E207" s="73" t="s">
        <v>575</v>
      </c>
      <c r="F207" s="74">
        <v>4368032</v>
      </c>
      <c r="G207" s="73" t="s">
        <v>569</v>
      </c>
      <c r="H207" s="73" t="s">
        <v>570</v>
      </c>
      <c r="I207" s="73"/>
      <c r="J207" s="73"/>
      <c r="K207" s="97" t="s">
        <v>18</v>
      </c>
      <c r="L207" s="173" t="s">
        <v>571</v>
      </c>
      <c r="M207" s="16" t="s">
        <v>21</v>
      </c>
      <c r="N207" s="17"/>
      <c r="O207" s="134"/>
      <c r="Q207" s="176"/>
      <c r="R207" s="176"/>
      <c r="S207" s="176"/>
      <c r="T207" s="176"/>
      <c r="W207" s="17" t="s">
        <v>183</v>
      </c>
      <c r="X207" s="17" t="s">
        <v>183</v>
      </c>
      <c r="Y207" s="17" t="s">
        <v>183</v>
      </c>
      <c r="Z207" s="17" t="s">
        <v>183</v>
      </c>
      <c r="AA207" s="176">
        <v>20</v>
      </c>
      <c r="AB207" s="176">
        <v>2</v>
      </c>
      <c r="AC207" s="176">
        <v>6</v>
      </c>
      <c r="AD207" s="176">
        <v>8</v>
      </c>
      <c r="AE207" s="33">
        <v>0.5</v>
      </c>
      <c r="AF207" s="33">
        <v>0.5</v>
      </c>
      <c r="AG207" s="25" t="str">
        <f>_xlfn.XLOOKUP(F207,'TFS Details'!F:F,'TFS Details'!H:H)</f>
        <v>UAT In Test</v>
      </c>
      <c r="AH207" s="44">
        <v>7</v>
      </c>
      <c r="AI207" s="44">
        <v>1</v>
      </c>
      <c r="AJ207" s="44">
        <v>0</v>
      </c>
      <c r="AK207" s="44">
        <v>0</v>
      </c>
      <c r="AL207" s="40">
        <f>SUM(AH207:AK207)</f>
        <v>8</v>
      </c>
      <c r="AM207" s="41">
        <f t="shared" si="26"/>
        <v>1</v>
      </c>
      <c r="AN207" s="41">
        <f t="shared" si="27"/>
        <v>0.875</v>
      </c>
      <c r="AO207" s="25"/>
      <c r="AP207" s="25" t="str">
        <f>_xlfn.XLOOKUP(F207,'TFS Details'!F:F,'TFS Details'!I:I)</f>
        <v>GEN AI - Solution Super Agent</v>
      </c>
      <c r="AQ207" s="25" t="str">
        <f>_xlfn.XLOOKUP(AP207,'TFS Details'!I:I,'TFS Details'!AE:AE)</f>
        <v>pandidurai.ks</v>
      </c>
    </row>
    <row r="208" spans="1:43">
      <c r="A208" s="24" t="str">
        <f>_xlfn.XLOOKUP(F208,'TFS Details'!F:F,'TFS Details'!D:D)</f>
        <v>Gen AI</v>
      </c>
      <c r="B208" s="24" t="str">
        <f>_xlfn.XLOOKUP(F208,'TFS Details'!F:F,'TFS Details'!A:A)</f>
        <v>[Gen AI - SSA] - S2C Use Cases</v>
      </c>
      <c r="C208" s="64">
        <f>_xlfn.XLOOKUP(F208,'TFS Details'!F:F,'TFS Details'!E:E)</f>
        <v>4369453</v>
      </c>
      <c r="D208" s="17" t="s">
        <v>49</v>
      </c>
      <c r="E208" s="73" t="s">
        <v>576</v>
      </c>
      <c r="F208" s="74">
        <v>4368033</v>
      </c>
      <c r="G208" s="73" t="s">
        <v>409</v>
      </c>
      <c r="H208" s="73" t="s">
        <v>564</v>
      </c>
      <c r="I208" s="73"/>
      <c r="J208" s="73"/>
      <c r="K208" s="97" t="s">
        <v>18</v>
      </c>
      <c r="L208" s="173" t="s">
        <v>571</v>
      </c>
      <c r="M208" s="16" t="s">
        <v>21</v>
      </c>
      <c r="N208" s="17"/>
      <c r="O208" s="134"/>
      <c r="Q208" s="176"/>
      <c r="R208" s="176"/>
      <c r="S208" s="176"/>
      <c r="T208" s="176"/>
      <c r="W208" s="17" t="s">
        <v>183</v>
      </c>
      <c r="X208" s="17" t="s">
        <v>183</v>
      </c>
      <c r="Y208" s="17" t="s">
        <v>183</v>
      </c>
      <c r="Z208" s="17" t="s">
        <v>183</v>
      </c>
      <c r="AA208" s="176">
        <v>20</v>
      </c>
      <c r="AB208" s="176">
        <v>8</v>
      </c>
      <c r="AC208" s="176">
        <v>7</v>
      </c>
      <c r="AD208" s="176">
        <v>9</v>
      </c>
      <c r="AE208" s="33">
        <v>0.75</v>
      </c>
      <c r="AF208" s="33">
        <v>0.9</v>
      </c>
      <c r="AG208" s="25" t="str">
        <f>_xlfn.XLOOKUP(F208,'TFS Details'!F:F,'TFS Details'!H:H)</f>
        <v>UAT In Test</v>
      </c>
      <c r="AH208" s="44">
        <v>7</v>
      </c>
      <c r="AI208" s="44">
        <v>0</v>
      </c>
      <c r="AJ208" s="44">
        <v>0</v>
      </c>
      <c r="AK208" s="44">
        <v>0</v>
      </c>
      <c r="AL208" s="40">
        <f t="shared" si="25"/>
        <v>7</v>
      </c>
      <c r="AM208" s="41">
        <f t="shared" si="26"/>
        <v>1</v>
      </c>
      <c r="AN208" s="41">
        <f t="shared" si="27"/>
        <v>1</v>
      </c>
      <c r="AO208" s="25"/>
      <c r="AP208" s="25" t="str">
        <f>_xlfn.XLOOKUP(F208,'TFS Details'!F:F,'TFS Details'!I:I)</f>
        <v>GEN AI - Solution Super Agent</v>
      </c>
      <c r="AQ208" s="25" t="str">
        <f>_xlfn.XLOOKUP(AP208,'TFS Details'!I:I,'TFS Details'!AE:AE)</f>
        <v>pandidurai.ks</v>
      </c>
    </row>
    <row r="209" spans="1:43">
      <c r="A209" s="24" t="str">
        <f>_xlfn.XLOOKUP(F209,'TFS Details'!F:F,'TFS Details'!D:D)</f>
        <v>Gen AI</v>
      </c>
      <c r="B209" s="24" t="str">
        <f>_xlfn.XLOOKUP(F209,'TFS Details'!F:F,'TFS Details'!A:A)</f>
        <v>[Gen AI - SSA] - S2C Use Cases</v>
      </c>
      <c r="C209" s="64">
        <f>_xlfn.XLOOKUP(F209,'TFS Details'!F:F,'TFS Details'!E:E)</f>
        <v>4369453</v>
      </c>
      <c r="D209" s="17" t="s">
        <v>49</v>
      </c>
      <c r="E209" s="73" t="s">
        <v>577</v>
      </c>
      <c r="F209" s="74">
        <v>4368053</v>
      </c>
      <c r="G209" s="73" t="s">
        <v>505</v>
      </c>
      <c r="H209" s="73" t="s">
        <v>506</v>
      </c>
      <c r="I209" s="73"/>
      <c r="J209" s="73" t="s">
        <v>108</v>
      </c>
      <c r="K209" s="97" t="s">
        <v>18</v>
      </c>
      <c r="L209" s="16" t="s">
        <v>578</v>
      </c>
      <c r="M209" s="16" t="s">
        <v>28</v>
      </c>
      <c r="N209" s="17"/>
      <c r="O209" s="134"/>
      <c r="Q209" s="176"/>
      <c r="R209" s="176"/>
      <c r="S209" s="176"/>
      <c r="T209" s="176"/>
      <c r="W209" s="17" t="s">
        <v>183</v>
      </c>
      <c r="X209" s="17" t="s">
        <v>183</v>
      </c>
      <c r="Y209" s="17" t="s">
        <v>183</v>
      </c>
      <c r="Z209" s="17" t="s">
        <v>183</v>
      </c>
      <c r="AA209" s="176">
        <v>80</v>
      </c>
      <c r="AB209" s="176">
        <v>6</v>
      </c>
      <c r="AC209" s="176">
        <v>0</v>
      </c>
      <c r="AD209" s="176">
        <v>6</v>
      </c>
      <c r="AE209" s="33">
        <v>0.7</v>
      </c>
      <c r="AF209" s="33">
        <v>0.6</v>
      </c>
      <c r="AG209" s="25" t="str">
        <f>_xlfn.XLOOKUP(F209,'TFS Details'!F:F,'TFS Details'!H:H)</f>
        <v>UAT In Test</v>
      </c>
      <c r="AH209" s="44">
        <v>6</v>
      </c>
      <c r="AI209" s="44">
        <v>0</v>
      </c>
      <c r="AJ209" s="44">
        <v>0</v>
      </c>
      <c r="AK209" s="44">
        <v>0</v>
      </c>
      <c r="AL209" s="40">
        <f t="shared" si="25"/>
        <v>6</v>
      </c>
      <c r="AM209" s="41">
        <f t="shared" si="26"/>
        <v>1</v>
      </c>
      <c r="AN209" s="41">
        <f t="shared" si="27"/>
        <v>1</v>
      </c>
      <c r="AO209" s="25"/>
      <c r="AP209" s="25" t="str">
        <f>_xlfn.XLOOKUP(F209,'TFS Details'!F:F,'TFS Details'!I:I)</f>
        <v>GEN AI - Solution Super Agent</v>
      </c>
      <c r="AQ209" s="25" t="str">
        <f>_xlfn.XLOOKUP(AP209,'TFS Details'!I:I,'TFS Details'!AE:AE)</f>
        <v>pandidurai.ks</v>
      </c>
    </row>
    <row r="210" spans="1:43">
      <c r="A210" s="24" t="str">
        <f>_xlfn.XLOOKUP(F210,'TFS Details'!F:F,'TFS Details'!D:D)</f>
        <v>Solution Super Agent</v>
      </c>
      <c r="B210" s="24" t="str">
        <f>_xlfn.XLOOKUP(F210,'TFS Details'!F:F,'TFS Details'!A:A)</f>
        <v>[Gen AI - SSA] - S2C Use Cases</v>
      </c>
      <c r="C210" s="64">
        <f>_xlfn.XLOOKUP(F210,'TFS Details'!F:F,'TFS Details'!E:E)</f>
        <v>4369453</v>
      </c>
      <c r="D210" s="17" t="s">
        <v>49</v>
      </c>
      <c r="E210" s="73" t="s">
        <v>579</v>
      </c>
      <c r="F210" s="74">
        <v>4368070</v>
      </c>
      <c r="G210" s="73" t="s">
        <v>505</v>
      </c>
      <c r="H210" s="73" t="s">
        <v>506</v>
      </c>
      <c r="I210" s="73"/>
      <c r="J210" s="73" t="s">
        <v>108</v>
      </c>
      <c r="K210" s="97" t="s">
        <v>1</v>
      </c>
      <c r="L210" s="16"/>
      <c r="N210" s="17" t="s">
        <v>182</v>
      </c>
      <c r="O210" s="134">
        <v>1</v>
      </c>
      <c r="P210" s="33">
        <v>1</v>
      </c>
      <c r="Q210" s="176">
        <v>3</v>
      </c>
      <c r="R210" s="176">
        <v>1</v>
      </c>
      <c r="S210" s="176">
        <v>0</v>
      </c>
      <c r="T210" s="176">
        <v>1</v>
      </c>
      <c r="U210" s="33">
        <v>0.6</v>
      </c>
      <c r="V210" s="33">
        <v>0.5</v>
      </c>
      <c r="W210" s="17" t="s">
        <v>183</v>
      </c>
      <c r="X210" s="17" t="s">
        <v>183</v>
      </c>
      <c r="Y210" s="17" t="s">
        <v>183</v>
      </c>
      <c r="Z210" s="17" t="s">
        <v>183</v>
      </c>
      <c r="AA210" s="176">
        <v>97</v>
      </c>
      <c r="AB210" s="176">
        <v>3</v>
      </c>
      <c r="AC210" s="176">
        <v>0</v>
      </c>
      <c r="AD210" s="176">
        <v>3</v>
      </c>
      <c r="AE210" s="33">
        <v>0.6</v>
      </c>
      <c r="AF210" s="33">
        <v>0.5</v>
      </c>
      <c r="AG210" s="25" t="str">
        <f>_xlfn.XLOOKUP(F210,'TFS Details'!F:F,'TFS Details'!H:H)</f>
        <v>UAT In Test</v>
      </c>
      <c r="AH210" s="44">
        <v>3</v>
      </c>
      <c r="AI210" s="44">
        <v>0</v>
      </c>
      <c r="AJ210" s="44">
        <v>0</v>
      </c>
      <c r="AK210" s="44">
        <v>0</v>
      </c>
      <c r="AL210" s="40">
        <f t="shared" si="25"/>
        <v>3</v>
      </c>
      <c r="AM210" s="41">
        <f t="shared" si="26"/>
        <v>1</v>
      </c>
      <c r="AN210" s="41">
        <f t="shared" si="27"/>
        <v>1</v>
      </c>
      <c r="AO210" s="25"/>
      <c r="AP210" s="25" t="str">
        <f>_xlfn.XLOOKUP(F210,'TFS Details'!F:F,'TFS Details'!I:I)</f>
        <v>GEN AI - Solution Super Agent</v>
      </c>
      <c r="AQ210" s="25" t="str">
        <f>_xlfn.XLOOKUP(AP210,'TFS Details'!I:I,'TFS Details'!AE:AE)</f>
        <v>pandidurai.ks</v>
      </c>
    </row>
    <row r="211" spans="1:43">
      <c r="A211" s="24" t="str">
        <f>_xlfn.XLOOKUP(F211,'TFS Details'!F:F,'TFS Details'!D:D)</f>
        <v>CDAT</v>
      </c>
      <c r="B211" s="24" t="str">
        <f>_xlfn.XLOOKUP(F211,'TFS Details'!F:F,'TFS Details'!A:A)</f>
        <v>CDAT Gen AI additional Nudges addition.</v>
      </c>
      <c r="C211" s="64">
        <f>_xlfn.XLOOKUP(F211,'TFS Details'!F:F,'TFS Details'!E:E)</f>
        <v>4368954</v>
      </c>
      <c r="D211" s="17" t="s">
        <v>36</v>
      </c>
      <c r="E211" s="73" t="s">
        <v>580</v>
      </c>
      <c r="F211" s="74">
        <v>4372288</v>
      </c>
      <c r="G211" s="73" t="s">
        <v>581</v>
      </c>
      <c r="H211" s="73" t="s">
        <v>582</v>
      </c>
      <c r="I211" s="73"/>
      <c r="J211" s="73"/>
      <c r="K211" s="97" t="s">
        <v>18</v>
      </c>
      <c r="L211" s="95" t="s">
        <v>583</v>
      </c>
      <c r="M211" s="16" t="s">
        <v>54</v>
      </c>
      <c r="N211" s="17"/>
      <c r="O211" s="134"/>
      <c r="Q211" s="176"/>
      <c r="R211" s="176"/>
      <c r="S211" s="176"/>
      <c r="T211" s="176"/>
      <c r="W211" s="17" t="s">
        <v>183</v>
      </c>
      <c r="X211" s="17" t="s">
        <v>183</v>
      </c>
      <c r="Y211" s="17" t="s">
        <v>183</v>
      </c>
      <c r="Z211" s="17" t="s">
        <v>183</v>
      </c>
      <c r="AA211" s="176">
        <v>43</v>
      </c>
      <c r="AB211" s="176">
        <v>0</v>
      </c>
      <c r="AC211" s="176">
        <v>14</v>
      </c>
      <c r="AD211" s="176">
        <v>0</v>
      </c>
      <c r="AE211" s="33">
        <v>0</v>
      </c>
      <c r="AF211" s="33">
        <v>0</v>
      </c>
      <c r="AG211" s="25" t="str">
        <f>_xlfn.XLOOKUP(F211,'TFS Details'!F:F,'TFS Details'!H:H)</f>
        <v>UAT In Test</v>
      </c>
      <c r="AH211" s="44">
        <v>14</v>
      </c>
      <c r="AI211" s="44">
        <v>0</v>
      </c>
      <c r="AJ211" s="44">
        <v>0</v>
      </c>
      <c r="AK211" s="44">
        <v>0</v>
      </c>
      <c r="AL211" s="40">
        <f t="shared" si="25"/>
        <v>14</v>
      </c>
      <c r="AM211" s="41">
        <f t="shared" si="26"/>
        <v>1</v>
      </c>
      <c r="AN211" s="41">
        <f t="shared" si="27"/>
        <v>1</v>
      </c>
      <c r="AO211" s="25"/>
      <c r="AP211" s="25" t="str">
        <f>_xlfn.XLOOKUP(F211,'TFS Details'!F:F,'TFS Details'!I:I)</f>
        <v>GENAI-CDAT</v>
      </c>
      <c r="AQ211" s="25" t="str">
        <f>_xlfn.XLOOKUP(AP211,'TFS Details'!I:I,'TFS Details'!AE:AE)</f>
        <v>n.d.krishnakumar</v>
      </c>
    </row>
    <row r="212" spans="1:43">
      <c r="A212" s="24" t="str">
        <f>_xlfn.XLOOKUP(F212,'TFS Details'!F:F,'TFS Details'!D:D)</f>
        <v>CDAT</v>
      </c>
      <c r="B212" s="24" t="str">
        <f>_xlfn.XLOOKUP(F212,'TFS Details'!F:F,'TFS Details'!A:A)</f>
        <v>CDAT Gen AI additional Nudges addition.</v>
      </c>
      <c r="C212" s="64">
        <f>_xlfn.XLOOKUP(F212,'TFS Details'!F:F,'TFS Details'!E:E)</f>
        <v>4368954</v>
      </c>
      <c r="D212" s="17" t="s">
        <v>36</v>
      </c>
      <c r="E212" s="73" t="s">
        <v>584</v>
      </c>
      <c r="F212" s="74">
        <v>4367411</v>
      </c>
      <c r="G212" s="73" t="s">
        <v>538</v>
      </c>
      <c r="H212" s="73" t="s">
        <v>539</v>
      </c>
      <c r="I212" s="73"/>
      <c r="J212" s="73" t="s">
        <v>540</v>
      </c>
      <c r="K212" s="97" t="s">
        <v>18</v>
      </c>
      <c r="L212" s="79" t="s">
        <v>585</v>
      </c>
      <c r="M212" s="16" t="s">
        <v>21</v>
      </c>
      <c r="N212" s="17"/>
      <c r="O212" s="134"/>
      <c r="Q212" s="176"/>
      <c r="R212" s="176"/>
      <c r="S212" s="176"/>
      <c r="T212" s="176"/>
      <c r="W212" s="17" t="s">
        <v>183</v>
      </c>
      <c r="X212" s="17" t="s">
        <v>183</v>
      </c>
      <c r="Y212" s="17" t="s">
        <v>183</v>
      </c>
      <c r="Z212" s="17" t="s">
        <v>183</v>
      </c>
      <c r="AA212" s="176">
        <v>34</v>
      </c>
      <c r="AB212" s="176">
        <v>17</v>
      </c>
      <c r="AC212" s="176">
        <v>5</v>
      </c>
      <c r="AD212" s="176">
        <v>22</v>
      </c>
      <c r="AE212" s="33">
        <v>0.8</v>
      </c>
      <c r="AF212" s="33">
        <v>0.85</v>
      </c>
      <c r="AG212" s="25" t="str">
        <f>_xlfn.XLOOKUP(F212,'TFS Details'!F:F,'TFS Details'!H:H)</f>
        <v>UAT In Test</v>
      </c>
      <c r="AH212" s="44">
        <v>22</v>
      </c>
      <c r="AI212" s="44">
        <v>0</v>
      </c>
      <c r="AJ212" s="44">
        <v>0</v>
      </c>
      <c r="AK212" s="44">
        <v>0</v>
      </c>
      <c r="AL212" s="40">
        <f t="shared" si="25"/>
        <v>22</v>
      </c>
      <c r="AM212" s="41">
        <f t="shared" si="26"/>
        <v>1</v>
      </c>
      <c r="AN212" s="41">
        <f t="shared" si="27"/>
        <v>1</v>
      </c>
      <c r="AO212" s="25" t="s">
        <v>536</v>
      </c>
      <c r="AP212" s="25" t="str">
        <f>_xlfn.XLOOKUP(F212,'TFS Details'!F:F,'TFS Details'!I:I)</f>
        <v>GENAI-CDAT</v>
      </c>
      <c r="AQ212" s="25" t="str">
        <f>_xlfn.XLOOKUP(AP212,'TFS Details'!I:I,'TFS Details'!AE:AE)</f>
        <v>n.d.krishnakumar</v>
      </c>
    </row>
    <row r="213" spans="1:43">
      <c r="A213" s="24" t="str">
        <f>_xlfn.XLOOKUP(F213,'TFS Details'!F:F,'TFS Details'!D:D)</f>
        <v>CDAT</v>
      </c>
      <c r="B213" s="24" t="str">
        <f>_xlfn.XLOOKUP(F213,'TFS Details'!F:F,'TFS Details'!A:A)</f>
        <v>CDAT Gen AI additional Nudges addition.</v>
      </c>
      <c r="C213" s="64">
        <f>_xlfn.XLOOKUP(F213,'TFS Details'!F:F,'TFS Details'!E:E)</f>
        <v>4368954</v>
      </c>
      <c r="D213" s="17" t="s">
        <v>36</v>
      </c>
      <c r="E213" s="73" t="s">
        <v>586</v>
      </c>
      <c r="F213" s="74">
        <v>4367444</v>
      </c>
      <c r="G213" s="73" t="s">
        <v>538</v>
      </c>
      <c r="H213" s="73" t="s">
        <v>539</v>
      </c>
      <c r="I213" s="73"/>
      <c r="J213" s="73" t="s">
        <v>540</v>
      </c>
      <c r="K213" s="97" t="s">
        <v>18</v>
      </c>
      <c r="L213" s="79" t="s">
        <v>585</v>
      </c>
      <c r="M213" s="16" t="s">
        <v>21</v>
      </c>
      <c r="N213" s="17"/>
      <c r="O213" s="134"/>
      <c r="Q213" s="176"/>
      <c r="R213" s="176"/>
      <c r="S213" s="176"/>
      <c r="T213" s="176"/>
      <c r="W213" s="17" t="s">
        <v>183</v>
      </c>
      <c r="X213" s="17" t="s">
        <v>183</v>
      </c>
      <c r="Y213" s="17" t="s">
        <v>183</v>
      </c>
      <c r="Z213" s="17" t="s">
        <v>183</v>
      </c>
      <c r="AA213" s="176">
        <v>35</v>
      </c>
      <c r="AB213" s="176">
        <v>18</v>
      </c>
      <c r="AC213" s="176">
        <v>4</v>
      </c>
      <c r="AD213" s="176">
        <v>22</v>
      </c>
      <c r="AE213" s="33">
        <v>0.85</v>
      </c>
      <c r="AF213" s="33">
        <v>0.87</v>
      </c>
      <c r="AG213" s="25" t="str">
        <f>_xlfn.XLOOKUP(F213,'TFS Details'!F:F,'TFS Details'!H:H)</f>
        <v>UAT In Test</v>
      </c>
      <c r="AH213" s="44">
        <v>22</v>
      </c>
      <c r="AI213" s="44">
        <v>0</v>
      </c>
      <c r="AJ213" s="44">
        <v>0</v>
      </c>
      <c r="AK213" s="44">
        <v>0</v>
      </c>
      <c r="AL213" s="40">
        <f t="shared" ref="AL213:AL245" si="28">SUM(AH213:AK213)</f>
        <v>22</v>
      </c>
      <c r="AM213" s="41">
        <f t="shared" si="26"/>
        <v>1</v>
      </c>
      <c r="AN213" s="41">
        <f t="shared" si="27"/>
        <v>1</v>
      </c>
      <c r="AO213" s="25" t="s">
        <v>536</v>
      </c>
      <c r="AP213" s="25" t="str">
        <f>_xlfn.XLOOKUP(F213,'TFS Details'!F:F,'TFS Details'!I:I)</f>
        <v>GENAI-CDAT</v>
      </c>
      <c r="AQ213" s="25" t="str">
        <f>_xlfn.XLOOKUP(AP213,'TFS Details'!I:I,'TFS Details'!AE:AE)</f>
        <v>n.d.krishnakumar</v>
      </c>
    </row>
    <row r="214" spans="1:43">
      <c r="A214" s="24" t="str">
        <f>_xlfn.XLOOKUP(F214,'TFS Details'!F:F,'TFS Details'!D:D)</f>
        <v>CDAT</v>
      </c>
      <c r="B214" s="24" t="str">
        <f>_xlfn.XLOOKUP(F214,'TFS Details'!F:F,'TFS Details'!A:A)</f>
        <v>CDAT Gen AI additional Nudges addition.</v>
      </c>
      <c r="C214" s="64">
        <f>_xlfn.XLOOKUP(F214,'TFS Details'!F:F,'TFS Details'!E:E)</f>
        <v>4368954</v>
      </c>
      <c r="D214" s="17" t="s">
        <v>36</v>
      </c>
      <c r="E214" s="73" t="s">
        <v>587</v>
      </c>
      <c r="F214" s="74">
        <v>4367450</v>
      </c>
      <c r="G214" s="73" t="s">
        <v>538</v>
      </c>
      <c r="H214" s="73" t="s">
        <v>539</v>
      </c>
      <c r="I214" s="73"/>
      <c r="J214" s="73" t="s">
        <v>540</v>
      </c>
      <c r="K214" s="97" t="s">
        <v>18</v>
      </c>
      <c r="L214" s="79" t="s">
        <v>585</v>
      </c>
      <c r="M214" s="16" t="s">
        <v>21</v>
      </c>
      <c r="N214" s="17"/>
      <c r="O214" s="134"/>
      <c r="Q214" s="176"/>
      <c r="R214" s="176"/>
      <c r="S214" s="176"/>
      <c r="T214" s="176"/>
      <c r="W214" s="17" t="s">
        <v>183</v>
      </c>
      <c r="X214" s="17" t="s">
        <v>183</v>
      </c>
      <c r="Y214" s="17" t="s">
        <v>183</v>
      </c>
      <c r="Z214" s="17" t="s">
        <v>183</v>
      </c>
      <c r="AA214" s="176">
        <v>38</v>
      </c>
      <c r="AB214" s="176">
        <v>16</v>
      </c>
      <c r="AC214" s="176">
        <v>6</v>
      </c>
      <c r="AD214" s="176">
        <v>22</v>
      </c>
      <c r="AE214" s="33">
        <v>0.8</v>
      </c>
      <c r="AF214" s="33">
        <v>0.85</v>
      </c>
      <c r="AG214" s="25" t="str">
        <f>_xlfn.XLOOKUP(F214,'TFS Details'!F:F,'TFS Details'!H:H)</f>
        <v>UAT In Test</v>
      </c>
      <c r="AH214" s="44">
        <v>22</v>
      </c>
      <c r="AI214" s="44">
        <v>0</v>
      </c>
      <c r="AJ214" s="44">
        <v>0</v>
      </c>
      <c r="AK214" s="44">
        <v>0</v>
      </c>
      <c r="AL214" s="40">
        <f t="shared" si="28"/>
        <v>22</v>
      </c>
      <c r="AM214" s="41">
        <f t="shared" si="26"/>
        <v>1</v>
      </c>
      <c r="AN214" s="41">
        <f t="shared" si="27"/>
        <v>1</v>
      </c>
      <c r="AO214" s="25" t="s">
        <v>536</v>
      </c>
      <c r="AP214" s="25" t="str">
        <f>_xlfn.XLOOKUP(F214,'TFS Details'!F:F,'TFS Details'!I:I)</f>
        <v>GENAI-CDAT</v>
      </c>
      <c r="AQ214" s="25" t="str">
        <f>_xlfn.XLOOKUP(AP214,'TFS Details'!I:I,'TFS Details'!AE:AE)</f>
        <v>n.d.krishnakumar</v>
      </c>
    </row>
    <row r="215" spans="1:43">
      <c r="A215" s="24" t="str">
        <f>_xlfn.XLOOKUP(F215,'TFS Details'!F:F,'TFS Details'!D:D)</f>
        <v>GEN AI</v>
      </c>
      <c r="B215" s="24" t="str">
        <f>_xlfn.XLOOKUP(F215,'TFS Details'!F:F,'TFS Details'!A:A)</f>
        <v>HSP March Release Enhancements</v>
      </c>
      <c r="C215" s="64">
        <f>_xlfn.XLOOKUP(F215,'TFS Details'!F:F,'TFS Details'!E:E)</f>
        <v>4387681</v>
      </c>
      <c r="D215" s="17" t="s">
        <v>36</v>
      </c>
      <c r="E215" s="73" t="s">
        <v>588</v>
      </c>
      <c r="F215" s="74">
        <v>4381593</v>
      </c>
      <c r="G215" s="73" t="s">
        <v>589</v>
      </c>
      <c r="H215" s="73" t="s">
        <v>590</v>
      </c>
      <c r="I215" s="73"/>
      <c r="J215" s="73" t="s">
        <v>591</v>
      </c>
      <c r="K215" s="97" t="s">
        <v>18</v>
      </c>
      <c r="L215" s="16" t="s">
        <v>548</v>
      </c>
      <c r="M215" s="16" t="s">
        <v>21</v>
      </c>
      <c r="N215" s="17"/>
      <c r="O215" s="134"/>
      <c r="Q215" s="176"/>
      <c r="R215" s="176"/>
      <c r="S215" s="176"/>
      <c r="T215" s="176"/>
      <c r="W215" s="17" t="s">
        <v>183</v>
      </c>
      <c r="X215" s="17" t="s">
        <v>183</v>
      </c>
      <c r="Y215" s="17" t="s">
        <v>183</v>
      </c>
      <c r="Z215" s="17" t="s">
        <v>183</v>
      </c>
      <c r="AA215" s="176">
        <v>3</v>
      </c>
      <c r="AB215" s="176">
        <v>2</v>
      </c>
      <c r="AC215" s="176">
        <v>6</v>
      </c>
      <c r="AD215" s="176">
        <v>6</v>
      </c>
      <c r="AE215" s="33">
        <v>1</v>
      </c>
      <c r="AF215" s="33">
        <v>0.75</v>
      </c>
      <c r="AG215" s="25" t="str">
        <f>_xlfn.XLOOKUP(F215,'TFS Details'!F:F,'TFS Details'!H:H)</f>
        <v>UAT In Test</v>
      </c>
      <c r="AH215" s="44">
        <v>6</v>
      </c>
      <c r="AI215" s="44">
        <v>0</v>
      </c>
      <c r="AJ215" s="44">
        <v>0</v>
      </c>
      <c r="AK215" s="44">
        <v>0</v>
      </c>
      <c r="AL215" s="40">
        <f t="shared" si="28"/>
        <v>6</v>
      </c>
      <c r="AM215" s="41">
        <f t="shared" si="26"/>
        <v>1</v>
      </c>
      <c r="AN215" s="41">
        <f t="shared" si="27"/>
        <v>1</v>
      </c>
      <c r="AO215" s="25" t="s">
        <v>434</v>
      </c>
      <c r="AP215" s="25" t="str">
        <f>_xlfn.XLOOKUP(F215,'TFS Details'!F:F,'TFS Details'!I:I)</f>
        <v>Harvesting solutionPlan</v>
      </c>
      <c r="AQ215" s="25" t="str">
        <f>_xlfn.XLOOKUP(AP215,'TFS Details'!I:I,'TFS Details'!AE:AE)</f>
        <v>pandidurai.ks</v>
      </c>
    </row>
    <row r="216" spans="1:43">
      <c r="A216" s="24" t="str">
        <f>_xlfn.XLOOKUP(F216,'TFS Details'!F:F,'TFS Details'!D:D)</f>
        <v>GEN AI</v>
      </c>
      <c r="B216" s="24" t="str">
        <f>_xlfn.XLOOKUP(F216,'TFS Details'!F:F,'TFS Details'!A:A)</f>
        <v>HSP March Release Enhancements</v>
      </c>
      <c r="C216" s="64">
        <f>_xlfn.XLOOKUP(F216,'TFS Details'!F:F,'TFS Details'!E:E)</f>
        <v>4387681</v>
      </c>
      <c r="D216" s="17" t="s">
        <v>36</v>
      </c>
      <c r="E216" s="73" t="s">
        <v>592</v>
      </c>
      <c r="F216" s="74">
        <v>4381594</v>
      </c>
      <c r="G216" s="73" t="s">
        <v>569</v>
      </c>
      <c r="H216" s="73" t="s">
        <v>593</v>
      </c>
      <c r="I216" s="73"/>
      <c r="J216" s="73"/>
      <c r="K216" s="97" t="s">
        <v>18</v>
      </c>
      <c r="L216" s="16" t="s">
        <v>548</v>
      </c>
      <c r="M216" s="16" t="s">
        <v>21</v>
      </c>
      <c r="N216" s="17"/>
      <c r="O216" s="134"/>
      <c r="Q216" s="176"/>
      <c r="R216" s="176"/>
      <c r="S216" s="176"/>
      <c r="T216" s="176"/>
      <c r="W216" s="17" t="s">
        <v>183</v>
      </c>
      <c r="X216" s="17" t="s">
        <v>183</v>
      </c>
      <c r="Y216" s="17" t="s">
        <v>183</v>
      </c>
      <c r="Z216" s="17" t="s">
        <v>183</v>
      </c>
      <c r="AA216" s="176">
        <v>28</v>
      </c>
      <c r="AB216" s="176">
        <v>4</v>
      </c>
      <c r="AC216" s="176">
        <v>2</v>
      </c>
      <c r="AD216" s="176">
        <v>6</v>
      </c>
      <c r="AE216" s="33">
        <v>0.25</v>
      </c>
      <c r="AF216" s="33">
        <v>0.25</v>
      </c>
      <c r="AG216" s="25" t="str">
        <f>_xlfn.XLOOKUP(F216,'TFS Details'!F:F,'TFS Details'!H:H)</f>
        <v>UAT In Test</v>
      </c>
      <c r="AH216" s="44">
        <v>6</v>
      </c>
      <c r="AI216" s="44">
        <v>0</v>
      </c>
      <c r="AJ216" s="44">
        <v>0</v>
      </c>
      <c r="AK216" s="44">
        <v>0</v>
      </c>
      <c r="AL216" s="40">
        <f t="shared" si="28"/>
        <v>6</v>
      </c>
      <c r="AM216" s="41">
        <f t="shared" si="26"/>
        <v>1</v>
      </c>
      <c r="AN216" s="41">
        <f t="shared" si="27"/>
        <v>1</v>
      </c>
      <c r="AO216" s="25"/>
      <c r="AP216" s="25" t="str">
        <f>_xlfn.XLOOKUP(F216,'TFS Details'!F:F,'TFS Details'!I:I)</f>
        <v>Harvesting solutionPlan</v>
      </c>
      <c r="AQ216" s="25" t="str">
        <f>_xlfn.XLOOKUP(AP216,'TFS Details'!I:I,'TFS Details'!AE:AE)</f>
        <v>pandidurai.ks</v>
      </c>
    </row>
    <row r="217" spans="1:43">
      <c r="A217" s="24" t="str">
        <f>_xlfn.XLOOKUP(F217,'TFS Details'!F:F,'TFS Details'!D:D)</f>
        <v>DSP</v>
      </c>
      <c r="B217" s="24" t="str">
        <f>_xlfn.XLOOKUP(F217,'TFS Details'!F:F,'TFS Details'!A:A)</f>
        <v>DSP MMD Integration</v>
      </c>
      <c r="C217" s="64">
        <f>_xlfn.XLOOKUP(F217,'TFS Details'!F:F,'TFS Details'!E:E)</f>
        <v>4364399</v>
      </c>
      <c r="D217" s="17" t="s">
        <v>49</v>
      </c>
      <c r="E217" s="73" t="s">
        <v>594</v>
      </c>
      <c r="F217" s="74">
        <v>4339301</v>
      </c>
      <c r="G217" s="73" t="s">
        <v>490</v>
      </c>
      <c r="H217" s="73" t="s">
        <v>491</v>
      </c>
      <c r="I217" s="73"/>
      <c r="J217" s="73" t="s">
        <v>91</v>
      </c>
      <c r="K217" s="97" t="s">
        <v>18</v>
      </c>
      <c r="L217" s="16" t="s">
        <v>595</v>
      </c>
      <c r="M217" s="16" t="s">
        <v>48</v>
      </c>
      <c r="N217" s="17" t="s">
        <v>182</v>
      </c>
      <c r="O217" s="134"/>
      <c r="Q217" s="176"/>
      <c r="R217" s="176"/>
      <c r="S217" s="176"/>
      <c r="T217" s="176"/>
      <c r="W217" s="17" t="s">
        <v>183</v>
      </c>
      <c r="X217" s="17" t="s">
        <v>183</v>
      </c>
      <c r="Y217" s="17" t="s">
        <v>183</v>
      </c>
      <c r="Z217" s="17" t="s">
        <v>183</v>
      </c>
      <c r="AA217" s="176">
        <v>15</v>
      </c>
      <c r="AB217" s="176">
        <v>15</v>
      </c>
      <c r="AC217" s="176">
        <v>2</v>
      </c>
      <c r="AD217" s="176">
        <v>17</v>
      </c>
      <c r="AE217" s="33">
        <v>1</v>
      </c>
      <c r="AF217" s="33">
        <v>1</v>
      </c>
      <c r="AG217" s="25" t="str">
        <f>_xlfn.XLOOKUP(F217,'TFS Details'!F:F,'TFS Details'!H:H)</f>
        <v>Test Complete</v>
      </c>
      <c r="AH217" s="44">
        <v>17</v>
      </c>
      <c r="AI217" s="44">
        <v>0</v>
      </c>
      <c r="AJ217" s="44">
        <v>0</v>
      </c>
      <c r="AK217" s="44">
        <v>0</v>
      </c>
      <c r="AL217" s="40">
        <v>17</v>
      </c>
      <c r="AM217" s="41">
        <f t="shared" si="26"/>
        <v>1</v>
      </c>
      <c r="AN217" s="41">
        <f t="shared" si="27"/>
        <v>1</v>
      </c>
      <c r="AO217" s="25" t="s">
        <v>596</v>
      </c>
      <c r="AP217" s="25" t="str">
        <f>_xlfn.XLOOKUP(F217,'TFS Details'!F:F,'TFS Details'!I:I)</f>
        <v>Pirates</v>
      </c>
      <c r="AQ217" s="25" t="str">
        <f>_xlfn.XLOOKUP(AP217,'TFS Details'!I:I,'TFS Details'!AE:AE)</f>
        <v>pandidurai.ks</v>
      </c>
    </row>
    <row r="218" spans="1:43">
      <c r="A218" s="24" t="str">
        <f>_xlfn.XLOOKUP(F218,'TFS Details'!F:F,'TFS Details'!D:D)</f>
        <v>GEN AI</v>
      </c>
      <c r="B218" s="24" t="str">
        <f>_xlfn.XLOOKUP(F218,'TFS Details'!F:F,'TFS Details'!A:A)</f>
        <v>GEN AI March Enhancements</v>
      </c>
      <c r="C218" s="64">
        <f>_xlfn.XLOOKUP(F218,'TFS Details'!F:F,'TFS Details'!E:E)</f>
        <v>4319932</v>
      </c>
      <c r="D218" s="17" t="s">
        <v>49</v>
      </c>
      <c r="E218" s="73" t="s">
        <v>597</v>
      </c>
      <c r="F218" s="74">
        <v>4311478</v>
      </c>
      <c r="G218" s="73" t="s">
        <v>598</v>
      </c>
      <c r="H218" s="73" t="s">
        <v>495</v>
      </c>
      <c r="I218" s="73"/>
      <c r="J218" s="73" t="s">
        <v>105</v>
      </c>
      <c r="K218" s="17" t="s">
        <v>1</v>
      </c>
      <c r="L218" s="16"/>
      <c r="N218" s="17" t="s">
        <v>191</v>
      </c>
      <c r="O218" s="134">
        <v>1</v>
      </c>
      <c r="P218" s="33">
        <v>1</v>
      </c>
      <c r="Q218" s="176">
        <v>45</v>
      </c>
      <c r="R218" s="176">
        <v>5</v>
      </c>
      <c r="S218" s="176">
        <v>1</v>
      </c>
      <c r="T218" s="176">
        <v>1</v>
      </c>
      <c r="U218" s="33">
        <v>0.95</v>
      </c>
      <c r="V218" s="33">
        <v>0.95</v>
      </c>
      <c r="W218" s="17" t="s">
        <v>183</v>
      </c>
      <c r="X218" s="17" t="s">
        <v>183</v>
      </c>
      <c r="Y218" s="17" t="s">
        <v>183</v>
      </c>
      <c r="Z218" s="17" t="s">
        <v>183</v>
      </c>
      <c r="AA218" s="176">
        <v>45</v>
      </c>
      <c r="AB218" s="176">
        <v>12</v>
      </c>
      <c r="AC218" s="176">
        <v>0</v>
      </c>
      <c r="AD218" s="176">
        <v>12</v>
      </c>
      <c r="AE218" s="33">
        <v>0.97</v>
      </c>
      <c r="AF218" s="33">
        <v>0.97</v>
      </c>
      <c r="AG218" s="25" t="str">
        <f>_xlfn.XLOOKUP(F218,'TFS Details'!F:F,'TFS Details'!H:H)</f>
        <v>UAT In Test</v>
      </c>
      <c r="AH218" s="44">
        <v>12</v>
      </c>
      <c r="AI218" s="44">
        <v>0</v>
      </c>
      <c r="AJ218" s="44">
        <v>0</v>
      </c>
      <c r="AK218" s="44">
        <v>0</v>
      </c>
      <c r="AL218" s="40">
        <f t="shared" si="28"/>
        <v>12</v>
      </c>
      <c r="AM218" s="41">
        <f t="shared" si="26"/>
        <v>1</v>
      </c>
      <c r="AN218" s="41">
        <f t="shared" si="27"/>
        <v>1</v>
      </c>
      <c r="AO218" s="25"/>
      <c r="AP218" s="25" t="str">
        <f>_xlfn.XLOOKUP(F218,'TFS Details'!F:F,'TFS Details'!I:I)</f>
        <v>Code Mavin</v>
      </c>
      <c r="AQ218" s="25" t="str">
        <f>_xlfn.XLOOKUP(AP218,'TFS Details'!I:I,'TFS Details'!AE:AE)</f>
        <v>n.d.krishnakumar</v>
      </c>
    </row>
    <row r="219" spans="1:43" ht="15">
      <c r="A219" s="24" t="str">
        <f>_xlfn.XLOOKUP(F219,'TFS Details'!F:F,'TFS Details'!D:D)</f>
        <v>DSP</v>
      </c>
      <c r="B219" s="24" t="str">
        <f>_xlfn.XLOOKUP(F219,'TFS Details'!F:F,'TFS Details'!A:A)</f>
        <v>DSP MMD Integration</v>
      </c>
      <c r="C219" s="64">
        <f>_xlfn.XLOOKUP(F219,'TFS Details'!F:F,'TFS Details'!E:E)</f>
        <v>4364399</v>
      </c>
      <c r="D219" s="17" t="s">
        <v>49</v>
      </c>
      <c r="E219" s="73" t="s">
        <v>599</v>
      </c>
      <c r="F219" s="74">
        <v>4311483</v>
      </c>
      <c r="G219" s="73" t="s">
        <v>598</v>
      </c>
      <c r="H219" s="73" t="s">
        <v>495</v>
      </c>
      <c r="I219" s="73"/>
      <c r="J219" s="73" t="s">
        <v>105</v>
      </c>
      <c r="K219" s="97" t="s">
        <v>18</v>
      </c>
      <c r="L219" s="16" t="s">
        <v>600</v>
      </c>
      <c r="M219" s="16" t="s">
        <v>48</v>
      </c>
      <c r="N219" s="17"/>
      <c r="O219" s="134"/>
      <c r="Q219" s="176"/>
      <c r="R219" s="176"/>
      <c r="S219" s="176"/>
      <c r="T219" s="176"/>
      <c r="W219" s="17" t="s">
        <v>183</v>
      </c>
      <c r="X219" s="17" t="s">
        <v>183</v>
      </c>
      <c r="Y219" s="17" t="s">
        <v>183</v>
      </c>
      <c r="Z219" s="17" t="s">
        <v>183</v>
      </c>
      <c r="AA219" s="176">
        <v>45</v>
      </c>
      <c r="AB219" s="176">
        <v>3</v>
      </c>
      <c r="AC219" s="176">
        <v>2</v>
      </c>
      <c r="AD219" s="176">
        <v>2</v>
      </c>
      <c r="AE219" s="33">
        <v>0.95</v>
      </c>
      <c r="AF219" s="33">
        <v>0.95</v>
      </c>
      <c r="AG219" s="25" t="str">
        <f>_xlfn.XLOOKUP(F219,'TFS Details'!F:F,'TFS Details'!H:H)</f>
        <v>Test Complete</v>
      </c>
      <c r="AH219" s="44">
        <v>2</v>
      </c>
      <c r="AI219" s="44">
        <v>0</v>
      </c>
      <c r="AJ219" s="44">
        <v>0</v>
      </c>
      <c r="AK219" s="44">
        <v>0</v>
      </c>
      <c r="AL219" s="40">
        <f t="shared" si="28"/>
        <v>2</v>
      </c>
      <c r="AM219" s="41">
        <f t="shared" si="26"/>
        <v>1</v>
      </c>
      <c r="AN219" s="41">
        <f t="shared" si="27"/>
        <v>1</v>
      </c>
      <c r="AO219" s="207">
        <v>4436894</v>
      </c>
      <c r="AP219" s="25" t="str">
        <f>_xlfn.XLOOKUP(F219,'TFS Details'!F:F,'TFS Details'!I:I)</f>
        <v>Pirates</v>
      </c>
      <c r="AQ219" s="25" t="str">
        <f>_xlfn.XLOOKUP(AP219,'TFS Details'!I:I,'TFS Details'!AE:AE)</f>
        <v>pandidurai.ks</v>
      </c>
    </row>
    <row r="220" spans="1:43">
      <c r="A220" s="24" t="str">
        <f>_xlfn.XLOOKUP(F220,'TFS Details'!F:F,'TFS Details'!D:D)</f>
        <v>GEN AI</v>
      </c>
      <c r="B220" s="24" t="str">
        <f>_xlfn.XLOOKUP(F220,'TFS Details'!F:F,'TFS Details'!A:A)</f>
        <v>GEN AI March Enhancements</v>
      </c>
      <c r="C220" s="64">
        <f>_xlfn.XLOOKUP(F220,'TFS Details'!F:F,'TFS Details'!E:E)</f>
        <v>4319932</v>
      </c>
      <c r="D220" s="17" t="s">
        <v>49</v>
      </c>
      <c r="E220" s="73" t="s">
        <v>601</v>
      </c>
      <c r="F220" s="74">
        <v>4311485</v>
      </c>
      <c r="G220" s="73" t="s">
        <v>598</v>
      </c>
      <c r="H220" s="73" t="s">
        <v>495</v>
      </c>
      <c r="I220" s="73"/>
      <c r="J220" s="73" t="s">
        <v>105</v>
      </c>
      <c r="K220" s="97" t="s">
        <v>18</v>
      </c>
      <c r="L220" s="16" t="s">
        <v>602</v>
      </c>
      <c r="M220" s="16" t="s">
        <v>21</v>
      </c>
      <c r="N220" s="17"/>
      <c r="O220" s="134"/>
      <c r="Q220" s="176"/>
      <c r="R220" s="176"/>
      <c r="S220" s="176"/>
      <c r="T220" s="176"/>
      <c r="W220" s="17" t="s">
        <v>183</v>
      </c>
      <c r="X220" s="17" t="s">
        <v>183</v>
      </c>
      <c r="Y220" s="17" t="s">
        <v>183</v>
      </c>
      <c r="Z220" s="17" t="s">
        <v>183</v>
      </c>
      <c r="AA220" s="176">
        <v>50</v>
      </c>
      <c r="AB220" s="176">
        <v>17</v>
      </c>
      <c r="AC220" s="176">
        <v>0</v>
      </c>
      <c r="AD220" s="176">
        <v>17</v>
      </c>
      <c r="AE220" s="33">
        <v>0.98</v>
      </c>
      <c r="AF220" s="33">
        <v>0.98</v>
      </c>
      <c r="AG220" s="25" t="str">
        <f>_xlfn.XLOOKUP(F220,'TFS Details'!F:F,'TFS Details'!H:H)</f>
        <v>UAT In Test</v>
      </c>
      <c r="AH220" s="44">
        <v>18</v>
      </c>
      <c r="AI220" s="44">
        <v>0</v>
      </c>
      <c r="AJ220" s="44">
        <v>0</v>
      </c>
      <c r="AK220" s="44">
        <v>0</v>
      </c>
      <c r="AL220" s="40">
        <v>18</v>
      </c>
      <c r="AM220" s="41">
        <f t="shared" si="26"/>
        <v>1</v>
      </c>
      <c r="AN220" s="41">
        <f t="shared" si="27"/>
        <v>1</v>
      </c>
      <c r="AO220" s="25"/>
      <c r="AP220" s="25" t="str">
        <f>_xlfn.XLOOKUP(F220,'TFS Details'!F:F,'TFS Details'!I:I)</f>
        <v>Code Mavin</v>
      </c>
      <c r="AQ220" s="25" t="str">
        <f>_xlfn.XLOOKUP(AP220,'TFS Details'!I:I,'TFS Details'!AE:AE)</f>
        <v>n.d.krishnakumar</v>
      </c>
    </row>
    <row r="221" spans="1:43">
      <c r="A221" s="24" t="str">
        <f>_xlfn.XLOOKUP(F221,'TFS Details'!F:F,'TFS Details'!D:D)</f>
        <v>GEN AI</v>
      </c>
      <c r="B221" s="24" t="str">
        <f>_xlfn.XLOOKUP(F221,'TFS Details'!F:F,'TFS Details'!A:A)</f>
        <v>GEN AI March Enhancements</v>
      </c>
      <c r="C221" s="64">
        <f>_xlfn.XLOOKUP(F221,'TFS Details'!F:F,'TFS Details'!E:E)</f>
        <v>4319932</v>
      </c>
      <c r="D221" s="17" t="s">
        <v>49</v>
      </c>
      <c r="E221" s="73" t="s">
        <v>603</v>
      </c>
      <c r="F221" s="74">
        <v>4370867</v>
      </c>
      <c r="G221" s="73" t="s">
        <v>598</v>
      </c>
      <c r="H221" s="73" t="s">
        <v>495</v>
      </c>
      <c r="I221" s="73"/>
      <c r="J221" s="73" t="s">
        <v>105</v>
      </c>
      <c r="K221" s="97" t="s">
        <v>18</v>
      </c>
      <c r="L221" s="16" t="s">
        <v>602</v>
      </c>
      <c r="M221" s="16" t="s">
        <v>21</v>
      </c>
      <c r="N221" s="17"/>
      <c r="O221" s="134"/>
      <c r="Q221" s="176"/>
      <c r="R221" s="176"/>
      <c r="S221" s="176"/>
      <c r="T221" s="176"/>
      <c r="W221" s="17" t="s">
        <v>183</v>
      </c>
      <c r="X221" s="17" t="s">
        <v>183</v>
      </c>
      <c r="Y221" s="17" t="s">
        <v>183</v>
      </c>
      <c r="Z221" s="17" t="s">
        <v>183</v>
      </c>
      <c r="AA221" s="176">
        <v>60</v>
      </c>
      <c r="AB221" s="176">
        <v>18</v>
      </c>
      <c r="AC221" s="176">
        <v>0</v>
      </c>
      <c r="AD221" s="176">
        <v>18</v>
      </c>
      <c r="AE221" s="33">
        <v>0.98</v>
      </c>
      <c r="AF221" s="33">
        <v>0.98</v>
      </c>
      <c r="AG221" s="25" t="str">
        <f>_xlfn.XLOOKUP(F221,'TFS Details'!F:F,'TFS Details'!H:H)</f>
        <v>UAT In Test</v>
      </c>
      <c r="AH221" s="44">
        <v>18</v>
      </c>
      <c r="AI221" s="44">
        <v>0</v>
      </c>
      <c r="AJ221" s="44">
        <v>0</v>
      </c>
      <c r="AK221" s="44">
        <v>0</v>
      </c>
      <c r="AL221" s="40">
        <v>18</v>
      </c>
      <c r="AM221" s="41">
        <f t="shared" si="26"/>
        <v>1</v>
      </c>
      <c r="AN221" s="41">
        <f t="shared" si="27"/>
        <v>1</v>
      </c>
      <c r="AO221" s="25"/>
      <c r="AP221" s="25" t="str">
        <f>_xlfn.XLOOKUP(F221,'TFS Details'!F:F,'TFS Details'!I:I)</f>
        <v>Code Mavin</v>
      </c>
      <c r="AQ221" s="25" t="str">
        <f>_xlfn.XLOOKUP(AP221,'TFS Details'!I:I,'TFS Details'!AE:AE)</f>
        <v>n.d.krishnakumar</v>
      </c>
    </row>
    <row r="222" spans="1:43" ht="12">
      <c r="A222" s="24" t="str">
        <f>_xlfn.XLOOKUP(F222,'TFS Details'!F:F,'TFS Details'!D:D)</f>
        <v>DLC</v>
      </c>
      <c r="B222" s="24" t="str">
        <f>_xlfn.XLOOKUP(F222,'TFS Details'!F:F,'TFS Details'!A:A)</f>
        <v>DSP Core Solution Plan Enhancements</v>
      </c>
      <c r="C222" s="64">
        <f>_xlfn.XLOOKUP(F222,'TFS Details'!F:F,'TFS Details'!E:E)</f>
        <v>4373652</v>
      </c>
      <c r="D222" s="17" t="s">
        <v>49</v>
      </c>
      <c r="E222" s="73" t="s">
        <v>604</v>
      </c>
      <c r="F222" s="74">
        <v>4371050</v>
      </c>
      <c r="G222" s="73" t="s">
        <v>605</v>
      </c>
      <c r="H222" s="73" t="s">
        <v>491</v>
      </c>
      <c r="I222" s="73"/>
      <c r="J222" s="73" t="s">
        <v>127</v>
      </c>
      <c r="K222" s="17" t="s">
        <v>1</v>
      </c>
      <c r="L222" s="16"/>
      <c r="N222" s="17" t="s">
        <v>182</v>
      </c>
      <c r="O222" s="134">
        <v>2</v>
      </c>
      <c r="P222" s="33">
        <v>0.8</v>
      </c>
      <c r="Q222" s="176">
        <v>8</v>
      </c>
      <c r="R222" s="176">
        <v>5</v>
      </c>
      <c r="S222" s="176">
        <v>2</v>
      </c>
      <c r="T222" s="176">
        <v>2</v>
      </c>
      <c r="U222" s="33">
        <v>0.5</v>
      </c>
      <c r="V222" s="33">
        <v>0.5</v>
      </c>
      <c r="W222" s="17" t="s">
        <v>183</v>
      </c>
      <c r="X222" s="17" t="s">
        <v>183</v>
      </c>
      <c r="Y222" s="17" t="s">
        <v>183</v>
      </c>
      <c r="Z222" s="17" t="s">
        <v>183</v>
      </c>
      <c r="AA222" s="176">
        <v>8</v>
      </c>
      <c r="AB222" s="176">
        <v>6</v>
      </c>
      <c r="AC222" s="176">
        <v>14</v>
      </c>
      <c r="AD222" s="176">
        <v>14</v>
      </c>
      <c r="AE222" s="33">
        <v>0.5</v>
      </c>
      <c r="AF222" s="33">
        <v>0.5</v>
      </c>
      <c r="AG222" s="25" t="str">
        <f>_xlfn.XLOOKUP(F222,'TFS Details'!F:F,'TFS Details'!H:H)</f>
        <v>UAT In Test</v>
      </c>
      <c r="AH222" s="44">
        <v>14</v>
      </c>
      <c r="AI222" s="44">
        <v>0</v>
      </c>
      <c r="AJ222" s="44">
        <v>0</v>
      </c>
      <c r="AK222" s="44">
        <v>0</v>
      </c>
      <c r="AL222" s="40">
        <f t="shared" si="28"/>
        <v>14</v>
      </c>
      <c r="AM222" s="41">
        <f t="shared" si="26"/>
        <v>1</v>
      </c>
      <c r="AN222" s="41">
        <f t="shared" si="27"/>
        <v>1</v>
      </c>
      <c r="AO222" s="25" t="s">
        <v>606</v>
      </c>
      <c r="AP222" s="25" t="str">
        <f>_xlfn.XLOOKUP(F222,'TFS Details'!F:F,'TFS Details'!I:I)</f>
        <v>Ninjawarriors</v>
      </c>
      <c r="AQ222" s="25" t="str">
        <f>_xlfn.XLOOKUP(AP222,'TFS Details'!I:I,'TFS Details'!AE:AE)</f>
        <v>pandidurai.ks</v>
      </c>
    </row>
    <row r="223" spans="1:43" ht="12">
      <c r="A223" s="24" t="str">
        <f>_xlfn.XLOOKUP(F223,'TFS Details'!F:F,'TFS Details'!D:D)</f>
        <v>DSP</v>
      </c>
      <c r="B223" s="24" t="str">
        <f>_xlfn.XLOOKUP(F223,'TFS Details'!F:F,'TFS Details'!A:A)</f>
        <v>DSP Core Solution Plan Enhancements</v>
      </c>
      <c r="C223" s="64">
        <f>_xlfn.XLOOKUP(F223,'TFS Details'!F:F,'TFS Details'!E:E)</f>
        <v>4373652</v>
      </c>
      <c r="D223" s="17" t="s">
        <v>49</v>
      </c>
      <c r="E223" s="73" t="s">
        <v>607</v>
      </c>
      <c r="F223" s="74">
        <v>4373686</v>
      </c>
      <c r="G223" s="73" t="s">
        <v>605</v>
      </c>
      <c r="H223" s="73" t="s">
        <v>491</v>
      </c>
      <c r="I223" s="73"/>
      <c r="J223" s="73" t="s">
        <v>127</v>
      </c>
      <c r="K223" s="97" t="s">
        <v>18</v>
      </c>
      <c r="L223" s="16" t="s">
        <v>608</v>
      </c>
      <c r="M223" s="16" t="s">
        <v>54</v>
      </c>
      <c r="N223" s="17"/>
      <c r="O223" s="134"/>
      <c r="Q223" s="176"/>
      <c r="R223" s="176"/>
      <c r="S223" s="176"/>
      <c r="T223" s="176"/>
      <c r="W223" s="17" t="s">
        <v>183</v>
      </c>
      <c r="X223" s="17" t="s">
        <v>183</v>
      </c>
      <c r="Y223" s="17" t="s">
        <v>183</v>
      </c>
      <c r="Z223" s="17" t="s">
        <v>183</v>
      </c>
      <c r="AA223" s="176">
        <v>8</v>
      </c>
      <c r="AB223" s="176">
        <v>4</v>
      </c>
      <c r="AC223" s="176">
        <v>20</v>
      </c>
      <c r="AD223" s="176">
        <v>20</v>
      </c>
      <c r="AE223" s="33">
        <v>0.3</v>
      </c>
      <c r="AF223" s="33">
        <v>0.3</v>
      </c>
      <c r="AG223" s="25" t="str">
        <f>_xlfn.XLOOKUP(F223,'TFS Details'!F:F,'TFS Details'!H:H)</f>
        <v>UAT In Test</v>
      </c>
      <c r="AH223" s="44">
        <v>20</v>
      </c>
      <c r="AI223" s="44">
        <v>0</v>
      </c>
      <c r="AJ223" s="44">
        <v>0</v>
      </c>
      <c r="AK223" s="44">
        <v>0</v>
      </c>
      <c r="AL223" s="40">
        <f t="shared" si="28"/>
        <v>20</v>
      </c>
      <c r="AM223" s="41">
        <f t="shared" si="26"/>
        <v>1</v>
      </c>
      <c r="AN223" s="41">
        <f t="shared" si="27"/>
        <v>1</v>
      </c>
      <c r="AO223" s="25" t="s">
        <v>606</v>
      </c>
      <c r="AP223" s="25" t="str">
        <f>_xlfn.XLOOKUP(F223,'TFS Details'!F:F,'TFS Details'!I:I)</f>
        <v>Ninjawarriors</v>
      </c>
      <c r="AQ223" s="25" t="str">
        <f>_xlfn.XLOOKUP(AP223,'TFS Details'!I:I,'TFS Details'!AE:AE)</f>
        <v>pandidurai.ks</v>
      </c>
    </row>
    <row r="224" spans="1:43">
      <c r="A224" s="24" t="str">
        <f>_xlfn.XLOOKUP(F224,'TFS Details'!F:F,'TFS Details'!D:D)</f>
        <v>DSP</v>
      </c>
      <c r="B224" s="24" t="str">
        <f>_xlfn.XLOOKUP(F224,'TFS Details'!F:F,'TFS Details'!A:A)</f>
        <v>PPT/PDF Updated for all SGs</v>
      </c>
      <c r="C224" s="64">
        <f>_xlfn.XLOOKUP(F224,'TFS Details'!F:F,'TFS Details'!E:E)</f>
        <v>4395058</v>
      </c>
      <c r="D224" s="17" t="s">
        <v>49</v>
      </c>
      <c r="E224" s="73" t="s">
        <v>609</v>
      </c>
      <c r="F224" s="74">
        <v>4373712</v>
      </c>
      <c r="G224" s="73" t="s">
        <v>605</v>
      </c>
      <c r="H224" s="73" t="s">
        <v>491</v>
      </c>
      <c r="I224" s="73"/>
      <c r="J224" s="73" t="s">
        <v>127</v>
      </c>
      <c r="K224" s="97" t="s">
        <v>18</v>
      </c>
      <c r="L224" s="16" t="s">
        <v>608</v>
      </c>
      <c r="M224" s="16" t="s">
        <v>54</v>
      </c>
      <c r="N224" s="17"/>
      <c r="O224" s="134"/>
      <c r="Q224" s="176"/>
      <c r="R224" s="176"/>
      <c r="S224" s="176"/>
      <c r="T224" s="176"/>
      <c r="W224" s="17" t="s">
        <v>183</v>
      </c>
      <c r="X224" s="17" t="s">
        <v>183</v>
      </c>
      <c r="Y224" s="17" t="s">
        <v>183</v>
      </c>
      <c r="Z224" s="17" t="s">
        <v>183</v>
      </c>
      <c r="AA224" s="176">
        <v>8</v>
      </c>
      <c r="AB224" s="176">
        <v>5</v>
      </c>
      <c r="AC224" s="176">
        <v>27</v>
      </c>
      <c r="AD224" s="176">
        <v>27</v>
      </c>
      <c r="AE224" s="33">
        <v>0.3</v>
      </c>
      <c r="AF224" s="33">
        <v>0.3</v>
      </c>
      <c r="AG224" s="25" t="str">
        <f>_xlfn.XLOOKUP(F224,'TFS Details'!F:F,'TFS Details'!H:H)</f>
        <v>UAT In Test</v>
      </c>
      <c r="AH224" s="44">
        <v>27</v>
      </c>
      <c r="AI224" s="44">
        <v>0</v>
      </c>
      <c r="AJ224" s="44">
        <v>0</v>
      </c>
      <c r="AK224" s="44">
        <v>0</v>
      </c>
      <c r="AL224" s="40">
        <f t="shared" si="28"/>
        <v>27</v>
      </c>
      <c r="AM224" s="41">
        <f t="shared" si="26"/>
        <v>1</v>
      </c>
      <c r="AN224" s="41">
        <f t="shared" si="27"/>
        <v>1</v>
      </c>
      <c r="AO224" s="25" t="s">
        <v>606</v>
      </c>
      <c r="AP224" s="25" t="str">
        <f>_xlfn.XLOOKUP(F224,'TFS Details'!F:F,'TFS Details'!I:I)</f>
        <v>Ninjawarriors</v>
      </c>
      <c r="AQ224" s="25" t="str">
        <f>_xlfn.XLOOKUP(AP224,'TFS Details'!I:I,'TFS Details'!AE:AE)</f>
        <v>pandidurai.ks</v>
      </c>
    </row>
    <row r="225" spans="1:43">
      <c r="A225" s="24" t="str">
        <f>_xlfn.XLOOKUP(F225,'TFS Details'!F:F,'TFS Details'!D:D)</f>
        <v>GEN AI</v>
      </c>
      <c r="B225" s="24" t="str">
        <f>_xlfn.XLOOKUP(F225,'TFS Details'!F:F,'TFS Details'!A:A)</f>
        <v>GEN AI March Enhancements</v>
      </c>
      <c r="C225" s="64">
        <f>_xlfn.XLOOKUP(F225,'TFS Details'!F:F,'TFS Details'!E:E)</f>
        <v>4319932</v>
      </c>
      <c r="D225" s="17" t="s">
        <v>49</v>
      </c>
      <c r="E225" s="73" t="s">
        <v>610</v>
      </c>
      <c r="F225" s="74">
        <v>4371414</v>
      </c>
      <c r="G225" s="73" t="s">
        <v>598</v>
      </c>
      <c r="H225" s="73" t="s">
        <v>495</v>
      </c>
      <c r="I225" s="73"/>
      <c r="J225" s="73" t="s">
        <v>105</v>
      </c>
      <c r="K225" s="97" t="s">
        <v>18</v>
      </c>
      <c r="L225" s="16" t="s">
        <v>611</v>
      </c>
      <c r="M225" s="16" t="s">
        <v>54</v>
      </c>
      <c r="N225" s="17"/>
      <c r="O225" s="134"/>
      <c r="Q225" s="176"/>
      <c r="R225" s="176"/>
      <c r="S225" s="176"/>
      <c r="T225" s="176"/>
      <c r="W225" s="17" t="s">
        <v>183</v>
      </c>
      <c r="X225" s="17" t="s">
        <v>183</v>
      </c>
      <c r="Y225" s="17" t="s">
        <v>183</v>
      </c>
      <c r="Z225" s="17" t="s">
        <v>183</v>
      </c>
      <c r="AA225" s="176">
        <v>40</v>
      </c>
      <c r="AB225" s="176">
        <v>18</v>
      </c>
      <c r="AC225" s="176">
        <v>0</v>
      </c>
      <c r="AD225" s="176">
        <v>18</v>
      </c>
      <c r="AE225" s="33">
        <v>0.98</v>
      </c>
      <c r="AF225" s="33">
        <v>1</v>
      </c>
      <c r="AG225" s="25" t="str">
        <f>_xlfn.XLOOKUP(F225,'TFS Details'!F:F,'TFS Details'!H:H)</f>
        <v>UAT In Test</v>
      </c>
      <c r="AH225" s="44">
        <v>18</v>
      </c>
      <c r="AI225" s="44">
        <v>0</v>
      </c>
      <c r="AJ225" s="44">
        <v>0</v>
      </c>
      <c r="AK225" s="44">
        <v>0</v>
      </c>
      <c r="AL225" s="40">
        <f t="shared" si="28"/>
        <v>18</v>
      </c>
      <c r="AM225" s="41">
        <f t="shared" si="26"/>
        <v>1</v>
      </c>
      <c r="AN225" s="41">
        <f t="shared" si="27"/>
        <v>1</v>
      </c>
      <c r="AO225" s="25"/>
      <c r="AP225" s="25" t="str">
        <f>_xlfn.XLOOKUP(F225,'TFS Details'!F:F,'TFS Details'!I:I)</f>
        <v>Code Mavin</v>
      </c>
      <c r="AQ225" s="25" t="str">
        <f>_xlfn.XLOOKUP(AP225,'TFS Details'!I:I,'TFS Details'!AE:AE)</f>
        <v>n.d.krishnakumar</v>
      </c>
    </row>
    <row r="226" spans="1:43">
      <c r="A226" s="24" t="str">
        <f>_xlfn.XLOOKUP(F226,'TFS Details'!F:F,'TFS Details'!D:D)</f>
        <v>DSP</v>
      </c>
      <c r="B226" s="24" t="str">
        <f>_xlfn.XLOOKUP(F226,'TFS Details'!F:F,'TFS Details'!A:A)</f>
        <v>DSP MDA Enhancements for PPT/PDF</v>
      </c>
      <c r="C226" s="64">
        <f>_xlfn.XLOOKUP(F226,'TFS Details'!F:F,'TFS Details'!E:E)</f>
        <v>4364390</v>
      </c>
      <c r="D226" s="17" t="s">
        <v>49</v>
      </c>
      <c r="E226" s="73" t="s">
        <v>612</v>
      </c>
      <c r="F226" s="74">
        <v>4373649</v>
      </c>
      <c r="G226" s="73" t="s">
        <v>613</v>
      </c>
      <c r="H226" s="73" t="s">
        <v>506</v>
      </c>
      <c r="I226" s="73"/>
      <c r="J226" s="73"/>
      <c r="K226" s="97" t="s">
        <v>18</v>
      </c>
      <c r="L226" s="200" t="s">
        <v>614</v>
      </c>
      <c r="M226" s="16" t="s">
        <v>54</v>
      </c>
      <c r="N226" s="17"/>
      <c r="O226" s="134"/>
      <c r="Q226" s="176"/>
      <c r="R226" s="176"/>
      <c r="S226" s="176"/>
      <c r="T226" s="176"/>
      <c r="W226" s="17" t="s">
        <v>183</v>
      </c>
      <c r="X226" s="17" t="s">
        <v>183</v>
      </c>
      <c r="Y226" s="17" t="s">
        <v>183</v>
      </c>
      <c r="Z226" s="17" t="s">
        <v>183</v>
      </c>
      <c r="AA226" s="176">
        <v>25</v>
      </c>
      <c r="AB226" s="176">
        <v>10</v>
      </c>
      <c r="AC226" s="176">
        <v>5</v>
      </c>
      <c r="AD226" s="176">
        <v>5</v>
      </c>
      <c r="AE226" s="33">
        <v>0.3</v>
      </c>
      <c r="AF226" s="33">
        <v>0.5</v>
      </c>
      <c r="AG226" s="25" t="s">
        <v>218</v>
      </c>
      <c r="AH226" s="44">
        <v>5</v>
      </c>
      <c r="AI226" s="44">
        <v>0</v>
      </c>
      <c r="AJ226" s="44">
        <v>0</v>
      </c>
      <c r="AK226" s="44">
        <v>0</v>
      </c>
      <c r="AL226" s="40">
        <f>SUM(AH226:AK226)</f>
        <v>5</v>
      </c>
      <c r="AM226" s="41">
        <f t="shared" si="26"/>
        <v>1</v>
      </c>
      <c r="AN226" s="41">
        <f t="shared" si="27"/>
        <v>1</v>
      </c>
      <c r="AO226" s="25"/>
      <c r="AP226" s="25" t="str">
        <f>_xlfn.XLOOKUP(F226,'TFS Details'!F:F,'TFS Details'!I:I)</f>
        <v>Ninjawarriors</v>
      </c>
      <c r="AQ226" s="25" t="str">
        <f>_xlfn.XLOOKUP(AP226,'TFS Details'!I:I,'TFS Details'!AE:AE)</f>
        <v>pandidurai.ks</v>
      </c>
    </row>
    <row r="227" spans="1:43">
      <c r="A227" s="24" t="str">
        <f>_xlfn.XLOOKUP(F227,'TFS Details'!F:F,'TFS Details'!D:D)</f>
        <v>DSP</v>
      </c>
      <c r="B227" s="24" t="str">
        <f>_xlfn.XLOOKUP(F227,'TFS Details'!F:F,'TFS Details'!A:A)</f>
        <v>DSP MDA Enhancements for PPT/PDF</v>
      </c>
      <c r="C227" s="64">
        <f>_xlfn.XLOOKUP(F227,'TFS Details'!F:F,'TFS Details'!E:E)</f>
        <v>4364390</v>
      </c>
      <c r="D227" s="17" t="s">
        <v>49</v>
      </c>
      <c r="E227" s="73" t="s">
        <v>615</v>
      </c>
      <c r="F227" s="74">
        <v>4373650</v>
      </c>
      <c r="G227" s="73" t="s">
        <v>613</v>
      </c>
      <c r="H227" s="73" t="s">
        <v>506</v>
      </c>
      <c r="I227" s="73"/>
      <c r="J227" s="73"/>
      <c r="K227" s="97" t="s">
        <v>18</v>
      </c>
      <c r="L227" s="200" t="s">
        <v>614</v>
      </c>
      <c r="M227" s="16" t="s">
        <v>54</v>
      </c>
      <c r="N227" s="17"/>
      <c r="O227" s="134"/>
      <c r="Q227" s="176"/>
      <c r="R227" s="176"/>
      <c r="S227" s="176"/>
      <c r="T227" s="176"/>
      <c r="W227" s="17" t="s">
        <v>183</v>
      </c>
      <c r="X227" s="17" t="s">
        <v>183</v>
      </c>
      <c r="Y227" s="17" t="s">
        <v>183</v>
      </c>
      <c r="Z227" s="17" t="s">
        <v>183</v>
      </c>
      <c r="AA227" s="176">
        <v>25</v>
      </c>
      <c r="AB227" s="176">
        <v>10</v>
      </c>
      <c r="AC227" s="176">
        <v>4</v>
      </c>
      <c r="AD227" s="176">
        <v>4</v>
      </c>
      <c r="AE227" s="33">
        <v>0.3</v>
      </c>
      <c r="AF227" s="33">
        <v>0.5</v>
      </c>
      <c r="AG227" s="25" t="s">
        <v>218</v>
      </c>
      <c r="AH227" s="44">
        <v>4</v>
      </c>
      <c r="AI227" s="44">
        <v>0</v>
      </c>
      <c r="AJ227" s="44">
        <v>0</v>
      </c>
      <c r="AK227" s="44">
        <v>0</v>
      </c>
      <c r="AL227" s="40">
        <f>SUM(AH227:AK227)</f>
        <v>4</v>
      </c>
      <c r="AM227" s="41">
        <f t="shared" si="26"/>
        <v>1</v>
      </c>
      <c r="AN227" s="41">
        <f t="shared" si="27"/>
        <v>1</v>
      </c>
      <c r="AO227" s="25"/>
      <c r="AP227" s="25" t="str">
        <f>_xlfn.XLOOKUP(F227,'TFS Details'!F:F,'TFS Details'!I:I)</f>
        <v>Ninjawarriors</v>
      </c>
      <c r="AQ227" s="25" t="str">
        <f>_xlfn.XLOOKUP(AP227,'TFS Details'!I:I,'TFS Details'!AE:AE)</f>
        <v>pandidurai.ks</v>
      </c>
    </row>
    <row r="228" spans="1:43">
      <c r="A228" s="24" t="str">
        <f>_xlfn.XLOOKUP(F228,'TFS Details'!F:F,'TFS Details'!D:D)</f>
        <v>DSP</v>
      </c>
      <c r="B228" s="24" t="str">
        <f>_xlfn.XLOOKUP(F228,'TFS Details'!F:F,'TFS Details'!A:A)</f>
        <v>DSP Core Solution Plan Enhancements</v>
      </c>
      <c r="C228" s="64">
        <f>_xlfn.XLOOKUP(F228,'TFS Details'!F:F,'TFS Details'!E:E)</f>
        <v>4373652</v>
      </c>
      <c r="D228" s="17" t="s">
        <v>49</v>
      </c>
      <c r="E228" s="73" t="s">
        <v>616</v>
      </c>
      <c r="F228" s="74">
        <v>4373711</v>
      </c>
      <c r="G228" s="73" t="s">
        <v>613</v>
      </c>
      <c r="H228" s="73" t="s">
        <v>506</v>
      </c>
      <c r="I228" s="73"/>
      <c r="J228" s="73"/>
      <c r="K228" s="97" t="s">
        <v>18</v>
      </c>
      <c r="L228" s="200" t="s">
        <v>617</v>
      </c>
      <c r="M228" s="16" t="s">
        <v>43</v>
      </c>
      <c r="N228" s="17"/>
      <c r="O228" s="134"/>
      <c r="Q228" s="176"/>
      <c r="R228" s="176"/>
      <c r="S228" s="176"/>
      <c r="T228" s="176"/>
      <c r="W228" s="17" t="s">
        <v>183</v>
      </c>
      <c r="X228" s="17" t="s">
        <v>183</v>
      </c>
      <c r="Y228" s="17" t="s">
        <v>183</v>
      </c>
      <c r="Z228" s="17" t="s">
        <v>183</v>
      </c>
      <c r="AA228" s="176">
        <v>25</v>
      </c>
      <c r="AB228" s="176">
        <v>10</v>
      </c>
      <c r="AC228" s="176">
        <v>3</v>
      </c>
      <c r="AD228" s="176">
        <v>3</v>
      </c>
      <c r="AE228" s="33">
        <v>0.3</v>
      </c>
      <c r="AF228" s="33">
        <v>0.5</v>
      </c>
      <c r="AG228" s="25" t="s">
        <v>218</v>
      </c>
      <c r="AH228" s="44">
        <v>3</v>
      </c>
      <c r="AI228" s="44">
        <v>0</v>
      </c>
      <c r="AJ228" s="44">
        <v>0</v>
      </c>
      <c r="AK228" s="44">
        <v>0</v>
      </c>
      <c r="AL228" s="40">
        <f>SUM(AH228:AK228)</f>
        <v>3</v>
      </c>
      <c r="AM228" s="41">
        <f t="shared" si="26"/>
        <v>1</v>
      </c>
      <c r="AN228" s="41">
        <f t="shared" si="27"/>
        <v>1</v>
      </c>
      <c r="AO228" s="126"/>
      <c r="AP228" s="25" t="str">
        <f>_xlfn.XLOOKUP(F228,'TFS Details'!F:F,'TFS Details'!I:I)</f>
        <v>Ninjawarriors</v>
      </c>
      <c r="AQ228" s="25" t="str">
        <f>_xlfn.XLOOKUP(AP228,'TFS Details'!I:I,'TFS Details'!AE:AE)</f>
        <v>pandidurai.ks</v>
      </c>
    </row>
    <row r="229" spans="1:43">
      <c r="A229" s="24" t="str">
        <f>_xlfn.XLOOKUP(F229,'TFS Details'!F:F,'TFS Details'!D:D)</f>
        <v>DSP</v>
      </c>
      <c r="B229" s="24" t="str">
        <f>_xlfn.XLOOKUP(F229,'TFS Details'!F:F,'TFS Details'!A:A)</f>
        <v>DSP Core Solution Plan Enhancements</v>
      </c>
      <c r="C229" s="64">
        <f>_xlfn.XLOOKUP(F229,'TFS Details'!F:F,'TFS Details'!E:E)</f>
        <v>4373652</v>
      </c>
      <c r="D229" s="17" t="s">
        <v>49</v>
      </c>
      <c r="E229" s="73" t="s">
        <v>618</v>
      </c>
      <c r="F229" s="74">
        <v>4373661</v>
      </c>
      <c r="G229" s="73" t="s">
        <v>619</v>
      </c>
      <c r="H229" s="73" t="s">
        <v>538</v>
      </c>
      <c r="I229" s="73"/>
      <c r="J229" s="73" t="s">
        <v>85</v>
      </c>
      <c r="K229" s="17" t="s">
        <v>1</v>
      </c>
      <c r="L229" s="16"/>
      <c r="N229" s="17" t="s">
        <v>191</v>
      </c>
      <c r="O229" s="134">
        <v>1</v>
      </c>
      <c r="P229" s="33">
        <v>1</v>
      </c>
      <c r="Q229" s="176">
        <v>2</v>
      </c>
      <c r="R229" s="176">
        <v>2</v>
      </c>
      <c r="S229" s="176">
        <v>0</v>
      </c>
      <c r="T229" s="176">
        <v>1</v>
      </c>
      <c r="U229" s="33">
        <v>0.8</v>
      </c>
      <c r="V229" s="33">
        <v>0.8</v>
      </c>
      <c r="W229" s="17" t="s">
        <v>183</v>
      </c>
      <c r="X229" s="17" t="s">
        <v>201</v>
      </c>
      <c r="Y229" s="17" t="s">
        <v>183</v>
      </c>
      <c r="Z229" s="17" t="s">
        <v>183</v>
      </c>
      <c r="AA229" s="176">
        <v>39</v>
      </c>
      <c r="AB229" s="176">
        <v>22</v>
      </c>
      <c r="AC229" s="176">
        <v>1</v>
      </c>
      <c r="AD229" s="176">
        <v>23</v>
      </c>
      <c r="AE229" s="33">
        <v>0.75</v>
      </c>
      <c r="AF229" s="33">
        <v>0.75</v>
      </c>
      <c r="AG229" s="25" t="str">
        <f>_xlfn.XLOOKUP(F229,'TFS Details'!F:F,'TFS Details'!H:H)</f>
        <v>UAT In Test</v>
      </c>
      <c r="AH229" s="44">
        <v>23</v>
      </c>
      <c r="AI229" s="44">
        <v>0</v>
      </c>
      <c r="AJ229" s="44">
        <v>0</v>
      </c>
      <c r="AK229" s="44">
        <v>0</v>
      </c>
      <c r="AL229" s="40">
        <f t="shared" si="28"/>
        <v>23</v>
      </c>
      <c r="AM229" s="41">
        <f t="shared" si="26"/>
        <v>1</v>
      </c>
      <c r="AN229" s="41">
        <f t="shared" si="27"/>
        <v>1</v>
      </c>
      <c r="AO229" s="25" t="s">
        <v>620</v>
      </c>
      <c r="AP229" s="25" t="str">
        <f>_xlfn.XLOOKUP(F229,'TFS Details'!F:F,'TFS Details'!I:I)</f>
        <v>Pirates</v>
      </c>
      <c r="AQ229" s="25" t="str">
        <f>_xlfn.XLOOKUP(AP229,'TFS Details'!I:I,'TFS Details'!AE:AE)</f>
        <v>pandidurai.ks</v>
      </c>
    </row>
    <row r="230" spans="1:43">
      <c r="A230" s="24" t="str">
        <f>_xlfn.XLOOKUP(F230,'TFS Details'!F:F,'TFS Details'!D:D)</f>
        <v>DSP</v>
      </c>
      <c r="B230" s="24" t="str">
        <f>_xlfn.XLOOKUP(F230,'TFS Details'!F:F,'TFS Details'!A:A)</f>
        <v>DSP Core Solution Plan Enhancements</v>
      </c>
      <c r="C230" s="64">
        <f>_xlfn.XLOOKUP(F230,'TFS Details'!F:F,'TFS Details'!E:E)</f>
        <v>4373652</v>
      </c>
      <c r="D230" s="17" t="s">
        <v>49</v>
      </c>
      <c r="E230" s="73" t="s">
        <v>621</v>
      </c>
      <c r="F230" s="74">
        <v>4373654</v>
      </c>
      <c r="G230" s="73" t="s">
        <v>613</v>
      </c>
      <c r="H230" s="73" t="s">
        <v>506</v>
      </c>
      <c r="I230" s="73"/>
      <c r="J230" s="73"/>
      <c r="K230" s="97" t="s">
        <v>18</v>
      </c>
      <c r="L230" s="17" t="s">
        <v>622</v>
      </c>
      <c r="M230" s="16" t="s">
        <v>48</v>
      </c>
      <c r="N230" s="17"/>
      <c r="O230" s="134"/>
      <c r="Q230" s="176"/>
      <c r="R230" s="176"/>
      <c r="S230" s="176"/>
      <c r="T230" s="176"/>
      <c r="W230" s="17" t="s">
        <v>183</v>
      </c>
      <c r="X230" s="17" t="s">
        <v>183</v>
      </c>
      <c r="Y230" s="17" t="s">
        <v>183</v>
      </c>
      <c r="Z230" s="17" t="s">
        <v>183</v>
      </c>
      <c r="AA230" s="176">
        <v>25</v>
      </c>
      <c r="AB230" s="176">
        <v>10</v>
      </c>
      <c r="AC230" s="176">
        <v>3</v>
      </c>
      <c r="AD230" s="176">
        <v>3</v>
      </c>
      <c r="AE230" s="33">
        <v>0.3</v>
      </c>
      <c r="AF230" s="33">
        <v>0.5</v>
      </c>
      <c r="AG230" s="25" t="str">
        <f>_xlfn.XLOOKUP(F230,'TFS Details'!F:F,'TFS Details'!H:H)</f>
        <v>UAT In Test</v>
      </c>
      <c r="AH230" s="44">
        <v>3</v>
      </c>
      <c r="AI230" s="44">
        <v>0</v>
      </c>
      <c r="AJ230" s="44">
        <v>0</v>
      </c>
      <c r="AK230" s="44">
        <v>0</v>
      </c>
      <c r="AL230" s="40">
        <f>SUM(AH230:AK230)</f>
        <v>3</v>
      </c>
      <c r="AM230" s="41">
        <f t="shared" si="26"/>
        <v>1</v>
      </c>
      <c r="AN230" s="41">
        <f t="shared" si="27"/>
        <v>1</v>
      </c>
      <c r="AO230" s="170"/>
      <c r="AP230" s="25" t="str">
        <f>_xlfn.XLOOKUP(F230,'TFS Details'!F:F,'TFS Details'!I:I)</f>
        <v>Pixel Pioneers</v>
      </c>
      <c r="AQ230" s="25" t="str">
        <f>_xlfn.XLOOKUP(AP230,'TFS Details'!I:I,'TFS Details'!AE:AE)</f>
        <v>pandidurai.ks</v>
      </c>
    </row>
    <row r="231" spans="1:43" ht="27.95">
      <c r="A231" s="24" t="str">
        <f>_xlfn.XLOOKUP(F231,'TFS Details'!F:F,'TFS Details'!D:D)</f>
        <v>DSP</v>
      </c>
      <c r="B231" s="24" t="str">
        <f>_xlfn.XLOOKUP(F231,'TFS Details'!F:F,'TFS Details'!A:A)</f>
        <v>DSP Core Solution Plan Enhancements</v>
      </c>
      <c r="C231" s="64">
        <f>_xlfn.XLOOKUP(F231,'TFS Details'!F:F,'TFS Details'!E:E)</f>
        <v>4373652</v>
      </c>
      <c r="D231" s="17" t="s">
        <v>49</v>
      </c>
      <c r="E231" s="73" t="s">
        <v>623</v>
      </c>
      <c r="F231" s="74">
        <v>4373656</v>
      </c>
      <c r="G231" s="73" t="s">
        <v>619</v>
      </c>
      <c r="H231" s="73" t="s">
        <v>538</v>
      </c>
      <c r="I231" s="73"/>
      <c r="J231" s="73" t="s">
        <v>85</v>
      </c>
      <c r="K231" s="97" t="s">
        <v>18</v>
      </c>
      <c r="L231" s="16" t="s">
        <v>624</v>
      </c>
      <c r="M231" s="16" t="s">
        <v>21</v>
      </c>
      <c r="N231" s="17" t="s">
        <v>191</v>
      </c>
      <c r="O231" s="134"/>
      <c r="Q231" s="176"/>
      <c r="R231" s="176"/>
      <c r="S231" s="176"/>
      <c r="T231" s="176"/>
      <c r="W231" s="17" t="s">
        <v>183</v>
      </c>
      <c r="X231" s="17" t="s">
        <v>201</v>
      </c>
      <c r="Y231" s="17" t="s">
        <v>183</v>
      </c>
      <c r="Z231" s="17" t="s">
        <v>183</v>
      </c>
      <c r="AA231" s="176">
        <v>40</v>
      </c>
      <c r="AB231" s="176">
        <v>33</v>
      </c>
      <c r="AC231" s="176">
        <v>0</v>
      </c>
      <c r="AD231" s="176">
        <v>33</v>
      </c>
      <c r="AE231" s="33">
        <v>0.7</v>
      </c>
      <c r="AF231" s="33">
        <v>0.7</v>
      </c>
      <c r="AG231" s="25" t="str">
        <f>_xlfn.XLOOKUP(F231,'TFS Details'!F:F,'TFS Details'!H:H)</f>
        <v>UAT In Test</v>
      </c>
      <c r="AH231" s="44">
        <v>33</v>
      </c>
      <c r="AI231" s="44">
        <v>0</v>
      </c>
      <c r="AJ231" s="44">
        <v>0</v>
      </c>
      <c r="AK231" s="44">
        <v>0</v>
      </c>
      <c r="AL231" s="40">
        <f>SUM(AH231:AK231)</f>
        <v>33</v>
      </c>
      <c r="AM231" s="41">
        <f t="shared" si="26"/>
        <v>1</v>
      </c>
      <c r="AN231" s="41">
        <f t="shared" si="27"/>
        <v>1</v>
      </c>
      <c r="AO231" s="126" t="s">
        <v>625</v>
      </c>
      <c r="AP231" s="25" t="str">
        <f>_xlfn.XLOOKUP(F231,'TFS Details'!F:F,'TFS Details'!I:I)</f>
        <v>Pixel Pioneers</v>
      </c>
      <c r="AQ231" s="25" t="str">
        <f>_xlfn.XLOOKUP(AP231,'TFS Details'!I:I,'TFS Details'!AE:AE)</f>
        <v>pandidurai.ks</v>
      </c>
    </row>
    <row r="232" spans="1:43" ht="27.95">
      <c r="A232" s="24" t="str">
        <f>_xlfn.XLOOKUP(F232,'TFS Details'!F:F,'TFS Details'!D:D)</f>
        <v>DSP</v>
      </c>
      <c r="B232" s="24" t="str">
        <f>_xlfn.XLOOKUP(F232,'TFS Details'!F:F,'TFS Details'!A:A)</f>
        <v>PPT/PDF Updated for all SGs</v>
      </c>
      <c r="C232" s="64">
        <f>_xlfn.XLOOKUP(F232,'TFS Details'!F:F,'TFS Details'!E:E)</f>
        <v>4395058</v>
      </c>
      <c r="D232" s="17" t="s">
        <v>49</v>
      </c>
      <c r="E232" s="73" t="s">
        <v>626</v>
      </c>
      <c r="F232" s="74">
        <v>4373657</v>
      </c>
      <c r="G232" s="73" t="s">
        <v>619</v>
      </c>
      <c r="H232" s="73" t="s">
        <v>538</v>
      </c>
      <c r="I232" s="73"/>
      <c r="J232" s="73" t="s">
        <v>85</v>
      </c>
      <c r="K232" s="97" t="s">
        <v>18</v>
      </c>
      <c r="L232" s="16" t="s">
        <v>627</v>
      </c>
      <c r="M232" s="16" t="s">
        <v>54</v>
      </c>
      <c r="N232" s="17" t="s">
        <v>191</v>
      </c>
      <c r="O232" s="134"/>
      <c r="Q232" s="176"/>
      <c r="R232" s="176"/>
      <c r="S232" s="176"/>
      <c r="T232" s="176"/>
      <c r="W232" s="17" t="s">
        <v>183</v>
      </c>
      <c r="X232" s="17" t="s">
        <v>201</v>
      </c>
      <c r="Y232" s="17" t="s">
        <v>183</v>
      </c>
      <c r="Z232" s="17" t="s">
        <v>183</v>
      </c>
      <c r="AA232" s="176">
        <v>41</v>
      </c>
      <c r="AB232" s="176">
        <v>22</v>
      </c>
      <c r="AC232" s="176">
        <v>0</v>
      </c>
      <c r="AD232" s="176">
        <v>22</v>
      </c>
      <c r="AE232" s="33">
        <v>0.75</v>
      </c>
      <c r="AF232" s="33">
        <v>0.75</v>
      </c>
      <c r="AG232" s="25" t="str">
        <f>_xlfn.XLOOKUP(F232,'TFS Details'!F:F,'TFS Details'!H:H)</f>
        <v>UAT In Test</v>
      </c>
      <c r="AH232" s="44">
        <v>22</v>
      </c>
      <c r="AI232" s="44">
        <v>0</v>
      </c>
      <c r="AJ232" s="44">
        <v>0</v>
      </c>
      <c r="AK232" s="44">
        <v>0</v>
      </c>
      <c r="AL232" s="40">
        <f>SUM(AH232:AK232)</f>
        <v>22</v>
      </c>
      <c r="AM232" s="41">
        <f t="shared" si="26"/>
        <v>1</v>
      </c>
      <c r="AN232" s="41">
        <f t="shared" si="27"/>
        <v>1</v>
      </c>
      <c r="AO232" s="126" t="s">
        <v>625</v>
      </c>
      <c r="AP232" s="25" t="str">
        <f>_xlfn.XLOOKUP(F232,'TFS Details'!F:F,'TFS Details'!I:I)</f>
        <v>Pixel Pioneers</v>
      </c>
      <c r="AQ232" s="25" t="str">
        <f>_xlfn.XLOOKUP(AP232,'TFS Details'!I:I,'TFS Details'!AE:AE)</f>
        <v>pandidurai.ks</v>
      </c>
    </row>
    <row r="233" spans="1:43">
      <c r="A233" s="24" t="str">
        <f>_xlfn.XLOOKUP(F233,'TFS Details'!F:F,'TFS Details'!D:D)</f>
        <v>GEN AI</v>
      </c>
      <c r="B233" s="24" t="str">
        <f>_xlfn.XLOOKUP(F233,'TFS Details'!F:F,'TFS Details'!A:A)</f>
        <v>Retrospective Learnings - Opportunity Benchmarks</v>
      </c>
      <c r="C233" s="64">
        <f>_xlfn.XLOOKUP(F233,'TFS Details'!F:F,'TFS Details'!E:E)</f>
        <v>4223629</v>
      </c>
      <c r="D233" s="17" t="s">
        <v>36</v>
      </c>
      <c r="E233" s="73" t="s">
        <v>628</v>
      </c>
      <c r="F233" s="74">
        <v>4436203</v>
      </c>
      <c r="G233" s="73" t="s">
        <v>546</v>
      </c>
      <c r="H233" s="73" t="s">
        <v>545</v>
      </c>
      <c r="I233" s="73"/>
      <c r="J233" s="73" t="s">
        <v>629</v>
      </c>
      <c r="K233" s="97" t="s">
        <v>18</v>
      </c>
      <c r="L233" s="16" t="s">
        <v>630</v>
      </c>
      <c r="M233" s="16" t="s">
        <v>75</v>
      </c>
      <c r="N233" s="17"/>
      <c r="O233" s="134"/>
      <c r="Q233" s="176"/>
      <c r="R233" s="176"/>
      <c r="S233" s="176"/>
      <c r="T233" s="176"/>
      <c r="W233" s="17" t="s">
        <v>183</v>
      </c>
      <c r="X233" s="17" t="s">
        <v>183</v>
      </c>
      <c r="Y233" s="17" t="s">
        <v>183</v>
      </c>
      <c r="Z233" s="17" t="s">
        <v>201</v>
      </c>
      <c r="AA233" s="176">
        <v>40</v>
      </c>
      <c r="AB233" s="176">
        <v>20</v>
      </c>
      <c r="AC233" s="176">
        <v>70</v>
      </c>
      <c r="AD233" s="176">
        <v>10</v>
      </c>
      <c r="AE233" s="33">
        <v>0.2</v>
      </c>
      <c r="AF233" s="33">
        <v>0.6</v>
      </c>
      <c r="AG233" s="25" t="str">
        <f>_xlfn.XLOOKUP(F233,'TFS Details'!F:F,'TFS Details'!H:H)</f>
        <v>UAT In Test</v>
      </c>
      <c r="AH233" s="44">
        <v>8</v>
      </c>
      <c r="AI233" s="44">
        <v>1</v>
      </c>
      <c r="AJ233" s="44">
        <v>0</v>
      </c>
      <c r="AK233" s="44">
        <v>0</v>
      </c>
      <c r="AL233" s="40">
        <f>SUM(AH233:AK233)</f>
        <v>9</v>
      </c>
      <c r="AM233" s="41">
        <f t="shared" si="26"/>
        <v>1</v>
      </c>
      <c r="AN233" s="41">
        <f>IF(AH233=0,0,AH233/(SUM(AH233:AJ233)))</f>
        <v>0.88888888888888884</v>
      </c>
      <c r="AO233" s="25" t="s">
        <v>631</v>
      </c>
      <c r="AP233" s="25" t="str">
        <f>_xlfn.XLOOKUP(F233,'TFS Details'!F:F,'TFS Details'!I:I)</f>
        <v>QDI - Opportunity Metrics</v>
      </c>
      <c r="AQ233" s="25" t="str">
        <f>_xlfn.XLOOKUP(AP233,'TFS Details'!I:I,'TFS Details'!AE:AE)</f>
        <v>n.d.krishnakumar</v>
      </c>
    </row>
    <row r="234" spans="1:43">
      <c r="A234" s="24" t="str">
        <f>_xlfn.XLOOKUP(F234,'TFS Details'!F:F,'TFS Details'!D:D)</f>
        <v>GEN AI</v>
      </c>
      <c r="B234" s="24" t="str">
        <f>_xlfn.XLOOKUP(F234,'TFS Details'!F:F,'TFS Details'!A:A)</f>
        <v>Retrospective Learnings - Opportunity Benchmarks</v>
      </c>
      <c r="C234" s="64">
        <f>_xlfn.XLOOKUP(F234,'TFS Details'!F:F,'TFS Details'!E:E)</f>
        <v>4223629</v>
      </c>
      <c r="D234" s="17" t="s">
        <v>36</v>
      </c>
      <c r="E234" s="73" t="s">
        <v>632</v>
      </c>
      <c r="F234" s="74">
        <v>4381589</v>
      </c>
      <c r="G234" s="73" t="s">
        <v>546</v>
      </c>
      <c r="H234" s="73" t="s">
        <v>545</v>
      </c>
      <c r="I234" s="73"/>
      <c r="J234" s="73" t="s">
        <v>629</v>
      </c>
      <c r="K234" s="97" t="s">
        <v>18</v>
      </c>
      <c r="L234" s="16" t="s">
        <v>633</v>
      </c>
      <c r="M234" s="16" t="s">
        <v>21</v>
      </c>
      <c r="N234" s="17"/>
      <c r="O234" s="134"/>
      <c r="Q234" s="176"/>
      <c r="R234" s="176"/>
      <c r="S234" s="176"/>
      <c r="T234" s="176"/>
      <c r="W234" s="17" t="s">
        <v>183</v>
      </c>
      <c r="X234" s="17" t="s">
        <v>183</v>
      </c>
      <c r="Y234" s="17" t="s">
        <v>183</v>
      </c>
      <c r="Z234" s="17" t="s">
        <v>183</v>
      </c>
      <c r="AA234" s="176">
        <v>40</v>
      </c>
      <c r="AB234" s="176">
        <v>20</v>
      </c>
      <c r="AC234" s="176">
        <v>70</v>
      </c>
      <c r="AD234" s="176">
        <v>11</v>
      </c>
      <c r="AE234" s="33">
        <v>0.2</v>
      </c>
      <c r="AF234" s="33">
        <v>0.6</v>
      </c>
      <c r="AG234" s="25" t="str">
        <f>_xlfn.XLOOKUP(F234,'TFS Details'!F:F,'TFS Details'!H:H)</f>
        <v>UAT In Test</v>
      </c>
      <c r="AH234" s="44">
        <v>11</v>
      </c>
      <c r="AI234" s="44">
        <v>0</v>
      </c>
      <c r="AJ234" s="44">
        <v>0</v>
      </c>
      <c r="AK234" s="44">
        <v>0</v>
      </c>
      <c r="AL234" s="40">
        <f t="shared" si="28"/>
        <v>11</v>
      </c>
      <c r="AM234" s="41">
        <f t="shared" si="26"/>
        <v>1</v>
      </c>
      <c r="AN234" s="41">
        <f t="shared" si="27"/>
        <v>1</v>
      </c>
      <c r="AO234" s="25" t="s">
        <v>634</v>
      </c>
      <c r="AP234" s="25" t="str">
        <f>_xlfn.XLOOKUP(F234,'TFS Details'!F:F,'TFS Details'!I:I)</f>
        <v>QDI - Opportunity Metrics</v>
      </c>
      <c r="AQ234" s="25" t="str">
        <f>_xlfn.XLOOKUP(AP234,'TFS Details'!I:I,'TFS Details'!AE:AE)</f>
        <v>n.d.krishnakumar</v>
      </c>
    </row>
    <row r="235" spans="1:43">
      <c r="A235" s="24" t="str">
        <f>_xlfn.XLOOKUP(F235,'TFS Details'!F:F,'TFS Details'!D:D)</f>
        <v>GEN AI</v>
      </c>
      <c r="B235" s="24" t="str">
        <f>_xlfn.XLOOKUP(F235,'TFS Details'!F:F,'TFS Details'!A:A)</f>
        <v>Retrospective Learnings - Opportunity Benchmarks</v>
      </c>
      <c r="C235" s="64">
        <f>_xlfn.XLOOKUP(F235,'TFS Details'!F:F,'TFS Details'!E:E)</f>
        <v>4223629</v>
      </c>
      <c r="D235" s="17" t="s">
        <v>36</v>
      </c>
      <c r="E235" s="73" t="s">
        <v>635</v>
      </c>
      <c r="F235" s="74">
        <v>4381591</v>
      </c>
      <c r="G235" s="73" t="s">
        <v>546</v>
      </c>
      <c r="H235" s="73" t="s">
        <v>545</v>
      </c>
      <c r="I235" s="73"/>
      <c r="J235" s="73" t="s">
        <v>629</v>
      </c>
      <c r="K235" s="97" t="s">
        <v>18</v>
      </c>
      <c r="L235" s="16" t="s">
        <v>633</v>
      </c>
      <c r="M235" s="16" t="s">
        <v>21</v>
      </c>
      <c r="N235" s="17"/>
      <c r="O235" s="134"/>
      <c r="Q235" s="176"/>
      <c r="R235" s="176"/>
      <c r="S235" s="176"/>
      <c r="T235" s="176"/>
      <c r="W235" s="17" t="s">
        <v>183</v>
      </c>
      <c r="X235" s="17" t="s">
        <v>183</v>
      </c>
      <c r="Y235" s="17" t="s">
        <v>183</v>
      </c>
      <c r="Z235" s="17" t="s">
        <v>201</v>
      </c>
      <c r="AA235" s="176">
        <v>40</v>
      </c>
      <c r="AB235" s="176">
        <v>20</v>
      </c>
      <c r="AC235" s="176">
        <v>70</v>
      </c>
      <c r="AD235" s="176">
        <v>9</v>
      </c>
      <c r="AE235" s="33">
        <v>0.2</v>
      </c>
      <c r="AF235" s="33">
        <v>0.6</v>
      </c>
      <c r="AG235" s="25" t="str">
        <f>_xlfn.XLOOKUP(F235,'TFS Details'!F:F,'TFS Details'!H:H)</f>
        <v>UAT In Test</v>
      </c>
      <c r="AH235" s="44">
        <v>8</v>
      </c>
      <c r="AI235" s="44">
        <v>1</v>
      </c>
      <c r="AJ235" s="44">
        <v>0</v>
      </c>
      <c r="AK235" s="44">
        <v>0</v>
      </c>
      <c r="AL235" s="40">
        <f t="shared" si="28"/>
        <v>9</v>
      </c>
      <c r="AM235" s="41">
        <f t="shared" si="26"/>
        <v>1</v>
      </c>
      <c r="AN235" s="41">
        <f t="shared" si="27"/>
        <v>0.88888888888888884</v>
      </c>
      <c r="AO235" s="25" t="s">
        <v>636</v>
      </c>
      <c r="AP235" s="25" t="str">
        <f>_xlfn.XLOOKUP(F235,'TFS Details'!F:F,'TFS Details'!I:I)</f>
        <v>QDI - Opportunity Metrics</v>
      </c>
      <c r="AQ235" s="25" t="str">
        <f>_xlfn.XLOOKUP(AP235,'TFS Details'!I:I,'TFS Details'!AE:AE)</f>
        <v>n.d.krishnakumar</v>
      </c>
    </row>
    <row r="236" spans="1:43">
      <c r="A236" s="24" t="str">
        <f>_xlfn.XLOOKUP(F236,'TFS Details'!F:F,'TFS Details'!D:D)</f>
        <v>GEN AI</v>
      </c>
      <c r="B236" s="24" t="str">
        <f>_xlfn.XLOOKUP(F236,'TFS Details'!F:F,'TFS Details'!A:A)</f>
        <v>Retrospective Learnings - Opportunity Benchmarks</v>
      </c>
      <c r="C236" s="64">
        <f>_xlfn.XLOOKUP(F236,'TFS Details'!F:F,'TFS Details'!E:E)</f>
        <v>4223629</v>
      </c>
      <c r="D236" s="17" t="s">
        <v>36</v>
      </c>
      <c r="E236" s="73" t="s">
        <v>637</v>
      </c>
      <c r="F236" s="74">
        <v>4381592</v>
      </c>
      <c r="G236" s="73" t="s">
        <v>546</v>
      </c>
      <c r="H236" s="73" t="s">
        <v>545</v>
      </c>
      <c r="I236" s="73"/>
      <c r="J236" s="73" t="s">
        <v>629</v>
      </c>
      <c r="K236" s="97" t="s">
        <v>18</v>
      </c>
      <c r="L236" s="16" t="s">
        <v>633</v>
      </c>
      <c r="M236" s="16" t="s">
        <v>21</v>
      </c>
      <c r="N236" s="17"/>
      <c r="O236" s="134"/>
      <c r="Q236" s="176"/>
      <c r="R236" s="176"/>
      <c r="S236" s="176"/>
      <c r="T236" s="176"/>
      <c r="W236" s="17" t="s">
        <v>183</v>
      </c>
      <c r="X236" s="17" t="s">
        <v>183</v>
      </c>
      <c r="Y236" s="17" t="s">
        <v>183</v>
      </c>
      <c r="Z236" s="17" t="s">
        <v>183</v>
      </c>
      <c r="AA236" s="176">
        <v>20</v>
      </c>
      <c r="AB236" s="176">
        <v>10</v>
      </c>
      <c r="AC236" s="176">
        <v>80</v>
      </c>
      <c r="AD236" s="176">
        <v>12</v>
      </c>
      <c r="AE236" s="33">
        <v>0.1</v>
      </c>
      <c r="AF236" s="33">
        <v>0.7</v>
      </c>
      <c r="AG236" s="25" t="str">
        <f>_xlfn.XLOOKUP(F236,'TFS Details'!F:F,'TFS Details'!H:H)</f>
        <v>UAT In Test</v>
      </c>
      <c r="AH236" s="44">
        <v>12</v>
      </c>
      <c r="AI236" s="44">
        <v>0</v>
      </c>
      <c r="AJ236" s="44">
        <v>0</v>
      </c>
      <c r="AK236" s="44">
        <v>0</v>
      </c>
      <c r="AL236" s="40">
        <f t="shared" si="28"/>
        <v>12</v>
      </c>
      <c r="AM236" s="41">
        <f t="shared" si="26"/>
        <v>1</v>
      </c>
      <c r="AN236" s="41">
        <f t="shared" si="27"/>
        <v>1</v>
      </c>
      <c r="AO236" s="25" t="s">
        <v>634</v>
      </c>
      <c r="AP236" s="25" t="str">
        <f>_xlfn.XLOOKUP(F236,'TFS Details'!F:F,'TFS Details'!I:I)</f>
        <v>QDI - Opportunity Metrics</v>
      </c>
      <c r="AQ236" s="25" t="str">
        <f>_xlfn.XLOOKUP(AP236,'TFS Details'!I:I,'TFS Details'!AE:AE)</f>
        <v>n.d.krishnakumar</v>
      </c>
    </row>
    <row r="237" spans="1:43">
      <c r="A237" s="24" t="str">
        <f>_xlfn.XLOOKUP(F237,'TFS Details'!F:F,'TFS Details'!D:D)</f>
        <v>GEN AI</v>
      </c>
      <c r="B237" s="24" t="str">
        <f>_xlfn.XLOOKUP(F237,'TFS Details'!F:F,'TFS Details'!A:A)</f>
        <v>Retrospective Learnings - Opportunity Benchmarks</v>
      </c>
      <c r="C237" s="64">
        <f>_xlfn.XLOOKUP(F237,'TFS Details'!F:F,'TFS Details'!E:E)</f>
        <v>4223629</v>
      </c>
      <c r="D237" s="17" t="s">
        <v>36</v>
      </c>
      <c r="E237" s="73" t="s">
        <v>638</v>
      </c>
      <c r="F237" s="74">
        <v>4373713</v>
      </c>
      <c r="G237" s="73" t="s">
        <v>546</v>
      </c>
      <c r="H237" s="73" t="s">
        <v>545</v>
      </c>
      <c r="I237" s="73"/>
      <c r="J237" s="73" t="s">
        <v>629</v>
      </c>
      <c r="K237" s="97" t="s">
        <v>18</v>
      </c>
      <c r="L237" s="16" t="s">
        <v>633</v>
      </c>
      <c r="M237" s="16" t="s">
        <v>21</v>
      </c>
      <c r="N237" s="17"/>
      <c r="O237" s="134"/>
      <c r="Q237" s="176"/>
      <c r="R237" s="176"/>
      <c r="S237" s="176"/>
      <c r="T237" s="176"/>
      <c r="W237" s="17" t="s">
        <v>183</v>
      </c>
      <c r="X237" s="17" t="s">
        <v>183</v>
      </c>
      <c r="Y237" s="17" t="s">
        <v>183</v>
      </c>
      <c r="Z237" s="17" t="s">
        <v>183</v>
      </c>
      <c r="AA237" s="176">
        <v>50</v>
      </c>
      <c r="AB237" s="176">
        <v>20</v>
      </c>
      <c r="AC237" s="176">
        <v>70</v>
      </c>
      <c r="AD237" s="176">
        <v>17</v>
      </c>
      <c r="AE237" s="33">
        <v>0.2</v>
      </c>
      <c r="AF237" s="33">
        <v>0.5</v>
      </c>
      <c r="AG237" s="25" t="str">
        <f>_xlfn.XLOOKUP(F237,'TFS Details'!F:F,'TFS Details'!H:H)</f>
        <v>UAT In Test</v>
      </c>
      <c r="AH237" s="44">
        <v>17</v>
      </c>
      <c r="AI237" s="44">
        <v>0</v>
      </c>
      <c r="AJ237" s="44">
        <v>0</v>
      </c>
      <c r="AK237" s="44">
        <v>0</v>
      </c>
      <c r="AL237" s="40">
        <f t="shared" si="28"/>
        <v>17</v>
      </c>
      <c r="AM237" s="41">
        <f t="shared" si="26"/>
        <v>1</v>
      </c>
      <c r="AN237" s="41">
        <f t="shared" si="27"/>
        <v>1</v>
      </c>
      <c r="AO237" s="25" t="s">
        <v>634</v>
      </c>
      <c r="AP237" s="25" t="str">
        <f>_xlfn.XLOOKUP(F237,'TFS Details'!F:F,'TFS Details'!I:I)</f>
        <v>QDI - Opportunity Metrics</v>
      </c>
      <c r="AQ237" s="25" t="str">
        <f>_xlfn.XLOOKUP(AP237,'TFS Details'!I:I,'TFS Details'!AE:AE)</f>
        <v>n.d.krishnakumar</v>
      </c>
    </row>
    <row r="238" spans="1:43">
      <c r="A238" s="24" t="str">
        <f>_xlfn.XLOOKUP(F238,'TFS Details'!F:F,'TFS Details'!D:D)</f>
        <v>GEN AI</v>
      </c>
      <c r="B238" s="24" t="str">
        <f>_xlfn.XLOOKUP(F238,'TFS Details'!F:F,'TFS Details'!A:A)</f>
        <v>Retrospective Learnings - Opportunity Benchmarks</v>
      </c>
      <c r="C238" s="64">
        <f>_xlfn.XLOOKUP(F238,'TFS Details'!F:F,'TFS Details'!E:E)</f>
        <v>4223629</v>
      </c>
      <c r="D238" s="17" t="s">
        <v>36</v>
      </c>
      <c r="E238" s="73" t="s">
        <v>639</v>
      </c>
      <c r="F238" s="74">
        <v>4373716</v>
      </c>
      <c r="G238" s="73" t="s">
        <v>546</v>
      </c>
      <c r="H238" s="73" t="s">
        <v>545</v>
      </c>
      <c r="I238" s="73"/>
      <c r="J238" s="73" t="s">
        <v>629</v>
      </c>
      <c r="K238" s="97" t="s">
        <v>18</v>
      </c>
      <c r="L238" s="16" t="s">
        <v>633</v>
      </c>
      <c r="M238" s="16" t="s">
        <v>21</v>
      </c>
      <c r="N238" s="17"/>
      <c r="O238" s="134"/>
      <c r="Q238" s="176"/>
      <c r="R238" s="176"/>
      <c r="S238" s="176"/>
      <c r="T238" s="176"/>
      <c r="W238" s="17" t="s">
        <v>183</v>
      </c>
      <c r="X238" s="17" t="s">
        <v>183</v>
      </c>
      <c r="Y238" s="17" t="s">
        <v>183</v>
      </c>
      <c r="Z238" s="17" t="s">
        <v>183</v>
      </c>
      <c r="AA238" s="176">
        <v>50</v>
      </c>
      <c r="AB238" s="176">
        <v>25</v>
      </c>
      <c r="AC238" s="176">
        <v>60</v>
      </c>
      <c r="AD238" s="176">
        <v>21</v>
      </c>
      <c r="AE238" s="33">
        <v>0.25</v>
      </c>
      <c r="AF238" s="33">
        <v>0.25</v>
      </c>
      <c r="AG238" s="25" t="str">
        <f>_xlfn.XLOOKUP(F238,'TFS Details'!F:F,'TFS Details'!H:H)</f>
        <v>UAT In Test</v>
      </c>
      <c r="AH238" s="44">
        <v>21</v>
      </c>
      <c r="AI238" s="44">
        <v>0</v>
      </c>
      <c r="AJ238" s="44">
        <v>0</v>
      </c>
      <c r="AK238" s="44">
        <v>0</v>
      </c>
      <c r="AL238" s="40">
        <f t="shared" si="28"/>
        <v>21</v>
      </c>
      <c r="AM238" s="41">
        <f t="shared" si="26"/>
        <v>1</v>
      </c>
      <c r="AN238" s="41">
        <f t="shared" si="27"/>
        <v>1</v>
      </c>
      <c r="AO238" s="25" t="s">
        <v>634</v>
      </c>
      <c r="AP238" s="25" t="str">
        <f>_xlfn.XLOOKUP(F238,'TFS Details'!F:F,'TFS Details'!I:I)</f>
        <v>QDI - Opportunity Metrics</v>
      </c>
      <c r="AQ238" s="25" t="str">
        <f>_xlfn.XLOOKUP(AP238,'TFS Details'!I:I,'TFS Details'!AE:AE)</f>
        <v>n.d.krishnakumar</v>
      </c>
    </row>
    <row r="239" spans="1:43">
      <c r="A239" s="24" t="str">
        <f>_xlfn.XLOOKUP(F239,'TFS Details'!F:F,'TFS Details'!D:D)</f>
        <v>GEN AI</v>
      </c>
      <c r="B239" s="24" t="str">
        <f>_xlfn.XLOOKUP(F239,'TFS Details'!F:F,'TFS Details'!A:A)</f>
        <v>Solution Version Comparator Feature in SSA</v>
      </c>
      <c r="C239" s="64">
        <f>_xlfn.XLOOKUP(F239,'TFS Details'!F:F,'TFS Details'!E:E)</f>
        <v>4373741</v>
      </c>
      <c r="D239" s="17" t="s">
        <v>36</v>
      </c>
      <c r="E239" s="73" t="s">
        <v>640</v>
      </c>
      <c r="F239" s="74">
        <v>4345085</v>
      </c>
      <c r="G239" s="73" t="s">
        <v>641</v>
      </c>
      <c r="H239" s="73" t="s">
        <v>582</v>
      </c>
      <c r="I239" s="73"/>
      <c r="J239" s="73" t="s">
        <v>642</v>
      </c>
      <c r="K239" s="97" t="s">
        <v>18</v>
      </c>
      <c r="L239" s="16" t="s">
        <v>633</v>
      </c>
      <c r="M239" s="16" t="s">
        <v>21</v>
      </c>
      <c r="N239" s="17" t="s">
        <v>191</v>
      </c>
      <c r="O239" s="134"/>
      <c r="Q239" s="176"/>
      <c r="R239" s="176"/>
      <c r="S239" s="176"/>
      <c r="T239" s="176"/>
      <c r="W239" s="17" t="s">
        <v>183</v>
      </c>
      <c r="X239" s="17" t="s">
        <v>183</v>
      </c>
      <c r="Y239" s="17" t="s">
        <v>183</v>
      </c>
      <c r="Z239" s="17" t="s">
        <v>201</v>
      </c>
      <c r="AA239" s="176">
        <v>51</v>
      </c>
      <c r="AB239" s="176">
        <v>32</v>
      </c>
      <c r="AC239" s="176">
        <v>0</v>
      </c>
      <c r="AD239" s="176">
        <v>32</v>
      </c>
      <c r="AE239" s="33">
        <v>0.64</v>
      </c>
      <c r="AF239" s="33">
        <v>0.64</v>
      </c>
      <c r="AG239" s="25" t="str">
        <f>_xlfn.XLOOKUP(F239,'TFS Details'!F:F,'TFS Details'!H:H)</f>
        <v>UAT In Test</v>
      </c>
      <c r="AH239" s="44">
        <v>8</v>
      </c>
      <c r="AI239" s="44">
        <v>5</v>
      </c>
      <c r="AJ239" s="44">
        <v>0</v>
      </c>
      <c r="AK239" s="44">
        <v>0</v>
      </c>
      <c r="AL239" s="40">
        <f t="shared" si="28"/>
        <v>13</v>
      </c>
      <c r="AM239" s="41">
        <f t="shared" si="26"/>
        <v>1</v>
      </c>
      <c r="AN239" s="41">
        <f t="shared" si="27"/>
        <v>0.61538461538461542</v>
      </c>
      <c r="AO239" s="25" t="s">
        <v>643</v>
      </c>
      <c r="AP239" s="25" t="str">
        <f>_xlfn.XLOOKUP(F239,'TFS Details'!F:F,'TFS Details'!I:I)</f>
        <v>QDI - Opportunity Metrics</v>
      </c>
      <c r="AQ239" s="25" t="str">
        <f>_xlfn.XLOOKUP(AP239,'TFS Details'!I:I,'TFS Details'!AE:AE)</f>
        <v>n.d.krishnakumar</v>
      </c>
    </row>
    <row r="240" spans="1:43">
      <c r="A240" s="24" t="str">
        <f>_xlfn.XLOOKUP(F240,'TFS Details'!F:F,'TFS Details'!D:D)</f>
        <v>GEN AI</v>
      </c>
      <c r="B240" s="24" t="str">
        <f>_xlfn.XLOOKUP(F240,'TFS Details'!F:F,'TFS Details'!A:A)</f>
        <v>Solution Version Comparator Feature in SSA</v>
      </c>
      <c r="C240" s="64">
        <f>_xlfn.XLOOKUP(F240,'TFS Details'!F:F,'TFS Details'!E:E)</f>
        <v>4373741</v>
      </c>
      <c r="D240" s="17" t="s">
        <v>36</v>
      </c>
      <c r="E240" s="73" t="s">
        <v>644</v>
      </c>
      <c r="F240" s="74">
        <v>4345110</v>
      </c>
      <c r="G240" s="73" t="s">
        <v>641</v>
      </c>
      <c r="H240" s="73" t="s">
        <v>582</v>
      </c>
      <c r="I240" s="73"/>
      <c r="J240" s="73" t="s">
        <v>642</v>
      </c>
      <c r="K240" s="97" t="s">
        <v>18</v>
      </c>
      <c r="L240" s="16" t="s">
        <v>633</v>
      </c>
      <c r="M240" s="16" t="s">
        <v>21</v>
      </c>
      <c r="N240" s="17" t="s">
        <v>191</v>
      </c>
      <c r="O240" s="134"/>
      <c r="Q240" s="176"/>
      <c r="R240" s="176"/>
      <c r="S240" s="176"/>
      <c r="T240" s="176"/>
      <c r="W240" s="17" t="s">
        <v>183</v>
      </c>
      <c r="X240" s="17" t="s">
        <v>183</v>
      </c>
      <c r="Y240" s="17" t="s">
        <v>183</v>
      </c>
      <c r="Z240" s="17" t="s">
        <v>201</v>
      </c>
      <c r="AA240" s="176">
        <v>50</v>
      </c>
      <c r="AB240" s="176">
        <v>31</v>
      </c>
      <c r="AC240" s="176">
        <v>0</v>
      </c>
      <c r="AD240" s="176">
        <v>31</v>
      </c>
      <c r="AE240" s="33">
        <v>0.62</v>
      </c>
      <c r="AF240" s="33">
        <v>0.62</v>
      </c>
      <c r="AG240" s="25" t="str">
        <f>_xlfn.XLOOKUP(F240,'TFS Details'!F:F,'TFS Details'!H:H)</f>
        <v>UAT In Test</v>
      </c>
      <c r="AH240" s="44">
        <v>5</v>
      </c>
      <c r="AI240" s="44">
        <v>5</v>
      </c>
      <c r="AJ240" s="44">
        <v>0</v>
      </c>
      <c r="AK240" s="44">
        <v>0</v>
      </c>
      <c r="AL240" s="40">
        <f t="shared" si="28"/>
        <v>10</v>
      </c>
      <c r="AM240" s="41">
        <f t="shared" si="26"/>
        <v>1</v>
      </c>
      <c r="AN240" s="41">
        <f t="shared" si="27"/>
        <v>0.5</v>
      </c>
      <c r="AO240" s="25" t="s">
        <v>643</v>
      </c>
      <c r="AP240" s="25" t="str">
        <f>_xlfn.XLOOKUP(F240,'TFS Details'!F:F,'TFS Details'!I:I)</f>
        <v>QDI - Opportunity Metrics</v>
      </c>
      <c r="AQ240" s="25" t="str">
        <f>_xlfn.XLOOKUP(AP240,'TFS Details'!I:I,'TFS Details'!AE:AE)</f>
        <v>n.d.krishnakumar</v>
      </c>
    </row>
    <row r="241" spans="1:43">
      <c r="A241" s="24" t="str">
        <f>_xlfn.XLOOKUP(F241,'TFS Details'!F:F,'TFS Details'!D:D)</f>
        <v>GEN AI</v>
      </c>
      <c r="B241" s="24" t="str">
        <f>_xlfn.XLOOKUP(F241,'TFS Details'!F:F,'TFS Details'!A:A)</f>
        <v>Retrospective Learnings - Opportunity Benchmarks</v>
      </c>
      <c r="C241" s="64">
        <f>_xlfn.XLOOKUP(F241,'TFS Details'!F:F,'TFS Details'!E:E)</f>
        <v>4223629</v>
      </c>
      <c r="D241" s="17" t="s">
        <v>36</v>
      </c>
      <c r="E241" s="132" t="s">
        <v>645</v>
      </c>
      <c r="F241" s="74">
        <v>4240159</v>
      </c>
      <c r="G241" s="73" t="s">
        <v>545</v>
      </c>
      <c r="H241" s="73" t="s">
        <v>546</v>
      </c>
      <c r="I241" s="73"/>
      <c r="J241" s="73" t="s">
        <v>547</v>
      </c>
      <c r="K241" s="97" t="s">
        <v>18</v>
      </c>
      <c r="L241" s="16" t="s">
        <v>646</v>
      </c>
      <c r="M241" s="16" t="s">
        <v>21</v>
      </c>
      <c r="N241" s="17" t="s">
        <v>191</v>
      </c>
      <c r="O241" s="134"/>
      <c r="Q241" s="176"/>
      <c r="R241" s="176"/>
      <c r="S241" s="176"/>
      <c r="T241" s="176"/>
      <c r="W241" s="17" t="s">
        <v>183</v>
      </c>
      <c r="X241" s="17" t="s">
        <v>183</v>
      </c>
      <c r="Y241" s="17" t="s">
        <v>183</v>
      </c>
      <c r="Z241" s="17" t="s">
        <v>183</v>
      </c>
      <c r="AA241" s="176">
        <v>20</v>
      </c>
      <c r="AB241" s="176">
        <v>10</v>
      </c>
      <c r="AC241" s="176">
        <v>5</v>
      </c>
      <c r="AD241" s="176">
        <v>15</v>
      </c>
      <c r="AE241" s="33">
        <v>0.5</v>
      </c>
      <c r="AF241" s="33">
        <v>0.75</v>
      </c>
      <c r="AG241" s="25" t="str">
        <f>_xlfn.XLOOKUP(F241,'TFS Details'!F:F,'TFS Details'!H:H)</f>
        <v>UAT In Test</v>
      </c>
      <c r="AH241" s="44">
        <v>15</v>
      </c>
      <c r="AI241" s="44">
        <v>0</v>
      </c>
      <c r="AJ241" s="44">
        <v>0</v>
      </c>
      <c r="AK241" s="44">
        <v>0</v>
      </c>
      <c r="AL241" s="40">
        <f t="shared" si="28"/>
        <v>15</v>
      </c>
      <c r="AM241" s="41">
        <f t="shared" si="26"/>
        <v>1</v>
      </c>
      <c r="AN241" s="41">
        <f t="shared" si="27"/>
        <v>1</v>
      </c>
      <c r="AO241" s="144" t="s">
        <v>647</v>
      </c>
      <c r="AP241" s="25" t="str">
        <f>_xlfn.XLOOKUP(F241,'TFS Details'!F:F,'TFS Details'!I:I)</f>
        <v>QDI - Opportunity Metrics</v>
      </c>
      <c r="AQ241" s="25" t="str">
        <f>_xlfn.XLOOKUP(AP241,'TFS Details'!I:I,'TFS Details'!AE:AE)</f>
        <v>n.d.krishnakumar</v>
      </c>
    </row>
    <row r="242" spans="1:43">
      <c r="A242" s="24" t="str">
        <f>_xlfn.XLOOKUP(F242,'TFS Details'!F:F,'TFS Details'!D:D)</f>
        <v>GEN AI</v>
      </c>
      <c r="B242" s="24" t="str">
        <f>_xlfn.XLOOKUP(F242,'TFS Details'!F:F,'TFS Details'!A:A)</f>
        <v>Solution Version Comparator Feature in SSA</v>
      </c>
      <c r="C242" s="64">
        <f>_xlfn.XLOOKUP(F242,'TFS Details'!F:F,'TFS Details'!E:E)</f>
        <v>4373741</v>
      </c>
      <c r="D242" s="17" t="s">
        <v>36</v>
      </c>
      <c r="E242" s="132" t="s">
        <v>648</v>
      </c>
      <c r="F242" s="74">
        <v>4240156</v>
      </c>
      <c r="G242" s="73" t="s">
        <v>649</v>
      </c>
      <c r="H242" s="73" t="s">
        <v>589</v>
      </c>
      <c r="I242" s="73"/>
      <c r="J242" s="73" t="s">
        <v>650</v>
      </c>
      <c r="K242" s="97" t="s">
        <v>18</v>
      </c>
      <c r="L242" s="16" t="s">
        <v>651</v>
      </c>
      <c r="M242" s="16" t="s">
        <v>61</v>
      </c>
      <c r="N242" s="17"/>
      <c r="O242" s="134"/>
      <c r="Q242" s="176"/>
      <c r="R242" s="176"/>
      <c r="S242" s="176"/>
      <c r="T242" s="176"/>
      <c r="W242" s="17" t="s">
        <v>183</v>
      </c>
      <c r="X242" s="17" t="s">
        <v>183</v>
      </c>
      <c r="Y242" s="17" t="s">
        <v>183</v>
      </c>
      <c r="Z242" s="17" t="s">
        <v>183</v>
      </c>
      <c r="AA242" s="176">
        <v>20</v>
      </c>
      <c r="AB242" s="176">
        <v>10</v>
      </c>
      <c r="AC242" s="176">
        <v>70</v>
      </c>
      <c r="AD242" s="176">
        <v>80</v>
      </c>
      <c r="AE242" s="33">
        <v>0.1</v>
      </c>
      <c r="AF242" s="33">
        <v>0.4</v>
      </c>
      <c r="AG242" s="25" t="str">
        <f>_xlfn.XLOOKUP(F242,'TFS Details'!F:F,'TFS Details'!H:H)</f>
        <v>UAT In Test</v>
      </c>
      <c r="AH242" s="44">
        <v>6</v>
      </c>
      <c r="AI242" s="44">
        <v>0</v>
      </c>
      <c r="AJ242" s="44">
        <v>0</v>
      </c>
      <c r="AK242" s="44">
        <v>0</v>
      </c>
      <c r="AL242" s="40">
        <f t="shared" si="28"/>
        <v>6</v>
      </c>
      <c r="AM242" s="41">
        <f t="shared" si="26"/>
        <v>1</v>
      </c>
      <c r="AN242" s="41">
        <f t="shared" si="27"/>
        <v>1</v>
      </c>
      <c r="AO242" s="25" t="s">
        <v>652</v>
      </c>
      <c r="AP242" s="25" t="str">
        <f>_xlfn.XLOOKUP(F242,'TFS Details'!F:F,'TFS Details'!I:I)</f>
        <v>QDI - Opportunity Metrics</v>
      </c>
      <c r="AQ242" s="25" t="str">
        <f>_xlfn.XLOOKUP(AP242,'TFS Details'!I:I,'TFS Details'!AE:AE)</f>
        <v>n.d.krishnakumar</v>
      </c>
    </row>
    <row r="243" spans="1:43">
      <c r="A243" s="24" t="str">
        <f>_xlfn.XLOOKUP(F243,'TFS Details'!F:F,'TFS Details'!D:D)</f>
        <v>GEN AI</v>
      </c>
      <c r="B243" s="24" t="str">
        <f>_xlfn.XLOOKUP(F243,'TFS Details'!F:F,'TFS Details'!A:A)</f>
        <v>Retrospective Learnings - Opportunity Benchmarks</v>
      </c>
      <c r="C243" s="64">
        <f>_xlfn.XLOOKUP(F243,'TFS Details'!F:F,'TFS Details'!E:E)</f>
        <v>4223629</v>
      </c>
      <c r="D243" s="17" t="s">
        <v>36</v>
      </c>
      <c r="E243" s="132" t="s">
        <v>653</v>
      </c>
      <c r="F243" s="74">
        <v>4105351</v>
      </c>
      <c r="G243" s="73" t="s">
        <v>564</v>
      </c>
      <c r="H243" s="73" t="s">
        <v>654</v>
      </c>
      <c r="I243" s="73"/>
      <c r="J243" s="73" t="s">
        <v>655</v>
      </c>
      <c r="K243" s="97" t="s">
        <v>18</v>
      </c>
      <c r="L243" s="16" t="s">
        <v>651</v>
      </c>
      <c r="M243" s="16" t="s">
        <v>61</v>
      </c>
      <c r="N243" s="17" t="s">
        <v>191</v>
      </c>
      <c r="O243" s="134"/>
      <c r="Q243" s="176"/>
      <c r="R243" s="176"/>
      <c r="S243" s="176"/>
      <c r="T243" s="176"/>
      <c r="W243" s="17" t="s">
        <v>183</v>
      </c>
      <c r="X243" s="17" t="s">
        <v>183</v>
      </c>
      <c r="Y243" s="17" t="s">
        <v>183</v>
      </c>
      <c r="Z243" s="17" t="s">
        <v>183</v>
      </c>
      <c r="AA243" s="176">
        <v>24</v>
      </c>
      <c r="AB243" s="176">
        <v>15</v>
      </c>
      <c r="AC243" s="176">
        <v>7</v>
      </c>
      <c r="AD243" s="176">
        <v>18</v>
      </c>
      <c r="AE243" s="33">
        <v>0.8</v>
      </c>
      <c r="AF243" s="33">
        <v>0.8</v>
      </c>
      <c r="AG243" s="25" t="str">
        <f>_xlfn.XLOOKUP(F243,'TFS Details'!F:F,'TFS Details'!H:H)</f>
        <v>UAT In Test</v>
      </c>
      <c r="AH243" s="44">
        <v>18</v>
      </c>
      <c r="AI243" s="44">
        <v>0</v>
      </c>
      <c r="AJ243" s="44">
        <v>0</v>
      </c>
      <c r="AK243" s="44">
        <v>0</v>
      </c>
      <c r="AL243" s="40">
        <f t="shared" si="28"/>
        <v>18</v>
      </c>
      <c r="AM243" s="41">
        <f t="shared" si="26"/>
        <v>1</v>
      </c>
      <c r="AN243" s="41">
        <f t="shared" si="27"/>
        <v>1</v>
      </c>
      <c r="AO243" s="144" t="s">
        <v>634</v>
      </c>
      <c r="AP243" s="25" t="str">
        <f>_xlfn.XLOOKUP(F243,'TFS Details'!F:F,'TFS Details'!I:I)</f>
        <v>QDI - Opportunity Metrics</v>
      </c>
      <c r="AQ243" s="25" t="str">
        <f>_xlfn.XLOOKUP(AP243,'TFS Details'!I:I,'TFS Details'!AE:AE)</f>
        <v>n.d.krishnakumar</v>
      </c>
    </row>
    <row r="244" spans="1:43">
      <c r="A244" s="24" t="str">
        <f>_xlfn.XLOOKUP(F244,'TFS Details'!F:F,'TFS Details'!D:D)</f>
        <v>GEN AI</v>
      </c>
      <c r="B244" s="24" t="str">
        <f>_xlfn.XLOOKUP(F244,'TFS Details'!F:F,'TFS Details'!A:A)</f>
        <v>Retrospective Learnings - Opportunity Benchmarks</v>
      </c>
      <c r="C244" s="64">
        <f>_xlfn.XLOOKUP(F244,'TFS Details'!F:F,'TFS Details'!E:E)</f>
        <v>4223629</v>
      </c>
      <c r="D244" s="17" t="s">
        <v>36</v>
      </c>
      <c r="E244" s="132" t="s">
        <v>656</v>
      </c>
      <c r="F244" s="74">
        <v>4105353</v>
      </c>
      <c r="G244" s="73" t="s">
        <v>564</v>
      </c>
      <c r="H244" s="73" t="s">
        <v>654</v>
      </c>
      <c r="I244" s="73"/>
      <c r="J244" s="73" t="s">
        <v>655</v>
      </c>
      <c r="K244" s="97" t="s">
        <v>18</v>
      </c>
      <c r="L244" s="16" t="s">
        <v>633</v>
      </c>
      <c r="M244" s="16" t="s">
        <v>21</v>
      </c>
      <c r="N244" s="17" t="s">
        <v>191</v>
      </c>
      <c r="O244" s="134"/>
      <c r="Q244" s="176"/>
      <c r="R244" s="176"/>
      <c r="S244" s="176"/>
      <c r="T244" s="176"/>
      <c r="W244" s="17" t="s">
        <v>183</v>
      </c>
      <c r="X244" s="17" t="s">
        <v>183</v>
      </c>
      <c r="Y244" s="17" t="s">
        <v>183</v>
      </c>
      <c r="Z244" s="17" t="s">
        <v>183</v>
      </c>
      <c r="AA244" s="176">
        <v>20</v>
      </c>
      <c r="AB244" s="176">
        <v>17</v>
      </c>
      <c r="AC244" s="176">
        <v>10</v>
      </c>
      <c r="AD244" s="176">
        <v>20</v>
      </c>
      <c r="AE244" s="33">
        <v>0.9</v>
      </c>
      <c r="AF244" s="33">
        <v>0.8</v>
      </c>
      <c r="AG244" s="25" t="str">
        <f>_xlfn.XLOOKUP(F244,'TFS Details'!F:F,'TFS Details'!H:H)</f>
        <v>UAT In Test</v>
      </c>
      <c r="AH244" s="44">
        <v>20</v>
      </c>
      <c r="AI244" s="44">
        <v>0</v>
      </c>
      <c r="AJ244" s="44">
        <v>0</v>
      </c>
      <c r="AK244" s="44">
        <v>0</v>
      </c>
      <c r="AL244" s="40">
        <f t="shared" si="28"/>
        <v>20</v>
      </c>
      <c r="AM244" s="41">
        <f t="shared" si="26"/>
        <v>1</v>
      </c>
      <c r="AN244" s="41">
        <f t="shared" si="27"/>
        <v>1</v>
      </c>
      <c r="AO244" s="144" t="s">
        <v>634</v>
      </c>
      <c r="AP244" s="25" t="str">
        <f>_xlfn.XLOOKUP(F244,'TFS Details'!F:F,'TFS Details'!I:I)</f>
        <v>QDI - Opportunity Metrics</v>
      </c>
      <c r="AQ244" s="25" t="str">
        <f>_xlfn.XLOOKUP(AP244,'TFS Details'!I:I,'TFS Details'!AE:AE)</f>
        <v>n.d.krishnakumar</v>
      </c>
    </row>
    <row r="245" spans="1:43">
      <c r="A245" s="24" t="str">
        <f>_xlfn.XLOOKUP(F245,'TFS Details'!F:F,'TFS Details'!D:D)</f>
        <v>GEN AI</v>
      </c>
      <c r="B245" s="24" t="str">
        <f>_xlfn.XLOOKUP(F245,'TFS Details'!F:F,'TFS Details'!A:A)</f>
        <v>Retrospective Learnings - Opportunity Benchmarks</v>
      </c>
      <c r="C245" s="64">
        <f>_xlfn.XLOOKUP(F245,'TFS Details'!F:F,'TFS Details'!E:E)</f>
        <v>4223629</v>
      </c>
      <c r="D245" s="17" t="s">
        <v>36</v>
      </c>
      <c r="E245" s="132" t="s">
        <v>657</v>
      </c>
      <c r="F245" s="74">
        <v>4330982</v>
      </c>
      <c r="G245" s="73" t="s">
        <v>564</v>
      </c>
      <c r="H245" s="73" t="s">
        <v>654</v>
      </c>
      <c r="I245" s="73"/>
      <c r="J245" s="73" t="s">
        <v>655</v>
      </c>
      <c r="K245" s="97" t="s">
        <v>18</v>
      </c>
      <c r="L245" s="16" t="s">
        <v>658</v>
      </c>
      <c r="M245" s="16" t="s">
        <v>21</v>
      </c>
      <c r="N245" s="17" t="s">
        <v>191</v>
      </c>
      <c r="O245" s="134"/>
      <c r="Q245" s="176"/>
      <c r="R245" s="176"/>
      <c r="S245" s="176"/>
      <c r="T245" s="176"/>
      <c r="W245" s="17" t="s">
        <v>183</v>
      </c>
      <c r="X245" s="17" t="s">
        <v>183</v>
      </c>
      <c r="Y245" s="17" t="s">
        <v>183</v>
      </c>
      <c r="Z245" s="17" t="s">
        <v>183</v>
      </c>
      <c r="AA245" s="176">
        <v>24</v>
      </c>
      <c r="AB245" s="176">
        <v>12</v>
      </c>
      <c r="AC245" s="176">
        <v>10</v>
      </c>
      <c r="AD245" s="176">
        <v>14</v>
      </c>
      <c r="AE245" s="33">
        <v>1</v>
      </c>
      <c r="AF245" s="33">
        <v>1</v>
      </c>
      <c r="AG245" s="25" t="str">
        <f>_xlfn.XLOOKUP(F245,'TFS Details'!F:F,'TFS Details'!H:H)</f>
        <v>UAT In Test</v>
      </c>
      <c r="AH245" s="44">
        <v>14</v>
      </c>
      <c r="AI245" s="44">
        <v>0</v>
      </c>
      <c r="AJ245" s="44">
        <v>0</v>
      </c>
      <c r="AK245" s="44">
        <v>0</v>
      </c>
      <c r="AL245" s="40">
        <f t="shared" si="28"/>
        <v>14</v>
      </c>
      <c r="AM245" s="41">
        <f t="shared" si="26"/>
        <v>1</v>
      </c>
      <c r="AN245" s="41">
        <f t="shared" si="27"/>
        <v>1</v>
      </c>
      <c r="AO245" s="25" t="s">
        <v>659</v>
      </c>
      <c r="AP245" s="25" t="str">
        <f>_xlfn.XLOOKUP(F245,'TFS Details'!F:F,'TFS Details'!I:I)</f>
        <v>QDI - Opportunity Metrics</v>
      </c>
      <c r="AQ245" s="25" t="str">
        <f>_xlfn.XLOOKUP(AP245,'TFS Details'!I:I,'TFS Details'!AE:AE)</f>
        <v>n.d.krishnakumar</v>
      </c>
    </row>
    <row r="246" spans="1:43">
      <c r="A246" s="24" t="str">
        <f>_xlfn.XLOOKUP(F246,'TFS Details'!F:F,'TFS Details'!D:D)</f>
        <v>GEN AI</v>
      </c>
      <c r="B246" s="24" t="str">
        <f>_xlfn.XLOOKUP(F246,'TFS Details'!F:F,'TFS Details'!A:A)</f>
        <v>Retrospective Learnings - Opportunity Benchmarks</v>
      </c>
      <c r="C246" s="64">
        <f>_xlfn.XLOOKUP(F246,'TFS Details'!F:F,'TFS Details'!E:E)</f>
        <v>4223629</v>
      </c>
      <c r="D246" s="17" t="s">
        <v>36</v>
      </c>
      <c r="E246" s="132" t="s">
        <v>660</v>
      </c>
      <c r="F246" s="74">
        <v>4330983</v>
      </c>
      <c r="G246" s="73" t="s">
        <v>545</v>
      </c>
      <c r="H246" s="73" t="s">
        <v>546</v>
      </c>
      <c r="I246" s="73"/>
      <c r="J246" s="73" t="s">
        <v>547</v>
      </c>
      <c r="K246" s="97" t="s">
        <v>18</v>
      </c>
      <c r="L246" s="16" t="s">
        <v>661</v>
      </c>
      <c r="M246" s="16" t="s">
        <v>21</v>
      </c>
      <c r="N246" s="17" t="s">
        <v>191</v>
      </c>
      <c r="O246" s="134"/>
      <c r="Q246" s="176"/>
      <c r="R246" s="176"/>
      <c r="S246" s="176"/>
      <c r="T246" s="176"/>
      <c r="W246" s="17" t="s">
        <v>183</v>
      </c>
      <c r="X246" s="17" t="s">
        <v>183</v>
      </c>
      <c r="Y246" s="17" t="s">
        <v>183</v>
      </c>
      <c r="Z246" s="17" t="s">
        <v>183</v>
      </c>
      <c r="AA246" s="176">
        <v>10</v>
      </c>
      <c r="AB246" s="176">
        <v>10</v>
      </c>
      <c r="AC246" s="176">
        <v>12</v>
      </c>
      <c r="AD246" s="176">
        <v>22</v>
      </c>
      <c r="AE246" s="33">
        <v>0.53</v>
      </c>
      <c r="AF246" s="33">
        <v>0.66</v>
      </c>
      <c r="AG246" s="25" t="str">
        <f>_xlfn.XLOOKUP(F246,'TFS Details'!F:F,'TFS Details'!H:H)</f>
        <v>UAT In Test</v>
      </c>
      <c r="AH246" s="44">
        <v>22</v>
      </c>
      <c r="AI246" s="44">
        <v>0</v>
      </c>
      <c r="AJ246" s="44">
        <v>0</v>
      </c>
      <c r="AK246" s="44">
        <v>0</v>
      </c>
      <c r="AL246" s="40">
        <f t="shared" ref="AL246:AL274" si="29">SUM(AH246:AK246)</f>
        <v>22</v>
      </c>
      <c r="AM246" s="41">
        <f t="shared" si="26"/>
        <v>1</v>
      </c>
      <c r="AN246" s="41">
        <f t="shared" si="27"/>
        <v>1</v>
      </c>
      <c r="AO246" s="25" t="s">
        <v>434</v>
      </c>
      <c r="AP246" s="25" t="str">
        <f>_xlfn.XLOOKUP(F246,'TFS Details'!F:F,'TFS Details'!I:I)</f>
        <v>QDI - Opportunity Metrics</v>
      </c>
      <c r="AQ246" s="25" t="str">
        <f>_xlfn.XLOOKUP(AP246,'TFS Details'!I:I,'TFS Details'!AE:AE)</f>
        <v>n.d.krishnakumar</v>
      </c>
    </row>
    <row r="247" spans="1:43" ht="15">
      <c r="A247" s="24" t="str">
        <f>_xlfn.XLOOKUP(F247,'TFS Details'!F:F,'TFS Details'!D:D)</f>
        <v>Gen AI</v>
      </c>
      <c r="B247" s="24" t="str">
        <f>_xlfn.XLOOKUP(F247,'TFS Details'!F:F,'TFS Details'!A:A)</f>
        <v>Retrospective Learnings - Opportunity Benchmarks</v>
      </c>
      <c r="C247" s="64">
        <f>_xlfn.XLOOKUP(F247,'TFS Details'!F:F,'TFS Details'!E:E)</f>
        <v>4223629</v>
      </c>
      <c r="D247" s="17" t="s">
        <v>36</v>
      </c>
      <c r="E247" s="73" t="s">
        <v>662</v>
      </c>
      <c r="F247" s="74">
        <v>4278575</v>
      </c>
      <c r="G247" s="73" t="s">
        <v>495</v>
      </c>
      <c r="H247" s="73" t="s">
        <v>494</v>
      </c>
      <c r="I247" s="73"/>
      <c r="J247" s="73" t="s">
        <v>512</v>
      </c>
      <c r="K247" s="97" t="s">
        <v>18</v>
      </c>
      <c r="L247" s="16" t="s">
        <v>513</v>
      </c>
      <c r="M247" s="16" t="s">
        <v>61</v>
      </c>
      <c r="N247" s="17" t="s">
        <v>191</v>
      </c>
      <c r="O247" s="134"/>
      <c r="Q247" s="176"/>
      <c r="R247" s="176"/>
      <c r="S247" s="176"/>
      <c r="T247" s="176"/>
      <c r="W247" s="17" t="s">
        <v>183</v>
      </c>
      <c r="X247" s="17" t="s">
        <v>183</v>
      </c>
      <c r="Y247" s="17" t="s">
        <v>183</v>
      </c>
      <c r="Z247" s="17" t="s">
        <v>183</v>
      </c>
      <c r="AA247" s="176" t="s">
        <v>514</v>
      </c>
      <c r="AB247" s="176" t="s">
        <v>515</v>
      </c>
      <c r="AC247" s="176" t="s">
        <v>663</v>
      </c>
      <c r="AD247" s="176" t="s">
        <v>517</v>
      </c>
      <c r="AE247" s="33">
        <v>0.1</v>
      </c>
      <c r="AF247" s="199" t="s">
        <v>518</v>
      </c>
      <c r="AG247" s="25" t="str">
        <f>_xlfn.XLOOKUP(F247,'TFS Details'!F:F,'TFS Details'!H:H)</f>
        <v>UAT In Test</v>
      </c>
      <c r="AH247" s="44">
        <v>8</v>
      </c>
      <c r="AI247" s="44">
        <v>0</v>
      </c>
      <c r="AJ247" s="44">
        <v>0</v>
      </c>
      <c r="AK247" s="44">
        <v>0</v>
      </c>
      <c r="AL247" s="40">
        <f t="shared" si="29"/>
        <v>8</v>
      </c>
      <c r="AM247" s="41">
        <f t="shared" si="26"/>
        <v>1</v>
      </c>
      <c r="AN247" s="41">
        <f t="shared" si="27"/>
        <v>1</v>
      </c>
      <c r="AO247" s="189" t="s">
        <v>519</v>
      </c>
      <c r="AP247" s="25" t="str">
        <f>_xlfn.XLOOKUP(F247,'TFS Details'!F:F,'TFS Details'!I:I)</f>
        <v>GEN AI - Solution Super Agent</v>
      </c>
      <c r="AQ247" s="25" t="str">
        <f>_xlfn.XLOOKUP(AP247,'TFS Details'!I:I,'TFS Details'!AE:AE)</f>
        <v>pandidurai.ks</v>
      </c>
    </row>
    <row r="248" spans="1:43">
      <c r="A248" s="24" t="str">
        <f>_xlfn.XLOOKUP(F248,'TFS Details'!F:F,'TFS Details'!D:D)</f>
        <v>GEN AI</v>
      </c>
      <c r="B248" s="24" t="str">
        <f>_xlfn.XLOOKUP(F248,'TFS Details'!F:F,'TFS Details'!A:A)</f>
        <v>Retrospective Learnings - Opportunity Benchmarks</v>
      </c>
      <c r="C248" s="64">
        <f>_xlfn.XLOOKUP(F248,'TFS Details'!F:F,'TFS Details'!E:E)</f>
        <v>4223629</v>
      </c>
      <c r="D248" s="17" t="s">
        <v>36</v>
      </c>
      <c r="E248" s="73" t="s">
        <v>664</v>
      </c>
      <c r="F248" s="74">
        <v>4287425</v>
      </c>
      <c r="G248" s="73" t="s">
        <v>641</v>
      </c>
      <c r="H248" s="73" t="s">
        <v>582</v>
      </c>
      <c r="I248" s="73"/>
      <c r="J248" s="73" t="s">
        <v>642</v>
      </c>
      <c r="K248" s="97" t="s">
        <v>18</v>
      </c>
      <c r="L248" s="16" t="s">
        <v>651</v>
      </c>
      <c r="M248" s="16" t="s">
        <v>61</v>
      </c>
      <c r="N248" s="17" t="s">
        <v>191</v>
      </c>
      <c r="O248" s="134"/>
      <c r="Q248" s="176"/>
      <c r="R248" s="176"/>
      <c r="S248" s="176"/>
      <c r="T248" s="176"/>
      <c r="W248" s="17" t="s">
        <v>183</v>
      </c>
      <c r="X248" s="17" t="s">
        <v>183</v>
      </c>
      <c r="Y248" s="17" t="s">
        <v>183</v>
      </c>
      <c r="Z248" s="17" t="s">
        <v>201</v>
      </c>
      <c r="AA248" s="176">
        <v>50</v>
      </c>
      <c r="AB248" s="176">
        <v>32</v>
      </c>
      <c r="AC248" s="176">
        <v>0</v>
      </c>
      <c r="AD248" s="176">
        <v>32</v>
      </c>
      <c r="AE248" s="33">
        <v>0.64</v>
      </c>
      <c r="AF248" s="33">
        <v>0.64</v>
      </c>
      <c r="AG248" s="25" t="str">
        <f>_xlfn.XLOOKUP(F248,'TFS Details'!F:F,'TFS Details'!H:H)</f>
        <v>UAT In Test</v>
      </c>
      <c r="AH248" s="44">
        <v>7</v>
      </c>
      <c r="AI248" s="44">
        <v>4</v>
      </c>
      <c r="AJ248" s="44">
        <v>0</v>
      </c>
      <c r="AK248" s="44">
        <v>0</v>
      </c>
      <c r="AL248" s="40">
        <f t="shared" si="29"/>
        <v>11</v>
      </c>
      <c r="AM248" s="41">
        <f t="shared" si="26"/>
        <v>1</v>
      </c>
      <c r="AN248" s="41">
        <f t="shared" si="27"/>
        <v>0.63636363636363635</v>
      </c>
      <c r="AO248" s="25" t="s">
        <v>665</v>
      </c>
      <c r="AP248" s="25" t="str">
        <f>_xlfn.XLOOKUP(F248,'TFS Details'!F:F,'TFS Details'!I:I)</f>
        <v>QDI - Opportunity Metrics</v>
      </c>
      <c r="AQ248" s="25" t="str">
        <f>_xlfn.XLOOKUP(AP248,'TFS Details'!I:I,'TFS Details'!AE:AE)</f>
        <v>n.d.krishnakumar</v>
      </c>
    </row>
    <row r="249" spans="1:43">
      <c r="A249" s="24" t="str">
        <f>_xlfn.XLOOKUP(F249,'TFS Details'!F:F,'TFS Details'!D:D)</f>
        <v>GEN AI</v>
      </c>
      <c r="B249" s="24" t="str">
        <f>_xlfn.XLOOKUP(F249,'TFS Details'!F:F,'TFS Details'!A:A)</f>
        <v>Solution Version Comparator Feature in SSA</v>
      </c>
      <c r="C249" s="64">
        <f>_xlfn.XLOOKUP(F249,'TFS Details'!F:F,'TFS Details'!E:E)</f>
        <v>4373741</v>
      </c>
      <c r="D249" s="17" t="s">
        <v>36</v>
      </c>
      <c r="E249" s="73" t="s">
        <v>666</v>
      </c>
      <c r="F249" s="74">
        <v>4240162</v>
      </c>
      <c r="G249" s="73" t="s">
        <v>506</v>
      </c>
      <c r="H249" s="73" t="s">
        <v>505</v>
      </c>
      <c r="I249" s="73"/>
      <c r="J249" s="73" t="s">
        <v>667</v>
      </c>
      <c r="K249" s="97" t="s">
        <v>18</v>
      </c>
      <c r="L249" s="16" t="s">
        <v>633</v>
      </c>
      <c r="M249" s="16" t="s">
        <v>21</v>
      </c>
      <c r="N249" s="17" t="s">
        <v>191</v>
      </c>
      <c r="O249" s="134"/>
      <c r="Q249" s="176"/>
      <c r="R249" s="176"/>
      <c r="S249" s="176"/>
      <c r="T249" s="176"/>
      <c r="W249" s="17" t="s">
        <v>183</v>
      </c>
      <c r="X249" s="17" t="s">
        <v>183</v>
      </c>
      <c r="Y249" s="17" t="s">
        <v>183</v>
      </c>
      <c r="Z249" s="17" t="s">
        <v>183</v>
      </c>
      <c r="AA249" s="176">
        <v>70</v>
      </c>
      <c r="AB249" s="176">
        <v>48</v>
      </c>
      <c r="AC249" s="176">
        <v>0</v>
      </c>
      <c r="AD249" s="176">
        <v>14</v>
      </c>
      <c r="AE249" s="33">
        <v>0.89</v>
      </c>
      <c r="AF249" s="33">
        <v>0.7</v>
      </c>
      <c r="AG249" s="25" t="str">
        <f>_xlfn.XLOOKUP(F249,'TFS Details'!F:F,'TFS Details'!H:H)</f>
        <v>UAT In Test</v>
      </c>
      <c r="AH249" s="44">
        <v>14</v>
      </c>
      <c r="AI249" s="44">
        <v>0</v>
      </c>
      <c r="AJ249" s="44">
        <v>0</v>
      </c>
      <c r="AK249" s="44">
        <v>0</v>
      </c>
      <c r="AL249" s="40">
        <f t="shared" si="29"/>
        <v>14</v>
      </c>
      <c r="AM249" s="41">
        <f t="shared" si="26"/>
        <v>1</v>
      </c>
      <c r="AN249" s="41">
        <f t="shared" si="27"/>
        <v>1</v>
      </c>
      <c r="AP249" s="25" t="str">
        <f>_xlfn.XLOOKUP(F249,'TFS Details'!F:F,'TFS Details'!I:I)</f>
        <v>QDI - Opportunity Metrics</v>
      </c>
      <c r="AQ249" s="25" t="str">
        <f>_xlfn.XLOOKUP(AP249,'TFS Details'!I:I,'TFS Details'!AE:AE)</f>
        <v>n.d.krishnakumar</v>
      </c>
    </row>
    <row r="250" spans="1:43">
      <c r="A250" s="24" t="str">
        <f>_xlfn.XLOOKUP(F250,'TFS Details'!F:F,'TFS Details'!D:D)</f>
        <v>GEN AI</v>
      </c>
      <c r="B250" s="24" t="str">
        <f>_xlfn.XLOOKUP(F250,'TFS Details'!F:F,'TFS Details'!A:A)</f>
        <v>Retrospective Learnings - Opportunity Benchmarks</v>
      </c>
      <c r="C250" s="64">
        <f>_xlfn.XLOOKUP(F250,'TFS Details'!F:F,'TFS Details'!E:E)</f>
        <v>4223629</v>
      </c>
      <c r="D250" s="17" t="s">
        <v>36</v>
      </c>
      <c r="E250" s="73" t="s">
        <v>668</v>
      </c>
      <c r="F250" s="74">
        <v>4270616</v>
      </c>
      <c r="G250" s="73" t="s">
        <v>506</v>
      </c>
      <c r="H250" s="73" t="s">
        <v>505</v>
      </c>
      <c r="I250" s="73"/>
      <c r="J250" s="73" t="s">
        <v>667</v>
      </c>
      <c r="K250" s="97" t="s">
        <v>18</v>
      </c>
      <c r="L250" s="16" t="s">
        <v>633</v>
      </c>
      <c r="M250" s="16" t="s">
        <v>21</v>
      </c>
      <c r="N250" s="17" t="s">
        <v>191</v>
      </c>
      <c r="O250" s="134"/>
      <c r="Q250" s="176"/>
      <c r="R250" s="176"/>
      <c r="S250" s="176"/>
      <c r="T250" s="176"/>
      <c r="W250" s="17" t="s">
        <v>183</v>
      </c>
      <c r="X250" s="17" t="s">
        <v>183</v>
      </c>
      <c r="Y250" s="17" t="s">
        <v>183</v>
      </c>
      <c r="Z250" s="17" t="s">
        <v>183</v>
      </c>
      <c r="AA250" s="176">
        <v>45</v>
      </c>
      <c r="AB250" s="176">
        <v>38</v>
      </c>
      <c r="AC250" s="176">
        <v>2</v>
      </c>
      <c r="AD250" s="176">
        <v>27</v>
      </c>
      <c r="AE250" s="33">
        <v>0.85</v>
      </c>
      <c r="AF250" s="33">
        <v>0.65</v>
      </c>
      <c r="AG250" s="25" t="str">
        <f>_xlfn.XLOOKUP(F250,'TFS Details'!F:F,'TFS Details'!H:H)</f>
        <v>UAT In Test</v>
      </c>
      <c r="AH250" s="44">
        <v>25</v>
      </c>
      <c r="AI250" s="44">
        <v>0</v>
      </c>
      <c r="AJ250" s="44">
        <v>0</v>
      </c>
      <c r="AK250" s="44">
        <v>0</v>
      </c>
      <c r="AL250" s="40">
        <f t="shared" si="29"/>
        <v>25</v>
      </c>
      <c r="AM250" s="41">
        <f t="shared" si="26"/>
        <v>1</v>
      </c>
      <c r="AN250" s="41">
        <f t="shared" si="27"/>
        <v>1</v>
      </c>
      <c r="AO250" s="25"/>
      <c r="AP250" s="25" t="str">
        <f>_xlfn.XLOOKUP(F250,'TFS Details'!F:F,'TFS Details'!I:I)</f>
        <v>QDI - Opportunity Metrics</v>
      </c>
      <c r="AQ250" s="25" t="str">
        <f>_xlfn.XLOOKUP(AP250,'TFS Details'!I:I,'TFS Details'!AE:AE)</f>
        <v>n.d.krishnakumar</v>
      </c>
    </row>
    <row r="251" spans="1:43">
      <c r="A251" s="24" t="str">
        <f>_xlfn.XLOOKUP(F251,'TFS Details'!F:F,'TFS Details'!D:D)</f>
        <v>GEN AI</v>
      </c>
      <c r="B251" s="24" t="str">
        <f>_xlfn.XLOOKUP(F251,'TFS Details'!F:F,'TFS Details'!A:A)</f>
        <v>Retrospective Learnings - Opportunity Benchmarks</v>
      </c>
      <c r="C251" s="64">
        <f>_xlfn.XLOOKUP(F251,'TFS Details'!F:F,'TFS Details'!E:E)</f>
        <v>4223629</v>
      </c>
      <c r="D251" s="17" t="s">
        <v>36</v>
      </c>
      <c r="E251" s="73" t="s">
        <v>669</v>
      </c>
      <c r="F251" s="74">
        <v>4270617</v>
      </c>
      <c r="G251" s="73" t="s">
        <v>641</v>
      </c>
      <c r="H251" s="73" t="s">
        <v>582</v>
      </c>
      <c r="I251" s="73"/>
      <c r="J251" s="73" t="s">
        <v>642</v>
      </c>
      <c r="K251" s="97" t="s">
        <v>18</v>
      </c>
      <c r="L251" s="16" t="s">
        <v>651</v>
      </c>
      <c r="M251" s="16" t="s">
        <v>61</v>
      </c>
      <c r="N251" s="17" t="s">
        <v>191</v>
      </c>
      <c r="O251" s="134"/>
      <c r="Q251" s="176"/>
      <c r="R251" s="176"/>
      <c r="S251" s="176"/>
      <c r="T251" s="176"/>
      <c r="W251" s="17" t="s">
        <v>183</v>
      </c>
      <c r="X251" s="17" t="s">
        <v>183</v>
      </c>
      <c r="Y251" s="17" t="s">
        <v>183</v>
      </c>
      <c r="Z251" s="17" t="s">
        <v>183</v>
      </c>
      <c r="AA251" s="176">
        <v>55</v>
      </c>
      <c r="AB251" s="176">
        <v>0</v>
      </c>
      <c r="AC251" s="176">
        <v>6</v>
      </c>
      <c r="AD251" s="176">
        <v>6</v>
      </c>
      <c r="AE251" s="33">
        <v>0</v>
      </c>
      <c r="AF251" s="33">
        <v>0</v>
      </c>
      <c r="AG251" s="25" t="str">
        <f>_xlfn.XLOOKUP(F251,'TFS Details'!F:F,'TFS Details'!H:H)</f>
        <v>UAT In Test</v>
      </c>
      <c r="AH251" s="44">
        <v>6</v>
      </c>
      <c r="AI251" s="44">
        <v>0</v>
      </c>
      <c r="AJ251" s="44">
        <v>0</v>
      </c>
      <c r="AK251" s="44">
        <v>0</v>
      </c>
      <c r="AL251" s="40">
        <f t="shared" si="29"/>
        <v>6</v>
      </c>
      <c r="AM251" s="41">
        <f t="shared" si="26"/>
        <v>1</v>
      </c>
      <c r="AN251" s="41">
        <f t="shared" si="27"/>
        <v>1</v>
      </c>
      <c r="AO251" s="25"/>
      <c r="AP251" s="25" t="str">
        <f>_xlfn.XLOOKUP(F251,'TFS Details'!F:F,'TFS Details'!I:I)</f>
        <v>QDI - Opportunity Metrics</v>
      </c>
      <c r="AQ251" s="25" t="str">
        <f>_xlfn.XLOOKUP(AP251,'TFS Details'!I:I,'TFS Details'!AE:AE)</f>
        <v>n.d.krishnakumar</v>
      </c>
    </row>
    <row r="252" spans="1:43">
      <c r="A252" s="24" t="str">
        <f>_xlfn.XLOOKUP(F252,'TFS Details'!F:F,'TFS Details'!D:D)</f>
        <v>GEN AI</v>
      </c>
      <c r="B252" s="24" t="str">
        <f>_xlfn.XLOOKUP(F252,'TFS Details'!F:F,'TFS Details'!A:A)</f>
        <v>Retrospective Learnings - Opportunity Benchmarks</v>
      </c>
      <c r="C252" s="64">
        <f>_xlfn.XLOOKUP(F252,'TFS Details'!F:F,'TFS Details'!E:E)</f>
        <v>4223629</v>
      </c>
      <c r="D252" s="17" t="s">
        <v>36</v>
      </c>
      <c r="E252" s="73" t="s">
        <v>670</v>
      </c>
      <c r="F252" s="74">
        <v>4147645</v>
      </c>
      <c r="G252" s="73" t="s">
        <v>649</v>
      </c>
      <c r="H252" s="73" t="s">
        <v>589</v>
      </c>
      <c r="I252" s="73"/>
      <c r="J252" s="73" t="s">
        <v>650</v>
      </c>
      <c r="K252" s="97" t="s">
        <v>18</v>
      </c>
      <c r="L252" s="16" t="s">
        <v>651</v>
      </c>
      <c r="M252" s="16" t="s">
        <v>61</v>
      </c>
      <c r="N252" s="17"/>
      <c r="O252" s="134"/>
      <c r="Q252" s="176"/>
      <c r="R252" s="176"/>
      <c r="S252" s="176"/>
      <c r="T252" s="176"/>
      <c r="W252" s="17" t="s">
        <v>183</v>
      </c>
      <c r="X252" s="17" t="s">
        <v>183</v>
      </c>
      <c r="Y252" s="17" t="s">
        <v>183</v>
      </c>
      <c r="Z252" s="17" t="s">
        <v>183</v>
      </c>
      <c r="AA252" s="176">
        <v>10</v>
      </c>
      <c r="AB252" s="176">
        <v>5</v>
      </c>
      <c r="AC252" s="176">
        <v>90</v>
      </c>
      <c r="AD252" s="176">
        <v>80</v>
      </c>
      <c r="AE252" s="33">
        <v>0.2</v>
      </c>
      <c r="AF252" s="33">
        <v>0.5</v>
      </c>
      <c r="AG252" s="25" t="str">
        <f>_xlfn.XLOOKUP(F252,'TFS Details'!F:F,'TFS Details'!H:H)</f>
        <v>UAT In Test</v>
      </c>
      <c r="AH252" s="44">
        <v>3</v>
      </c>
      <c r="AI252" s="44">
        <v>0</v>
      </c>
      <c r="AJ252" s="44">
        <v>0</v>
      </c>
      <c r="AK252" s="44">
        <v>0</v>
      </c>
      <c r="AL252" s="40">
        <f t="shared" si="29"/>
        <v>3</v>
      </c>
      <c r="AM252" s="41">
        <f t="shared" si="26"/>
        <v>1</v>
      </c>
      <c r="AN252" s="41">
        <f t="shared" si="27"/>
        <v>1</v>
      </c>
      <c r="AO252" s="25" t="s">
        <v>671</v>
      </c>
      <c r="AP252" s="25" t="str">
        <f>_xlfn.XLOOKUP(F252,'TFS Details'!F:F,'TFS Details'!I:I)</f>
        <v>QDI - Opportunity Metrics</v>
      </c>
      <c r="AQ252" s="25" t="str">
        <f>_xlfn.XLOOKUP(AP252,'TFS Details'!I:I,'TFS Details'!AE:AE)</f>
        <v>n.d.krishnakumar</v>
      </c>
    </row>
    <row r="253" spans="1:43">
      <c r="A253" s="24" t="str">
        <f>_xlfn.XLOOKUP(F253,'TFS Details'!F:F,'TFS Details'!D:D)</f>
        <v>GEN AI</v>
      </c>
      <c r="B253" s="24" t="str">
        <f>_xlfn.XLOOKUP(F253,'TFS Details'!F:F,'TFS Details'!A:A)</f>
        <v>Retrospective Learnings - Opportunity Benchmarks</v>
      </c>
      <c r="C253" s="64">
        <f>_xlfn.XLOOKUP(F253,'TFS Details'!F:F,'TFS Details'!E:E)</f>
        <v>4223629</v>
      </c>
      <c r="D253" s="17" t="s">
        <v>36</v>
      </c>
      <c r="E253" s="73" t="s">
        <v>672</v>
      </c>
      <c r="F253" s="74">
        <v>4147648</v>
      </c>
      <c r="G253" s="73" t="s">
        <v>649</v>
      </c>
      <c r="H253" s="73" t="s">
        <v>589</v>
      </c>
      <c r="I253" s="73"/>
      <c r="J253" s="73" t="s">
        <v>650</v>
      </c>
      <c r="K253" s="97" t="s">
        <v>18</v>
      </c>
      <c r="L253" s="16" t="s">
        <v>651</v>
      </c>
      <c r="M253" s="16" t="s">
        <v>61</v>
      </c>
      <c r="N253" s="17"/>
      <c r="O253" s="134"/>
      <c r="Q253" s="176"/>
      <c r="R253" s="176"/>
      <c r="S253" s="176"/>
      <c r="T253" s="176"/>
      <c r="W253" s="17" t="s">
        <v>183</v>
      </c>
      <c r="X253" s="17" t="s">
        <v>183</v>
      </c>
      <c r="Y253" s="17" t="s">
        <v>183</v>
      </c>
      <c r="Z253" s="17" t="s">
        <v>183</v>
      </c>
      <c r="AA253" s="176">
        <v>30</v>
      </c>
      <c r="AB253" s="176">
        <v>10</v>
      </c>
      <c r="AC253" s="176">
        <v>80</v>
      </c>
      <c r="AD253" s="176">
        <v>90</v>
      </c>
      <c r="AE253" s="33">
        <v>0.1</v>
      </c>
      <c r="AF253" s="33">
        <v>0.4</v>
      </c>
      <c r="AG253" s="25" t="str">
        <f>_xlfn.XLOOKUP(F253,'TFS Details'!F:F,'TFS Details'!H:H)</f>
        <v>UAT In Test</v>
      </c>
      <c r="AH253" s="44">
        <v>13</v>
      </c>
      <c r="AI253" s="44">
        <v>0</v>
      </c>
      <c r="AJ253" s="44">
        <v>0</v>
      </c>
      <c r="AK253" s="44">
        <v>0</v>
      </c>
      <c r="AL253" s="40">
        <f t="shared" si="29"/>
        <v>13</v>
      </c>
      <c r="AM253" s="41">
        <f t="shared" si="26"/>
        <v>1</v>
      </c>
      <c r="AN253" s="41">
        <f t="shared" si="27"/>
        <v>1</v>
      </c>
      <c r="AO253" s="25" t="s">
        <v>671</v>
      </c>
      <c r="AP253" s="25" t="str">
        <f>_xlfn.XLOOKUP(F253,'TFS Details'!F:F,'TFS Details'!I:I)</f>
        <v>QDI - Opportunity Metrics</v>
      </c>
      <c r="AQ253" s="25" t="str">
        <f>_xlfn.XLOOKUP(AP253,'TFS Details'!I:I,'TFS Details'!AE:AE)</f>
        <v>n.d.krishnakumar</v>
      </c>
    </row>
    <row r="254" spans="1:43">
      <c r="A254" s="24" t="str">
        <f>_xlfn.XLOOKUP(F254,'TFS Details'!F:F,'TFS Details'!D:D)</f>
        <v>GEN AI</v>
      </c>
      <c r="B254" s="24" t="str">
        <f>_xlfn.XLOOKUP(F254,'TFS Details'!F:F,'TFS Details'!A:A)</f>
        <v>Retrospective Learnings - Opportunity Benchmarks</v>
      </c>
      <c r="C254" s="64">
        <f>_xlfn.XLOOKUP(F254,'TFS Details'!F:F,'TFS Details'!E:E)</f>
        <v>4223629</v>
      </c>
      <c r="D254" s="17" t="s">
        <v>36</v>
      </c>
      <c r="E254" s="73" t="s">
        <v>673</v>
      </c>
      <c r="F254" s="74">
        <v>4147649</v>
      </c>
      <c r="G254" s="73" t="s">
        <v>649</v>
      </c>
      <c r="H254" s="73" t="s">
        <v>589</v>
      </c>
      <c r="I254" s="73"/>
      <c r="J254" s="73" t="s">
        <v>650</v>
      </c>
      <c r="K254" s="97" t="s">
        <v>18</v>
      </c>
      <c r="L254" s="16" t="s">
        <v>651</v>
      </c>
      <c r="M254" s="16" t="s">
        <v>61</v>
      </c>
      <c r="N254" s="17"/>
      <c r="O254" s="134"/>
      <c r="Q254" s="176"/>
      <c r="R254" s="176"/>
      <c r="S254" s="176"/>
      <c r="T254" s="176"/>
      <c r="W254" s="17" t="s">
        <v>183</v>
      </c>
      <c r="X254" s="17" t="s">
        <v>183</v>
      </c>
      <c r="Y254" s="17" t="s">
        <v>183</v>
      </c>
      <c r="Z254" s="17" t="s">
        <v>183</v>
      </c>
      <c r="AA254" s="176">
        <v>40</v>
      </c>
      <c r="AB254" s="176">
        <v>5</v>
      </c>
      <c r="AC254" s="176">
        <v>70</v>
      </c>
      <c r="AD254" s="176">
        <v>80</v>
      </c>
      <c r="AE254" s="33">
        <v>0.2</v>
      </c>
      <c r="AF254" s="33">
        <v>0.5</v>
      </c>
      <c r="AG254" s="25" t="str">
        <f>_xlfn.XLOOKUP(F254,'TFS Details'!F:F,'TFS Details'!H:H)</f>
        <v>UAT In Test</v>
      </c>
      <c r="AH254" s="44">
        <v>5</v>
      </c>
      <c r="AI254" s="44">
        <v>0</v>
      </c>
      <c r="AJ254" s="44">
        <v>0</v>
      </c>
      <c r="AK254" s="44">
        <v>0</v>
      </c>
      <c r="AL254" s="40">
        <f t="shared" si="29"/>
        <v>5</v>
      </c>
      <c r="AM254" s="41">
        <f t="shared" si="26"/>
        <v>1</v>
      </c>
      <c r="AN254" s="41">
        <f t="shared" si="27"/>
        <v>1</v>
      </c>
      <c r="AO254" s="25" t="s">
        <v>671</v>
      </c>
      <c r="AP254" s="25" t="str">
        <f>_xlfn.XLOOKUP(F254,'TFS Details'!F:F,'TFS Details'!I:I)</f>
        <v>QDI - Opportunity Metrics</v>
      </c>
      <c r="AQ254" s="25" t="str">
        <f>_xlfn.XLOOKUP(AP254,'TFS Details'!I:I,'TFS Details'!AE:AE)</f>
        <v>n.d.krishnakumar</v>
      </c>
    </row>
    <row r="255" spans="1:43">
      <c r="A255" s="24" t="str">
        <f>_xlfn.XLOOKUP(F255,'TFS Details'!F:F,'TFS Details'!D:D)</f>
        <v>GEN AI</v>
      </c>
      <c r="B255" s="24" t="str">
        <f>_xlfn.XLOOKUP(F255,'TFS Details'!F:F,'TFS Details'!A:A)</f>
        <v>Retrospective Learnings - Opportunity Benchmarks</v>
      </c>
      <c r="C255" s="64">
        <f>_xlfn.XLOOKUP(F255,'TFS Details'!F:F,'TFS Details'!E:E)</f>
        <v>4223629</v>
      </c>
      <c r="D255" s="17" t="s">
        <v>36</v>
      </c>
      <c r="E255" s="73" t="s">
        <v>674</v>
      </c>
      <c r="F255" s="74">
        <v>4177442</v>
      </c>
      <c r="G255" s="73" t="s">
        <v>564</v>
      </c>
      <c r="H255" s="73" t="s">
        <v>654</v>
      </c>
      <c r="I255" s="73"/>
      <c r="J255" s="73" t="s">
        <v>655</v>
      </c>
      <c r="K255" s="97" t="s">
        <v>18</v>
      </c>
      <c r="L255" s="16" t="s">
        <v>633</v>
      </c>
      <c r="M255" s="16" t="s">
        <v>21</v>
      </c>
      <c r="N255" s="17" t="s">
        <v>191</v>
      </c>
      <c r="O255" s="134"/>
      <c r="Q255" s="176"/>
      <c r="R255" s="176"/>
      <c r="S255" s="176"/>
      <c r="T255" s="176"/>
      <c r="W255" s="17" t="s">
        <v>183</v>
      </c>
      <c r="X255" s="17" t="s">
        <v>183</v>
      </c>
      <c r="Y255" s="17" t="s">
        <v>183</v>
      </c>
      <c r="Z255" s="17" t="s">
        <v>183</v>
      </c>
      <c r="AA255" s="176">
        <v>10</v>
      </c>
      <c r="AB255" s="176">
        <v>6</v>
      </c>
      <c r="AC255" s="176">
        <v>5</v>
      </c>
      <c r="AD255" s="176">
        <v>6</v>
      </c>
      <c r="AE255" s="33">
        <v>0.9</v>
      </c>
      <c r="AF255" s="33">
        <v>0.9</v>
      </c>
      <c r="AG255" s="25" t="str">
        <f>_xlfn.XLOOKUP(F255,'TFS Details'!F:F,'TFS Details'!H:H)</f>
        <v>UAT In Test</v>
      </c>
      <c r="AH255" s="44">
        <v>6</v>
      </c>
      <c r="AI255" s="44">
        <v>0</v>
      </c>
      <c r="AJ255" s="44">
        <v>0</v>
      </c>
      <c r="AK255" s="44">
        <v>0</v>
      </c>
      <c r="AL255" s="40">
        <f t="shared" si="29"/>
        <v>6</v>
      </c>
      <c r="AM255" s="41">
        <f t="shared" si="26"/>
        <v>1</v>
      </c>
      <c r="AN255" s="41">
        <f t="shared" si="27"/>
        <v>1</v>
      </c>
      <c r="AO255" s="144" t="s">
        <v>634</v>
      </c>
      <c r="AP255" s="25" t="str">
        <f>_xlfn.XLOOKUP(F255,'TFS Details'!F:F,'TFS Details'!I:I)</f>
        <v>QDI - Opportunity Metrics</v>
      </c>
      <c r="AQ255" s="25" t="str">
        <f>_xlfn.XLOOKUP(AP255,'TFS Details'!I:I,'TFS Details'!AE:AE)</f>
        <v>n.d.krishnakumar</v>
      </c>
    </row>
    <row r="256" spans="1:43">
      <c r="A256" s="24" t="str">
        <f>_xlfn.XLOOKUP(F256,'TFS Details'!F:F,'TFS Details'!D:D)</f>
        <v>GEN AI</v>
      </c>
      <c r="B256" s="24" t="str">
        <f>_xlfn.XLOOKUP(F256,'TFS Details'!F:F,'TFS Details'!A:A)</f>
        <v>Retrospective Learnings - Opportunity Benchmarks</v>
      </c>
      <c r="C256" s="64">
        <f>_xlfn.XLOOKUP(F256,'TFS Details'!F:F,'TFS Details'!E:E)</f>
        <v>4223629</v>
      </c>
      <c r="D256" s="17" t="s">
        <v>36</v>
      </c>
      <c r="E256" s="73" t="s">
        <v>675</v>
      </c>
      <c r="F256" s="74">
        <v>4177443</v>
      </c>
      <c r="G256" s="73" t="s">
        <v>564</v>
      </c>
      <c r="H256" s="73" t="s">
        <v>654</v>
      </c>
      <c r="I256" s="73"/>
      <c r="J256" s="73" t="s">
        <v>655</v>
      </c>
      <c r="K256" s="97" t="s">
        <v>18</v>
      </c>
      <c r="L256" s="16" t="s">
        <v>676</v>
      </c>
      <c r="M256" s="16" t="s">
        <v>28</v>
      </c>
      <c r="N256" s="17" t="s">
        <v>191</v>
      </c>
      <c r="O256" s="134"/>
      <c r="Q256" s="176"/>
      <c r="R256" s="176"/>
      <c r="S256" s="176"/>
      <c r="T256" s="176"/>
      <c r="W256" s="17" t="s">
        <v>183</v>
      </c>
      <c r="X256" s="17" t="s">
        <v>183</v>
      </c>
      <c r="Y256" s="17" t="s">
        <v>183</v>
      </c>
      <c r="Z256" s="17" t="s">
        <v>183</v>
      </c>
      <c r="AA256" s="176">
        <v>9</v>
      </c>
      <c r="AB256" s="176">
        <v>5</v>
      </c>
      <c r="AC256" s="176">
        <v>5</v>
      </c>
      <c r="AD256" s="176">
        <v>5</v>
      </c>
      <c r="AE256" s="33">
        <v>0.8</v>
      </c>
      <c r="AF256" s="33">
        <v>0.8</v>
      </c>
      <c r="AG256" s="25" t="str">
        <f>_xlfn.XLOOKUP(F256,'TFS Details'!F:F,'TFS Details'!H:H)</f>
        <v>UAT In Test</v>
      </c>
      <c r="AH256" s="44">
        <v>5</v>
      </c>
      <c r="AI256" s="44">
        <v>0</v>
      </c>
      <c r="AJ256" s="44">
        <v>0</v>
      </c>
      <c r="AK256" s="44">
        <v>0</v>
      </c>
      <c r="AL256" s="40">
        <f t="shared" si="29"/>
        <v>5</v>
      </c>
      <c r="AM256" s="41">
        <f t="shared" si="26"/>
        <v>1</v>
      </c>
      <c r="AN256" s="41">
        <f t="shared" si="27"/>
        <v>1</v>
      </c>
      <c r="AO256" s="144" t="s">
        <v>634</v>
      </c>
      <c r="AP256" s="25" t="str">
        <f>_xlfn.XLOOKUP(F256,'TFS Details'!F:F,'TFS Details'!I:I)</f>
        <v>QDI - Opportunity Metrics</v>
      </c>
      <c r="AQ256" s="25" t="str">
        <f>_xlfn.XLOOKUP(AP256,'TFS Details'!I:I,'TFS Details'!AE:AE)</f>
        <v>n.d.krishnakumar</v>
      </c>
    </row>
    <row r="257" spans="1:43">
      <c r="A257" s="24" t="str">
        <f>_xlfn.XLOOKUP(F257,'TFS Details'!F:F,'TFS Details'!D:D)</f>
        <v>GEN AI</v>
      </c>
      <c r="B257" s="24" t="str">
        <f>_xlfn.XLOOKUP(F257,'TFS Details'!F:F,'TFS Details'!A:A)</f>
        <v>Retrospective Learnings - Opportunity Benchmarks</v>
      </c>
      <c r="C257" s="64">
        <f>_xlfn.XLOOKUP(F257,'TFS Details'!F:F,'TFS Details'!E:E)</f>
        <v>4223629</v>
      </c>
      <c r="D257" s="17" t="s">
        <v>36</v>
      </c>
      <c r="E257" s="73" t="s">
        <v>677</v>
      </c>
      <c r="F257" s="74">
        <v>4183206</v>
      </c>
      <c r="G257" s="73" t="s">
        <v>506</v>
      </c>
      <c r="H257" s="73" t="s">
        <v>505</v>
      </c>
      <c r="I257" s="73"/>
      <c r="J257" s="73" t="s">
        <v>667</v>
      </c>
      <c r="K257" s="97" t="s">
        <v>18</v>
      </c>
      <c r="L257" s="16" t="s">
        <v>633</v>
      </c>
      <c r="M257" s="16" t="s">
        <v>21</v>
      </c>
      <c r="N257" s="17" t="s">
        <v>191</v>
      </c>
      <c r="O257" s="134"/>
      <c r="Q257" s="176"/>
      <c r="R257" s="176"/>
      <c r="S257" s="176"/>
      <c r="T257" s="176"/>
      <c r="W257" s="17" t="s">
        <v>183</v>
      </c>
      <c r="X257" s="17" t="s">
        <v>183</v>
      </c>
      <c r="Y257" s="17" t="s">
        <v>183</v>
      </c>
      <c r="Z257" s="17" t="s">
        <v>183</v>
      </c>
      <c r="AA257" s="176">
        <v>40</v>
      </c>
      <c r="AB257" s="176">
        <v>35</v>
      </c>
      <c r="AC257" s="176">
        <v>2</v>
      </c>
      <c r="AD257" s="176">
        <v>21</v>
      </c>
      <c r="AE257" s="33">
        <v>0.75</v>
      </c>
      <c r="AF257" s="33">
        <v>0.7</v>
      </c>
      <c r="AG257" s="25" t="str">
        <f>_xlfn.XLOOKUP(F257,'TFS Details'!F:F,'TFS Details'!H:H)</f>
        <v>UAT In Test</v>
      </c>
      <c r="AH257" s="44">
        <v>21</v>
      </c>
      <c r="AI257" s="44">
        <v>0</v>
      </c>
      <c r="AJ257" s="44">
        <v>0</v>
      </c>
      <c r="AK257" s="44">
        <v>0</v>
      </c>
      <c r="AL257" s="40">
        <f t="shared" si="29"/>
        <v>21</v>
      </c>
      <c r="AM257" s="41">
        <f t="shared" si="26"/>
        <v>1</v>
      </c>
      <c r="AN257" s="41">
        <f t="shared" si="27"/>
        <v>1</v>
      </c>
      <c r="AO257" s="25"/>
      <c r="AP257" s="25" t="str">
        <f>_xlfn.XLOOKUP(F257,'TFS Details'!F:F,'TFS Details'!I:I)</f>
        <v>QDI - Opportunity Metrics</v>
      </c>
      <c r="AQ257" s="25" t="str">
        <f>_xlfn.XLOOKUP(AP257,'TFS Details'!I:I,'TFS Details'!AE:AE)</f>
        <v>n.d.krishnakumar</v>
      </c>
    </row>
    <row r="258" spans="1:43">
      <c r="A258" s="24" t="str">
        <f>_xlfn.XLOOKUP(F258,'TFS Details'!F:F,'TFS Details'!D:D)</f>
        <v>GEN AI</v>
      </c>
      <c r="B258" s="24" t="str">
        <f>_xlfn.XLOOKUP(F258,'TFS Details'!F:F,'TFS Details'!A:A)</f>
        <v>Retrospective Learnings - Opportunity Benchmarks</v>
      </c>
      <c r="C258" s="64">
        <f>_xlfn.XLOOKUP(F258,'TFS Details'!F:F,'TFS Details'!E:E)</f>
        <v>4223629</v>
      </c>
      <c r="D258" s="17" t="s">
        <v>36</v>
      </c>
      <c r="E258" s="73" t="s">
        <v>678</v>
      </c>
      <c r="F258" s="74">
        <v>4183207</v>
      </c>
      <c r="G258" s="73" t="s">
        <v>641</v>
      </c>
      <c r="H258" s="73" t="s">
        <v>582</v>
      </c>
      <c r="I258" s="73"/>
      <c r="J258" s="73" t="s">
        <v>642</v>
      </c>
      <c r="K258" s="97" t="s">
        <v>18</v>
      </c>
      <c r="L258" s="16" t="s">
        <v>651</v>
      </c>
      <c r="M258" s="16" t="s">
        <v>61</v>
      </c>
      <c r="N258" s="17" t="s">
        <v>191</v>
      </c>
      <c r="O258" s="134"/>
      <c r="Q258" s="176"/>
      <c r="R258" s="176"/>
      <c r="S258" s="176"/>
      <c r="T258" s="176"/>
      <c r="W258" s="17" t="s">
        <v>183</v>
      </c>
      <c r="X258" s="17" t="s">
        <v>183</v>
      </c>
      <c r="Y258" s="17" t="s">
        <v>183</v>
      </c>
      <c r="Z258" s="17" t="s">
        <v>183</v>
      </c>
      <c r="AA258" s="176">
        <v>34</v>
      </c>
      <c r="AB258" s="176">
        <v>14</v>
      </c>
      <c r="AC258" s="176">
        <v>0</v>
      </c>
      <c r="AD258" s="176">
        <v>14</v>
      </c>
      <c r="AE258" s="33">
        <v>0.42</v>
      </c>
      <c r="AF258" s="33">
        <v>0.42</v>
      </c>
      <c r="AG258" s="25" t="str">
        <f>_xlfn.XLOOKUP(F258,'TFS Details'!F:F,'TFS Details'!H:H)</f>
        <v>UAT In Test</v>
      </c>
      <c r="AH258" s="44">
        <v>2</v>
      </c>
      <c r="AI258" s="44">
        <v>0</v>
      </c>
      <c r="AJ258" s="44">
        <v>0</v>
      </c>
      <c r="AK258" s="44">
        <v>0</v>
      </c>
      <c r="AL258" s="40">
        <f t="shared" si="29"/>
        <v>2</v>
      </c>
      <c r="AM258" s="41">
        <f t="shared" ref="AM258:AM321" si="30">IF(AH258+AI258=0,0,SUM(AH258:AI258)/AL258)</f>
        <v>1</v>
      </c>
      <c r="AN258" s="41">
        <f t="shared" si="27"/>
        <v>1</v>
      </c>
      <c r="AO258" s="25"/>
      <c r="AP258" s="25" t="str">
        <f>_xlfn.XLOOKUP(F258,'TFS Details'!F:F,'TFS Details'!I:I)</f>
        <v>QDI - Opportunity Metrics</v>
      </c>
      <c r="AQ258" s="25" t="str">
        <f>_xlfn.XLOOKUP(AP258,'TFS Details'!I:I,'TFS Details'!AE:AE)</f>
        <v>n.d.krishnakumar</v>
      </c>
    </row>
    <row r="259" spans="1:43">
      <c r="A259" s="24" t="str">
        <f>_xlfn.XLOOKUP(F259,'TFS Details'!F:F,'TFS Details'!D:D)</f>
        <v>GEN AI</v>
      </c>
      <c r="B259" s="24" t="str">
        <f>_xlfn.XLOOKUP(F259,'TFS Details'!F:F,'TFS Details'!A:A)</f>
        <v>Retrospective Learnings - Opportunity Benchmarks</v>
      </c>
      <c r="C259" s="64">
        <f>_xlfn.XLOOKUP(F259,'TFS Details'!F:F,'TFS Details'!E:E)</f>
        <v>4223629</v>
      </c>
      <c r="D259" s="17" t="s">
        <v>36</v>
      </c>
      <c r="E259" s="73" t="s">
        <v>679</v>
      </c>
      <c r="F259" s="74">
        <v>4223630</v>
      </c>
      <c r="G259" s="73" t="s">
        <v>506</v>
      </c>
      <c r="H259" s="73" t="s">
        <v>505</v>
      </c>
      <c r="I259" s="73"/>
      <c r="J259" s="73" t="s">
        <v>667</v>
      </c>
      <c r="K259" s="97" t="s">
        <v>18</v>
      </c>
      <c r="L259" s="16" t="s">
        <v>633</v>
      </c>
      <c r="M259" s="16" t="s">
        <v>21</v>
      </c>
      <c r="N259" s="17" t="s">
        <v>191</v>
      </c>
      <c r="O259" s="134"/>
      <c r="Q259" s="176"/>
      <c r="R259" s="176"/>
      <c r="S259" s="176"/>
      <c r="T259" s="176"/>
      <c r="W259" s="17" t="s">
        <v>183</v>
      </c>
      <c r="X259" s="17" t="s">
        <v>183</v>
      </c>
      <c r="Y259" s="17" t="s">
        <v>183</v>
      </c>
      <c r="Z259" s="17" t="s">
        <v>183</v>
      </c>
      <c r="AA259" s="176">
        <v>40</v>
      </c>
      <c r="AB259" s="176">
        <v>32</v>
      </c>
      <c r="AC259" s="176">
        <v>2</v>
      </c>
      <c r="AD259" s="176">
        <v>18</v>
      </c>
      <c r="AE259" s="33">
        <v>0.8</v>
      </c>
      <c r="AF259" s="33">
        <v>0.7</v>
      </c>
      <c r="AG259" s="25" t="str">
        <f>_xlfn.XLOOKUP(F259,'TFS Details'!F:F,'TFS Details'!H:H)</f>
        <v>UAT In Test</v>
      </c>
      <c r="AH259" s="44">
        <v>18</v>
      </c>
      <c r="AI259" s="44">
        <v>0</v>
      </c>
      <c r="AJ259" s="44">
        <v>0</v>
      </c>
      <c r="AK259" s="44">
        <v>0</v>
      </c>
      <c r="AL259" s="40">
        <f t="shared" si="29"/>
        <v>18</v>
      </c>
      <c r="AM259" s="41">
        <f t="shared" si="30"/>
        <v>1</v>
      </c>
      <c r="AN259" s="41">
        <f t="shared" si="27"/>
        <v>1</v>
      </c>
      <c r="AO259" s="25"/>
      <c r="AP259" s="25" t="str">
        <f>_xlfn.XLOOKUP(F259,'TFS Details'!F:F,'TFS Details'!I:I)</f>
        <v>QDI - Opportunity Metrics</v>
      </c>
      <c r="AQ259" s="25" t="str">
        <f>_xlfn.XLOOKUP(AP259,'TFS Details'!I:I,'TFS Details'!AE:AE)</f>
        <v>n.d.krishnakumar</v>
      </c>
    </row>
    <row r="260" spans="1:43">
      <c r="A260" s="24" t="str">
        <f>_xlfn.XLOOKUP(F260,'TFS Details'!F:F,'TFS Details'!D:D)</f>
        <v xml:space="preserve">GEN AI </v>
      </c>
      <c r="B260" s="24" t="str">
        <f>_xlfn.XLOOKUP(F260,'TFS Details'!F:F,'TFS Details'!A:A)</f>
        <v>Retrospective Learnings - Opportunity Benchmarks</v>
      </c>
      <c r="C260" s="64">
        <f>_xlfn.XLOOKUP(F260,'TFS Details'!F:F,'TFS Details'!E:E)</f>
        <v>4223629</v>
      </c>
      <c r="D260" s="17" t="s">
        <v>36</v>
      </c>
      <c r="E260" s="73" t="s">
        <v>680</v>
      </c>
      <c r="F260" s="74">
        <v>4240152</v>
      </c>
      <c r="G260" s="73" t="s">
        <v>506</v>
      </c>
      <c r="H260" s="73" t="s">
        <v>505</v>
      </c>
      <c r="I260" s="73"/>
      <c r="J260" s="73" t="s">
        <v>667</v>
      </c>
      <c r="K260" s="97" t="s">
        <v>18</v>
      </c>
      <c r="L260" s="16" t="s">
        <v>633</v>
      </c>
      <c r="M260" s="16" t="s">
        <v>21</v>
      </c>
      <c r="N260" s="17" t="s">
        <v>191</v>
      </c>
      <c r="O260" s="134"/>
      <c r="Q260" s="176"/>
      <c r="R260" s="176"/>
      <c r="S260" s="176"/>
      <c r="T260" s="176"/>
      <c r="W260" s="17" t="s">
        <v>183</v>
      </c>
      <c r="X260" s="17" t="s">
        <v>183</v>
      </c>
      <c r="Y260" s="17" t="s">
        <v>183</v>
      </c>
      <c r="Z260" s="17" t="s">
        <v>183</v>
      </c>
      <c r="AA260" s="176">
        <v>35</v>
      </c>
      <c r="AB260" s="176">
        <v>27</v>
      </c>
      <c r="AC260" s="176">
        <v>3</v>
      </c>
      <c r="AD260" s="176">
        <v>15</v>
      </c>
      <c r="AE260" s="33">
        <v>0.7</v>
      </c>
      <c r="AF260" s="33">
        <v>0.64</v>
      </c>
      <c r="AG260" s="25" t="str">
        <f>_xlfn.XLOOKUP(F260,'TFS Details'!F:F,'TFS Details'!H:H)</f>
        <v>UAT In Test</v>
      </c>
      <c r="AH260" s="44">
        <v>15</v>
      </c>
      <c r="AI260" s="44">
        <v>0</v>
      </c>
      <c r="AJ260" s="44">
        <v>0</v>
      </c>
      <c r="AK260" s="44">
        <v>0</v>
      </c>
      <c r="AL260" s="40">
        <f t="shared" si="29"/>
        <v>15</v>
      </c>
      <c r="AM260" s="41">
        <f t="shared" si="30"/>
        <v>1</v>
      </c>
      <c r="AN260" s="41">
        <f t="shared" ref="AN260:AN315" si="31">IF(AH260=0,0,AH260/(SUM(AH260:AJ260)))</f>
        <v>1</v>
      </c>
      <c r="AO260" s="25"/>
      <c r="AP260" s="25" t="str">
        <f>_xlfn.XLOOKUP(F260,'TFS Details'!F:F,'TFS Details'!I:I)</f>
        <v>QDI - Opportunity Metrics</v>
      </c>
      <c r="AQ260" s="25" t="str">
        <f>_xlfn.XLOOKUP(AP260,'TFS Details'!I:I,'TFS Details'!AE:AE)</f>
        <v>n.d.krishnakumar</v>
      </c>
    </row>
    <row r="261" spans="1:43">
      <c r="A261" s="24" t="str">
        <f>_xlfn.XLOOKUP(F261,'TFS Details'!F:F,'TFS Details'!D:D)</f>
        <v>GEN AI</v>
      </c>
      <c r="B261" s="24" t="str">
        <f>_xlfn.XLOOKUP(F261,'TFS Details'!F:F,'TFS Details'!A:A)</f>
        <v>Retrospective Learnings - Opportunity Benchmarks</v>
      </c>
      <c r="C261" s="64">
        <f>_xlfn.XLOOKUP(F261,'TFS Details'!F:F,'TFS Details'!E:E)</f>
        <v>4223629</v>
      </c>
      <c r="D261" s="17" t="s">
        <v>36</v>
      </c>
      <c r="E261" s="73" t="s">
        <v>681</v>
      </c>
      <c r="F261" s="74">
        <v>4240153</v>
      </c>
      <c r="G261" s="73" t="s">
        <v>641</v>
      </c>
      <c r="H261" s="73" t="s">
        <v>582</v>
      </c>
      <c r="I261" s="73"/>
      <c r="J261" s="73" t="s">
        <v>642</v>
      </c>
      <c r="K261" s="97" t="s">
        <v>18</v>
      </c>
      <c r="L261" s="16" t="s">
        <v>651</v>
      </c>
      <c r="M261" s="16" t="s">
        <v>61</v>
      </c>
      <c r="N261" s="17" t="s">
        <v>191</v>
      </c>
      <c r="O261" s="134"/>
      <c r="Q261" s="176"/>
      <c r="R261" s="176"/>
      <c r="S261" s="176"/>
      <c r="T261" s="176"/>
      <c r="W261" s="17" t="s">
        <v>183</v>
      </c>
      <c r="X261" s="17" t="s">
        <v>183</v>
      </c>
      <c r="Y261" s="17" t="s">
        <v>183</v>
      </c>
      <c r="Z261" s="17" t="s">
        <v>183</v>
      </c>
      <c r="AA261" s="176">
        <v>50</v>
      </c>
      <c r="AB261" s="176">
        <v>0</v>
      </c>
      <c r="AC261" s="176">
        <v>7</v>
      </c>
      <c r="AD261" s="176">
        <v>7</v>
      </c>
      <c r="AE261" s="33">
        <v>0</v>
      </c>
      <c r="AF261" s="33">
        <v>0</v>
      </c>
      <c r="AG261" s="25" t="str">
        <f>_xlfn.XLOOKUP(F261,'TFS Details'!F:F,'TFS Details'!H:H)</f>
        <v>UAT In Test</v>
      </c>
      <c r="AH261" s="44">
        <v>17</v>
      </c>
      <c r="AI261" s="44">
        <v>0</v>
      </c>
      <c r="AJ261" s="44">
        <v>0</v>
      </c>
      <c r="AK261" s="44">
        <v>0</v>
      </c>
      <c r="AL261" s="40">
        <f t="shared" si="29"/>
        <v>17</v>
      </c>
      <c r="AM261" s="41">
        <f t="shared" si="30"/>
        <v>1</v>
      </c>
      <c r="AN261" s="41">
        <f t="shared" si="31"/>
        <v>1</v>
      </c>
      <c r="AO261" s="25"/>
      <c r="AP261" s="25" t="str">
        <f>_xlfn.XLOOKUP(F261,'TFS Details'!F:F,'TFS Details'!I:I)</f>
        <v>QDI - Opportunity Metrics</v>
      </c>
      <c r="AQ261" s="25" t="str">
        <f>_xlfn.XLOOKUP(AP261,'TFS Details'!I:I,'TFS Details'!AE:AE)</f>
        <v>n.d.krishnakumar</v>
      </c>
    </row>
    <row r="262" spans="1:43">
      <c r="A262" s="24" t="str">
        <f>_xlfn.XLOOKUP(F262,'TFS Details'!F:F,'TFS Details'!D:D)</f>
        <v>GEN AI</v>
      </c>
      <c r="B262" s="24" t="str">
        <f>_xlfn.XLOOKUP(F262,'TFS Details'!F:F,'TFS Details'!A:A)</f>
        <v>Retrospective Learnings - Opportunity Benchmarks</v>
      </c>
      <c r="C262" s="64">
        <f>_xlfn.XLOOKUP(F262,'TFS Details'!F:F,'TFS Details'!E:E)</f>
        <v>4223629</v>
      </c>
      <c r="D262" s="17" t="s">
        <v>36</v>
      </c>
      <c r="E262" s="73" t="s">
        <v>682</v>
      </c>
      <c r="F262" s="74">
        <v>4136042</v>
      </c>
      <c r="G262" s="73" t="s">
        <v>564</v>
      </c>
      <c r="H262" s="73" t="s">
        <v>654</v>
      </c>
      <c r="I262" s="73"/>
      <c r="J262" s="73" t="s">
        <v>655</v>
      </c>
      <c r="K262" s="97" t="s">
        <v>18</v>
      </c>
      <c r="L262" s="16" t="s">
        <v>633</v>
      </c>
      <c r="M262" s="16" t="s">
        <v>21</v>
      </c>
      <c r="N262" s="17" t="s">
        <v>191</v>
      </c>
      <c r="O262" s="134"/>
      <c r="Q262" s="176"/>
      <c r="R262" s="176"/>
      <c r="S262" s="176"/>
      <c r="T262" s="176"/>
      <c r="W262" s="17" t="s">
        <v>183</v>
      </c>
      <c r="X262" s="17" t="s">
        <v>183</v>
      </c>
      <c r="Y262" s="17" t="s">
        <v>183</v>
      </c>
      <c r="Z262" s="17" t="s">
        <v>183</v>
      </c>
      <c r="AA262" s="176">
        <v>15</v>
      </c>
      <c r="AB262" s="176">
        <v>8</v>
      </c>
      <c r="AC262" s="176">
        <v>6</v>
      </c>
      <c r="AD262" s="176">
        <v>6</v>
      </c>
      <c r="AE262" s="33">
        <v>0.7</v>
      </c>
      <c r="AF262" s="33">
        <v>0.7</v>
      </c>
      <c r="AG262" s="25" t="str">
        <f>_xlfn.XLOOKUP(F262,'TFS Details'!F:F,'TFS Details'!H:H)</f>
        <v>UAT In Test</v>
      </c>
      <c r="AH262" s="44">
        <v>6</v>
      </c>
      <c r="AI262" s="44">
        <v>0</v>
      </c>
      <c r="AJ262" s="44">
        <v>0</v>
      </c>
      <c r="AK262" s="44">
        <v>0</v>
      </c>
      <c r="AL262" s="40">
        <f t="shared" si="29"/>
        <v>6</v>
      </c>
      <c r="AM262" s="41">
        <f t="shared" si="30"/>
        <v>1</v>
      </c>
      <c r="AN262" s="41">
        <f t="shared" si="31"/>
        <v>1</v>
      </c>
      <c r="AO262" s="25" t="s">
        <v>659</v>
      </c>
      <c r="AP262" s="25" t="str">
        <f>_xlfn.XLOOKUP(F262,'TFS Details'!F:F,'TFS Details'!I:I)</f>
        <v>QDI - Opportunity Metrics</v>
      </c>
      <c r="AQ262" s="25" t="str">
        <f>_xlfn.XLOOKUP(AP262,'TFS Details'!I:I,'TFS Details'!AE:AE)</f>
        <v>n.d.krishnakumar</v>
      </c>
    </row>
    <row r="263" spans="1:43">
      <c r="A263" s="24" t="str">
        <f>_xlfn.XLOOKUP(F263,'TFS Details'!F:F,'TFS Details'!D:D)</f>
        <v>GEN AI</v>
      </c>
      <c r="B263" s="24" t="str">
        <f>_xlfn.XLOOKUP(F263,'TFS Details'!F:F,'TFS Details'!A:A)</f>
        <v>Retrospective Learnings - Opportunity Benchmarks</v>
      </c>
      <c r="C263" s="64">
        <f>_xlfn.XLOOKUP(F263,'TFS Details'!F:F,'TFS Details'!E:E)</f>
        <v>4223629</v>
      </c>
      <c r="D263" s="17" t="s">
        <v>36</v>
      </c>
      <c r="E263" s="73" t="s">
        <v>683</v>
      </c>
      <c r="F263" s="74">
        <v>4136044</v>
      </c>
      <c r="G263" s="73" t="s">
        <v>649</v>
      </c>
      <c r="H263" s="73" t="s">
        <v>589</v>
      </c>
      <c r="I263" s="73"/>
      <c r="J263" s="73" t="s">
        <v>650</v>
      </c>
      <c r="K263" s="97" t="s">
        <v>18</v>
      </c>
      <c r="L263" s="16" t="s">
        <v>651</v>
      </c>
      <c r="M263" s="16" t="s">
        <v>61</v>
      </c>
      <c r="N263" s="17"/>
      <c r="O263" s="134"/>
      <c r="Q263" s="176"/>
      <c r="R263" s="176"/>
      <c r="S263" s="176"/>
      <c r="T263" s="176"/>
      <c r="W263" s="17" t="s">
        <v>183</v>
      </c>
      <c r="X263" s="17" t="s">
        <v>183</v>
      </c>
      <c r="Y263" s="17" t="s">
        <v>183</v>
      </c>
      <c r="Z263" s="17" t="s">
        <v>183</v>
      </c>
      <c r="AA263" s="176">
        <v>20</v>
      </c>
      <c r="AB263" s="176">
        <v>10</v>
      </c>
      <c r="AC263" s="176">
        <v>80</v>
      </c>
      <c r="AD263" s="176">
        <v>80</v>
      </c>
      <c r="AE263" s="33">
        <v>0.1</v>
      </c>
      <c r="AF263" s="33">
        <v>0.4</v>
      </c>
      <c r="AG263" s="25" t="str">
        <f>_xlfn.XLOOKUP(F263,'TFS Details'!F:F,'TFS Details'!H:H)</f>
        <v>UAT In Test</v>
      </c>
      <c r="AH263" s="44">
        <v>13</v>
      </c>
      <c r="AI263" s="44">
        <v>0</v>
      </c>
      <c r="AJ263" s="44">
        <v>0</v>
      </c>
      <c r="AK263" s="44">
        <v>0</v>
      </c>
      <c r="AL263" s="40">
        <f t="shared" si="29"/>
        <v>13</v>
      </c>
      <c r="AM263" s="41">
        <f t="shared" si="30"/>
        <v>1</v>
      </c>
      <c r="AN263" s="41">
        <f t="shared" si="31"/>
        <v>1</v>
      </c>
      <c r="AO263" s="25" t="s">
        <v>671</v>
      </c>
      <c r="AP263" s="25" t="str">
        <f>_xlfn.XLOOKUP(F263,'TFS Details'!F:F,'TFS Details'!I:I)</f>
        <v>QDI - Opportunity Metrics</v>
      </c>
      <c r="AQ263" s="25" t="str">
        <f>_xlfn.XLOOKUP(AP263,'TFS Details'!I:I,'TFS Details'!AE:AE)</f>
        <v>n.d.krishnakumar</v>
      </c>
    </row>
    <row r="264" spans="1:43">
      <c r="A264" s="24" t="str">
        <f>_xlfn.XLOOKUP(F264,'TFS Details'!F:F,'TFS Details'!D:D)</f>
        <v>GEN AI</v>
      </c>
      <c r="B264" s="24" t="str">
        <f>_xlfn.XLOOKUP(F264,'TFS Details'!F:F,'TFS Details'!A:A)</f>
        <v>Retrospective Learnings - Opportunity Benchmarks</v>
      </c>
      <c r="C264" s="64">
        <f>_xlfn.XLOOKUP(F264,'TFS Details'!F:F,'TFS Details'!E:E)</f>
        <v>4223629</v>
      </c>
      <c r="D264" s="17" t="s">
        <v>36</v>
      </c>
      <c r="E264" s="73" t="s">
        <v>684</v>
      </c>
      <c r="F264" s="74">
        <v>4136068</v>
      </c>
      <c r="G264" s="73" t="s">
        <v>574</v>
      </c>
      <c r="H264" s="73" t="s">
        <v>685</v>
      </c>
      <c r="I264" s="73"/>
      <c r="J264" s="73" t="s">
        <v>686</v>
      </c>
      <c r="K264" s="97" t="s">
        <v>18</v>
      </c>
      <c r="L264" s="16" t="s">
        <v>687</v>
      </c>
      <c r="M264" s="16" t="s">
        <v>61</v>
      </c>
      <c r="N264" s="17"/>
      <c r="O264" s="134"/>
      <c r="Q264" s="176"/>
      <c r="R264" s="176"/>
      <c r="S264" s="176"/>
      <c r="T264" s="176"/>
      <c r="W264" s="17" t="s">
        <v>183</v>
      </c>
      <c r="X264" s="17" t="s">
        <v>183</v>
      </c>
      <c r="Y264" s="17" t="s">
        <v>183</v>
      </c>
      <c r="Z264" s="17" t="s">
        <v>183</v>
      </c>
      <c r="AA264" s="176">
        <v>45</v>
      </c>
      <c r="AB264" s="176">
        <v>20</v>
      </c>
      <c r="AC264" s="176">
        <v>8</v>
      </c>
      <c r="AD264" s="176">
        <v>8</v>
      </c>
      <c r="AE264" s="33">
        <v>0.9</v>
      </c>
      <c r="AF264" s="33">
        <v>0.8</v>
      </c>
      <c r="AG264" s="25" t="str">
        <f>_xlfn.XLOOKUP(F264,'TFS Details'!F:F,'TFS Details'!H:H)</f>
        <v>UAT In Test</v>
      </c>
      <c r="AH264" s="44">
        <v>9</v>
      </c>
      <c r="AI264" s="44">
        <v>0</v>
      </c>
      <c r="AJ264" s="44">
        <v>0</v>
      </c>
      <c r="AK264" s="44">
        <v>0</v>
      </c>
      <c r="AL264" s="40">
        <v>9</v>
      </c>
      <c r="AM264" s="41">
        <f t="shared" si="30"/>
        <v>1</v>
      </c>
      <c r="AN264" s="41">
        <f t="shared" si="31"/>
        <v>1</v>
      </c>
      <c r="AO264" s="25"/>
      <c r="AP264" s="25" t="str">
        <f>_xlfn.XLOOKUP(F264,'TFS Details'!F:F,'TFS Details'!I:I)</f>
        <v>QDI - Opportunity Metrics</v>
      </c>
      <c r="AQ264" s="25" t="str">
        <f>_xlfn.XLOOKUP(AP264,'TFS Details'!I:I,'TFS Details'!AE:AE)</f>
        <v>n.d.krishnakumar</v>
      </c>
    </row>
    <row r="265" spans="1:43">
      <c r="A265" s="24" t="str">
        <f>_xlfn.XLOOKUP(F265,'TFS Details'!F:F,'TFS Details'!D:D)</f>
        <v>GEN AI</v>
      </c>
      <c r="B265" s="24" t="str">
        <f>_xlfn.XLOOKUP(F265,'TFS Details'!F:F,'TFS Details'!A:A)</f>
        <v>Retrospective Learnings - Opportunity Benchmarks</v>
      </c>
      <c r="C265" s="64">
        <f>_xlfn.XLOOKUP(F265,'TFS Details'!F:F,'TFS Details'!E:E)</f>
        <v>4223629</v>
      </c>
      <c r="D265" s="17" t="s">
        <v>36</v>
      </c>
      <c r="E265" s="73" t="s">
        <v>688</v>
      </c>
      <c r="F265" s="74">
        <v>4136084</v>
      </c>
      <c r="G265" s="73" t="s">
        <v>546</v>
      </c>
      <c r="H265" s="73" t="s">
        <v>545</v>
      </c>
      <c r="I265" s="73"/>
      <c r="J265" s="73" t="s">
        <v>629</v>
      </c>
      <c r="K265" s="97" t="s">
        <v>18</v>
      </c>
      <c r="L265" s="16" t="s">
        <v>633</v>
      </c>
      <c r="M265" s="16" t="s">
        <v>21</v>
      </c>
      <c r="N265" s="17"/>
      <c r="O265" s="134"/>
      <c r="Q265" s="176"/>
      <c r="R265" s="176"/>
      <c r="S265" s="176"/>
      <c r="T265" s="176"/>
      <c r="W265" s="17" t="s">
        <v>183</v>
      </c>
      <c r="X265" s="17" t="s">
        <v>183</v>
      </c>
      <c r="Y265" s="17" t="s">
        <v>183</v>
      </c>
      <c r="Z265" s="17" t="s">
        <v>183</v>
      </c>
      <c r="AA265" s="176">
        <v>50</v>
      </c>
      <c r="AB265" s="176">
        <v>30</v>
      </c>
      <c r="AC265" s="176">
        <v>30</v>
      </c>
      <c r="AD265" s="176">
        <v>8</v>
      </c>
      <c r="AE265" s="33">
        <v>0.3</v>
      </c>
      <c r="AF265" s="33">
        <v>0.6</v>
      </c>
      <c r="AG265" s="25" t="str">
        <f>_xlfn.XLOOKUP(F265,'TFS Details'!F:F,'TFS Details'!H:H)</f>
        <v>UAT In Test</v>
      </c>
      <c r="AH265" s="44">
        <v>8</v>
      </c>
      <c r="AI265" s="44">
        <v>0</v>
      </c>
      <c r="AJ265" s="44">
        <v>0</v>
      </c>
      <c r="AK265" s="44">
        <v>0</v>
      </c>
      <c r="AL265" s="40">
        <f t="shared" si="29"/>
        <v>8</v>
      </c>
      <c r="AM265" s="41">
        <f t="shared" si="30"/>
        <v>1</v>
      </c>
      <c r="AN265" s="41">
        <f t="shared" si="31"/>
        <v>1</v>
      </c>
      <c r="AO265" s="25" t="s">
        <v>634</v>
      </c>
      <c r="AP265" s="25" t="str">
        <f>_xlfn.XLOOKUP(F265,'TFS Details'!F:F,'TFS Details'!I:I)</f>
        <v>QDI - Opportunity Metrics</v>
      </c>
      <c r="AQ265" s="25" t="str">
        <f>_xlfn.XLOOKUP(AP265,'TFS Details'!I:I,'TFS Details'!AE:AE)</f>
        <v>n.d.krishnakumar</v>
      </c>
    </row>
    <row r="266" spans="1:43">
      <c r="A266" s="24" t="str">
        <f>_xlfn.XLOOKUP(F266,'TFS Details'!F:F,'TFS Details'!D:D)</f>
        <v>GEN AI</v>
      </c>
      <c r="B266" s="24" t="str">
        <f>_xlfn.XLOOKUP(F266,'TFS Details'!F:F,'TFS Details'!A:A)</f>
        <v>Retrospective Learnings - Opportunity Benchmarks</v>
      </c>
      <c r="C266" s="64">
        <f>_xlfn.XLOOKUP(F266,'TFS Details'!F:F,'TFS Details'!E:E)</f>
        <v>4223629</v>
      </c>
      <c r="D266" s="17" t="s">
        <v>36</v>
      </c>
      <c r="E266" s="73" t="s">
        <v>689</v>
      </c>
      <c r="F266" s="74">
        <v>4136086</v>
      </c>
      <c r="G266" s="73" t="s">
        <v>649</v>
      </c>
      <c r="H266" s="73" t="s">
        <v>589</v>
      </c>
      <c r="I266" s="73"/>
      <c r="J266" s="73" t="s">
        <v>650</v>
      </c>
      <c r="K266" s="97" t="s">
        <v>18</v>
      </c>
      <c r="L266" s="16" t="s">
        <v>651</v>
      </c>
      <c r="M266" s="16" t="s">
        <v>61</v>
      </c>
      <c r="N266" s="17" t="s">
        <v>191</v>
      </c>
      <c r="O266" s="134"/>
      <c r="Q266" s="176"/>
      <c r="R266" s="176"/>
      <c r="S266" s="176"/>
      <c r="T266" s="176"/>
      <c r="W266" s="17" t="s">
        <v>183</v>
      </c>
      <c r="X266" s="17" t="s">
        <v>183</v>
      </c>
      <c r="Y266" s="17" t="s">
        <v>183</v>
      </c>
      <c r="Z266" s="17" t="s">
        <v>183</v>
      </c>
      <c r="AA266" s="176">
        <v>10</v>
      </c>
      <c r="AB266" s="176">
        <v>5</v>
      </c>
      <c r="AC266" s="176">
        <v>90</v>
      </c>
      <c r="AD266" s="176">
        <v>80</v>
      </c>
      <c r="AE266" s="33">
        <v>0.2</v>
      </c>
      <c r="AF266" s="33">
        <v>0.5</v>
      </c>
      <c r="AG266" s="25" t="str">
        <f>_xlfn.XLOOKUP(F266,'TFS Details'!F:F,'TFS Details'!H:H)</f>
        <v>UAT In Test</v>
      </c>
      <c r="AH266" s="44">
        <v>18</v>
      </c>
      <c r="AI266" s="44">
        <v>0</v>
      </c>
      <c r="AJ266" s="44">
        <v>0</v>
      </c>
      <c r="AK266" s="44">
        <v>0</v>
      </c>
      <c r="AL266" s="40">
        <f t="shared" si="29"/>
        <v>18</v>
      </c>
      <c r="AM266" s="41">
        <f t="shared" si="30"/>
        <v>1</v>
      </c>
      <c r="AN266" s="41">
        <f t="shared" si="31"/>
        <v>1</v>
      </c>
      <c r="AO266" s="25" t="s">
        <v>671</v>
      </c>
      <c r="AP266" s="25" t="str">
        <f>_xlfn.XLOOKUP(F266,'TFS Details'!F:F,'TFS Details'!I:I)</f>
        <v>QDI - Opportunity Metrics</v>
      </c>
      <c r="AQ266" s="25" t="str">
        <f>_xlfn.XLOOKUP(AP266,'TFS Details'!I:I,'TFS Details'!AE:AE)</f>
        <v>n.d.krishnakumar</v>
      </c>
    </row>
    <row r="267" spans="1:43">
      <c r="A267" s="24" t="str">
        <f>_xlfn.XLOOKUP(F267,'TFS Details'!F:F,'TFS Details'!D:D)</f>
        <v>GEN AI</v>
      </c>
      <c r="B267" s="24" t="str">
        <f>_xlfn.XLOOKUP(F267,'TFS Details'!F:F,'TFS Details'!A:A)</f>
        <v>Retrospective Learnings - Opportunity Benchmarks</v>
      </c>
      <c r="C267" s="64">
        <f>_xlfn.XLOOKUP(F267,'TFS Details'!F:F,'TFS Details'!E:E)</f>
        <v>4223629</v>
      </c>
      <c r="D267" s="17" t="s">
        <v>36</v>
      </c>
      <c r="E267" s="73" t="s">
        <v>690</v>
      </c>
      <c r="F267" s="74">
        <v>4136089</v>
      </c>
      <c r="G267" s="73" t="s">
        <v>495</v>
      </c>
      <c r="H267" s="73" t="s">
        <v>494</v>
      </c>
      <c r="I267" s="73"/>
      <c r="J267" s="73" t="s">
        <v>512</v>
      </c>
      <c r="K267" s="97" t="s">
        <v>18</v>
      </c>
      <c r="L267" s="16" t="s">
        <v>513</v>
      </c>
      <c r="M267" s="16" t="s">
        <v>61</v>
      </c>
      <c r="N267" s="17" t="s">
        <v>191</v>
      </c>
      <c r="O267" s="134"/>
      <c r="Q267" s="176"/>
      <c r="R267" s="176"/>
      <c r="S267" s="176"/>
      <c r="T267" s="176"/>
      <c r="W267" s="17" t="s">
        <v>183</v>
      </c>
      <c r="X267" s="17" t="s">
        <v>183</v>
      </c>
      <c r="Y267" s="17" t="s">
        <v>183</v>
      </c>
      <c r="Z267" s="17" t="s">
        <v>183</v>
      </c>
      <c r="AA267" s="176" t="s">
        <v>691</v>
      </c>
      <c r="AB267" s="176" t="s">
        <v>663</v>
      </c>
      <c r="AC267" s="176" t="s">
        <v>524</v>
      </c>
      <c r="AD267" s="176" t="s">
        <v>523</v>
      </c>
      <c r="AE267" s="199" t="s">
        <v>692</v>
      </c>
      <c r="AF267" s="199" t="s">
        <v>692</v>
      </c>
      <c r="AG267" s="25" t="str">
        <f>_xlfn.XLOOKUP(F267,'TFS Details'!F:F,'TFS Details'!H:H)</f>
        <v>UAT In Test</v>
      </c>
      <c r="AH267" s="44">
        <v>17</v>
      </c>
      <c r="AI267" s="44">
        <v>1</v>
      </c>
      <c r="AJ267" s="44">
        <v>0</v>
      </c>
      <c r="AK267" s="44">
        <v>0</v>
      </c>
      <c r="AL267" s="40">
        <f t="shared" si="29"/>
        <v>18</v>
      </c>
      <c r="AM267" s="41">
        <f t="shared" si="30"/>
        <v>1</v>
      </c>
      <c r="AN267" s="41">
        <f t="shared" si="31"/>
        <v>0.94444444444444442</v>
      </c>
      <c r="AO267" s="25" t="s">
        <v>693</v>
      </c>
      <c r="AP267" s="25" t="str">
        <f>_xlfn.XLOOKUP(F267,'TFS Details'!F:F,'TFS Details'!I:I)</f>
        <v>QDI - Opportunity Metrics</v>
      </c>
      <c r="AQ267" s="25" t="str">
        <f>_xlfn.XLOOKUP(AP267,'TFS Details'!I:I,'TFS Details'!AE:AE)</f>
        <v>n.d.krishnakumar</v>
      </c>
    </row>
    <row r="268" spans="1:43">
      <c r="A268" s="24" t="str">
        <f>_xlfn.XLOOKUP(F268,'TFS Details'!F:F,'TFS Details'!D:D)</f>
        <v>GEN AI</v>
      </c>
      <c r="B268" s="24" t="str">
        <f>_xlfn.XLOOKUP(F268,'TFS Details'!F:F,'TFS Details'!A:A)</f>
        <v>Retrospective Learnings - Opportunity Benchmarks</v>
      </c>
      <c r="C268" s="64">
        <f>_xlfn.XLOOKUP(F268,'TFS Details'!F:F,'TFS Details'!E:E)</f>
        <v>4223629</v>
      </c>
      <c r="D268" s="17" t="s">
        <v>36</v>
      </c>
      <c r="E268" s="73" t="s">
        <v>694</v>
      </c>
      <c r="F268" s="74">
        <v>4136094</v>
      </c>
      <c r="G268" s="73" t="s">
        <v>495</v>
      </c>
      <c r="H268" s="73" t="s">
        <v>494</v>
      </c>
      <c r="I268" s="73"/>
      <c r="J268" s="73" t="s">
        <v>512</v>
      </c>
      <c r="K268" s="97" t="s">
        <v>18</v>
      </c>
      <c r="L268" s="16" t="s">
        <v>513</v>
      </c>
      <c r="M268" s="16" t="s">
        <v>61</v>
      </c>
      <c r="N268" s="17" t="s">
        <v>191</v>
      </c>
      <c r="O268" s="134"/>
      <c r="Q268" s="176"/>
      <c r="R268" s="176"/>
      <c r="S268" s="176"/>
      <c r="T268" s="176"/>
      <c r="W268" s="17" t="s">
        <v>183</v>
      </c>
      <c r="X268" s="17" t="s">
        <v>183</v>
      </c>
      <c r="Y268" s="17" t="s">
        <v>183</v>
      </c>
      <c r="Z268" s="17" t="s">
        <v>183</v>
      </c>
      <c r="AA268" s="176" t="s">
        <v>691</v>
      </c>
      <c r="AB268" s="176" t="s">
        <v>663</v>
      </c>
      <c r="AC268" s="176" t="s">
        <v>524</v>
      </c>
      <c r="AD268" s="176" t="s">
        <v>523</v>
      </c>
      <c r="AE268" s="199" t="s">
        <v>692</v>
      </c>
      <c r="AF268" s="199" t="s">
        <v>692</v>
      </c>
      <c r="AG268" s="25" t="str">
        <f>_xlfn.XLOOKUP(F268,'TFS Details'!F:F,'TFS Details'!H:H)</f>
        <v>UAT In Test</v>
      </c>
      <c r="AH268" s="44">
        <v>17</v>
      </c>
      <c r="AI268" s="44">
        <v>1</v>
      </c>
      <c r="AJ268" s="44">
        <v>0</v>
      </c>
      <c r="AK268" s="44">
        <v>0</v>
      </c>
      <c r="AL268" s="40">
        <f t="shared" si="29"/>
        <v>18</v>
      </c>
      <c r="AM268" s="41">
        <f t="shared" si="30"/>
        <v>1</v>
      </c>
      <c r="AN268" s="41">
        <f t="shared" si="31"/>
        <v>0.94444444444444442</v>
      </c>
      <c r="AO268" s="25" t="s">
        <v>693</v>
      </c>
      <c r="AP268" s="25" t="str">
        <f>_xlfn.XLOOKUP(F268,'TFS Details'!F:F,'TFS Details'!I:I)</f>
        <v>QDI - Opportunity Metrics</v>
      </c>
      <c r="AQ268" s="25" t="str">
        <f>_xlfn.XLOOKUP(AP268,'TFS Details'!I:I,'TFS Details'!AE:AE)</f>
        <v>n.d.krishnakumar</v>
      </c>
    </row>
    <row r="269" spans="1:43">
      <c r="A269" s="24" t="str">
        <f>_xlfn.XLOOKUP(F269,'TFS Details'!F:F,'TFS Details'!D:D)</f>
        <v>GEN AI</v>
      </c>
      <c r="B269" s="24" t="str">
        <f>_xlfn.XLOOKUP(F269,'TFS Details'!F:F,'TFS Details'!A:A)</f>
        <v>Retrospective Learnings - Opportunity Benchmarks</v>
      </c>
      <c r="C269" s="64">
        <f>_xlfn.XLOOKUP(F269,'TFS Details'!F:F,'TFS Details'!E:E)</f>
        <v>4223629</v>
      </c>
      <c r="D269" s="17" t="s">
        <v>36</v>
      </c>
      <c r="E269" s="73" t="s">
        <v>695</v>
      </c>
      <c r="F269" s="74">
        <v>4136098</v>
      </c>
      <c r="G269" s="73" t="s">
        <v>495</v>
      </c>
      <c r="H269" s="73" t="s">
        <v>494</v>
      </c>
      <c r="I269" s="73"/>
      <c r="J269" s="73" t="s">
        <v>512</v>
      </c>
      <c r="K269" s="97" t="s">
        <v>18</v>
      </c>
      <c r="L269" s="16" t="s">
        <v>513</v>
      </c>
      <c r="M269" s="16" t="s">
        <v>61</v>
      </c>
      <c r="N269" s="17" t="s">
        <v>191</v>
      </c>
      <c r="O269" s="134"/>
      <c r="Q269" s="176"/>
      <c r="R269" s="176"/>
      <c r="S269" s="176"/>
      <c r="T269" s="176"/>
      <c r="W269" s="17" t="s">
        <v>183</v>
      </c>
      <c r="X269" s="17" t="s">
        <v>183</v>
      </c>
      <c r="Y269" s="17" t="s">
        <v>183</v>
      </c>
      <c r="Z269" s="17" t="s">
        <v>183</v>
      </c>
      <c r="AA269" s="176" t="s">
        <v>691</v>
      </c>
      <c r="AB269" s="176" t="s">
        <v>663</v>
      </c>
      <c r="AC269" s="176" t="s">
        <v>524</v>
      </c>
      <c r="AD269" s="176" t="s">
        <v>523</v>
      </c>
      <c r="AE269" s="199" t="s">
        <v>692</v>
      </c>
      <c r="AF269" s="199" t="s">
        <v>692</v>
      </c>
      <c r="AG269" s="25" t="str">
        <f>_xlfn.XLOOKUP(F269,'TFS Details'!F:F,'TFS Details'!H:H)</f>
        <v>UAT In Test</v>
      </c>
      <c r="AH269" s="44">
        <v>18</v>
      </c>
      <c r="AI269" s="44">
        <v>0</v>
      </c>
      <c r="AJ269" s="44">
        <v>0</v>
      </c>
      <c r="AK269" s="44">
        <v>0</v>
      </c>
      <c r="AL269" s="40">
        <f t="shared" si="29"/>
        <v>18</v>
      </c>
      <c r="AM269" s="41">
        <f t="shared" si="30"/>
        <v>1</v>
      </c>
      <c r="AN269" s="41">
        <f t="shared" si="31"/>
        <v>1</v>
      </c>
      <c r="AO269" s="25" t="s">
        <v>519</v>
      </c>
      <c r="AP269" s="25" t="str">
        <f>_xlfn.XLOOKUP(F269,'TFS Details'!F:F,'TFS Details'!I:I)</f>
        <v>QDI - Opportunity Metrics</v>
      </c>
      <c r="AQ269" s="25" t="str">
        <f>_xlfn.XLOOKUP(AP269,'TFS Details'!I:I,'TFS Details'!AE:AE)</f>
        <v>n.d.krishnakumar</v>
      </c>
    </row>
    <row r="270" spans="1:43">
      <c r="A270" s="24" t="str">
        <f>_xlfn.XLOOKUP(F270,'TFS Details'!F:F,'TFS Details'!D:D)</f>
        <v>GEN AI</v>
      </c>
      <c r="B270" s="24" t="str">
        <f>_xlfn.XLOOKUP(F270,'TFS Details'!F:F,'TFS Details'!A:A)</f>
        <v>Retrospective Learnings - Opportunity Benchmarks</v>
      </c>
      <c r="C270" s="64">
        <f>_xlfn.XLOOKUP(F270,'TFS Details'!F:F,'TFS Details'!E:E)</f>
        <v>4223629</v>
      </c>
      <c r="D270" s="17" t="s">
        <v>36</v>
      </c>
      <c r="E270" s="73" t="s">
        <v>696</v>
      </c>
      <c r="F270" s="74">
        <v>4147642</v>
      </c>
      <c r="G270" s="73" t="s">
        <v>506</v>
      </c>
      <c r="H270" s="73" t="s">
        <v>505</v>
      </c>
      <c r="I270" s="73"/>
      <c r="J270" s="73" t="s">
        <v>667</v>
      </c>
      <c r="K270" s="97" t="s">
        <v>18</v>
      </c>
      <c r="L270" s="16" t="s">
        <v>633</v>
      </c>
      <c r="M270" s="16" t="s">
        <v>21</v>
      </c>
      <c r="N270" s="17" t="s">
        <v>191</v>
      </c>
      <c r="O270" s="134"/>
      <c r="Q270" s="176"/>
      <c r="R270" s="176"/>
      <c r="S270" s="176"/>
      <c r="T270" s="176"/>
      <c r="W270" s="17" t="s">
        <v>183</v>
      </c>
      <c r="X270" s="17" t="s">
        <v>183</v>
      </c>
      <c r="Y270" s="17" t="s">
        <v>183</v>
      </c>
      <c r="Z270" s="17" t="s">
        <v>183</v>
      </c>
      <c r="AA270" s="176">
        <v>60</v>
      </c>
      <c r="AB270" s="176">
        <v>38</v>
      </c>
      <c r="AC270" s="176">
        <v>2</v>
      </c>
      <c r="AD270" s="176">
        <v>11</v>
      </c>
      <c r="AE270" s="33">
        <v>0.78</v>
      </c>
      <c r="AF270" s="33">
        <v>0.7</v>
      </c>
      <c r="AG270" s="25" t="str">
        <f>_xlfn.XLOOKUP(F270,'TFS Details'!F:F,'TFS Details'!H:H)</f>
        <v>UAT In Test</v>
      </c>
      <c r="AH270" s="44">
        <v>11</v>
      </c>
      <c r="AI270" s="44">
        <v>0</v>
      </c>
      <c r="AJ270" s="44">
        <v>0</v>
      </c>
      <c r="AK270" s="44">
        <v>0</v>
      </c>
      <c r="AL270" s="40">
        <f t="shared" si="29"/>
        <v>11</v>
      </c>
      <c r="AM270" s="41">
        <f t="shared" si="30"/>
        <v>1</v>
      </c>
      <c r="AN270" s="41">
        <f t="shared" si="31"/>
        <v>1</v>
      </c>
      <c r="AO270" s="25"/>
      <c r="AP270" s="25" t="str">
        <f>_xlfn.XLOOKUP(F270,'TFS Details'!F:F,'TFS Details'!I:I)</f>
        <v>QDI - Opportunity Metrics</v>
      </c>
      <c r="AQ270" s="25" t="str">
        <f>_xlfn.XLOOKUP(AP270,'TFS Details'!I:I,'TFS Details'!AE:AE)</f>
        <v>n.d.krishnakumar</v>
      </c>
    </row>
    <row r="271" spans="1:43">
      <c r="A271" s="24" t="str">
        <f>_xlfn.XLOOKUP(F271,'TFS Details'!F:F,'TFS Details'!D:D)</f>
        <v>Gen AI</v>
      </c>
      <c r="B271" s="24" t="str">
        <f>_xlfn.XLOOKUP(F271,'TFS Details'!F:F,'TFS Details'!A:A)</f>
        <v>S2C Salesforce Enablement Across Configuration Flows</v>
      </c>
      <c r="C271" s="64">
        <f>_xlfn.XLOOKUP(F271,'TFS Details'!F:F,'TFS Details'!E:E)</f>
        <v>4373561</v>
      </c>
      <c r="D271" s="17" t="s">
        <v>36</v>
      </c>
      <c r="E271" s="73" t="s">
        <v>697</v>
      </c>
      <c r="F271" s="74">
        <v>4371529</v>
      </c>
      <c r="G271" s="73" t="s">
        <v>582</v>
      </c>
      <c r="H271" s="73" t="s">
        <v>641</v>
      </c>
      <c r="I271" s="73"/>
      <c r="J271" s="73"/>
      <c r="K271" s="97" t="s">
        <v>18</v>
      </c>
      <c r="L271" s="16" t="s">
        <v>698</v>
      </c>
      <c r="M271" s="16" t="s">
        <v>21</v>
      </c>
      <c r="N271" s="17" t="s">
        <v>191</v>
      </c>
      <c r="O271" s="134"/>
      <c r="Q271" s="176"/>
      <c r="R271" s="176"/>
      <c r="S271" s="176"/>
      <c r="T271" s="176"/>
      <c r="W271" s="17" t="s">
        <v>183</v>
      </c>
      <c r="X271" s="17" t="s">
        <v>183</v>
      </c>
      <c r="Y271" s="17" t="s">
        <v>183</v>
      </c>
      <c r="Z271" s="17" t="s">
        <v>183</v>
      </c>
      <c r="AA271" s="176">
        <v>60</v>
      </c>
      <c r="AB271" s="176">
        <v>20</v>
      </c>
      <c r="AC271" s="176">
        <v>0</v>
      </c>
      <c r="AD271" s="176">
        <v>20</v>
      </c>
      <c r="AE271" s="33">
        <v>0.8</v>
      </c>
      <c r="AF271" s="33">
        <v>0.9</v>
      </c>
      <c r="AG271" s="25" t="str">
        <f>_xlfn.XLOOKUP(F271,'TFS Details'!F:F,'TFS Details'!H:H)</f>
        <v>UAT In Test</v>
      </c>
      <c r="AH271" s="44">
        <v>20</v>
      </c>
      <c r="AI271" s="44">
        <v>0</v>
      </c>
      <c r="AJ271" s="44">
        <v>0</v>
      </c>
      <c r="AK271" s="44">
        <v>0</v>
      </c>
      <c r="AL271" s="40">
        <f t="shared" si="29"/>
        <v>20</v>
      </c>
      <c r="AM271" s="41">
        <f t="shared" si="30"/>
        <v>1</v>
      </c>
      <c r="AN271" s="41">
        <f t="shared" si="31"/>
        <v>1</v>
      </c>
      <c r="AO271" s="25" t="s">
        <v>434</v>
      </c>
      <c r="AP271" s="25" t="str">
        <f>_xlfn.XLOOKUP(F271,'TFS Details'!F:F,'TFS Details'!I:I)</f>
        <v>Solution to Contract</v>
      </c>
      <c r="AQ271" s="25" t="str">
        <f>_xlfn.XLOOKUP(AP271,'TFS Details'!I:I,'TFS Details'!AE:AE)</f>
        <v>n.d.krishnakumar</v>
      </c>
    </row>
    <row r="272" spans="1:43">
      <c r="A272" s="24" t="str">
        <f>_xlfn.XLOOKUP(F272,'TFS Details'!F:F,'TFS Details'!D:D)</f>
        <v>Gen AI</v>
      </c>
      <c r="B272" s="24" t="str">
        <f>_xlfn.XLOOKUP(F272,'TFS Details'!F:F,'TFS Details'!A:A)</f>
        <v>S2C Salesforce Enablement Across Configuration Flows</v>
      </c>
      <c r="C272" s="64">
        <f>_xlfn.XLOOKUP(F272,'TFS Details'!F:F,'TFS Details'!E:E)</f>
        <v>4373561</v>
      </c>
      <c r="D272" s="17" t="s">
        <v>36</v>
      </c>
      <c r="E272" s="73" t="s">
        <v>699</v>
      </c>
      <c r="F272" s="74">
        <v>4371574</v>
      </c>
      <c r="G272" s="73" t="s">
        <v>582</v>
      </c>
      <c r="H272" s="73" t="s">
        <v>641</v>
      </c>
      <c r="I272" s="73"/>
      <c r="J272" s="73"/>
      <c r="K272" s="97" t="s">
        <v>18</v>
      </c>
      <c r="L272" s="16" t="s">
        <v>698</v>
      </c>
      <c r="M272" s="16" t="s">
        <v>21</v>
      </c>
      <c r="N272" s="17" t="s">
        <v>191</v>
      </c>
      <c r="O272" s="134"/>
      <c r="Q272" s="176"/>
      <c r="R272" s="176"/>
      <c r="S272" s="176"/>
      <c r="T272" s="176"/>
      <c r="W272" s="17" t="s">
        <v>183</v>
      </c>
      <c r="X272" s="17" t="s">
        <v>183</v>
      </c>
      <c r="Y272" s="17" t="s">
        <v>183</v>
      </c>
      <c r="Z272" s="17" t="s">
        <v>183</v>
      </c>
      <c r="AA272" s="176">
        <v>66</v>
      </c>
      <c r="AB272" s="176">
        <v>18</v>
      </c>
      <c r="AC272" s="176">
        <v>0</v>
      </c>
      <c r="AD272" s="176">
        <v>18</v>
      </c>
      <c r="AE272" s="33">
        <v>1</v>
      </c>
      <c r="AF272" s="33">
        <v>0.9</v>
      </c>
      <c r="AG272" s="25" t="str">
        <f>_xlfn.XLOOKUP(F272,'TFS Details'!F:F,'TFS Details'!H:H)</f>
        <v>UAT In Test</v>
      </c>
      <c r="AH272" s="44">
        <v>18</v>
      </c>
      <c r="AI272" s="44">
        <v>0</v>
      </c>
      <c r="AJ272" s="44">
        <v>0</v>
      </c>
      <c r="AK272" s="44">
        <v>0</v>
      </c>
      <c r="AL272" s="40">
        <f t="shared" si="29"/>
        <v>18</v>
      </c>
      <c r="AM272" s="41">
        <f t="shared" si="30"/>
        <v>1</v>
      </c>
      <c r="AN272" s="41">
        <f t="shared" si="31"/>
        <v>1</v>
      </c>
      <c r="AO272" s="25" t="s">
        <v>434</v>
      </c>
      <c r="AP272" s="25" t="str">
        <f>_xlfn.XLOOKUP(F272,'TFS Details'!F:F,'TFS Details'!I:I)</f>
        <v>Solution to Contract</v>
      </c>
      <c r="AQ272" s="25" t="str">
        <f>_xlfn.XLOOKUP(AP272,'TFS Details'!I:I,'TFS Details'!AE:AE)</f>
        <v>n.d.krishnakumar</v>
      </c>
    </row>
    <row r="273" spans="1:43">
      <c r="A273" s="24" t="str">
        <f>_xlfn.XLOOKUP(F273,'TFS Details'!F:F,'TFS Details'!D:D)</f>
        <v>Gen AI</v>
      </c>
      <c r="B273" s="24" t="str">
        <f>_xlfn.XLOOKUP(F273,'TFS Details'!F:F,'TFS Details'!A:A)</f>
        <v>S2C Salesforce Enablement Across Configuration Flows</v>
      </c>
      <c r="C273" s="64">
        <f>_xlfn.XLOOKUP(F273,'TFS Details'!F:F,'TFS Details'!E:E)</f>
        <v>4373561</v>
      </c>
      <c r="D273" s="17" t="s">
        <v>36</v>
      </c>
      <c r="E273" s="73" t="s">
        <v>700</v>
      </c>
      <c r="F273" s="74">
        <v>4371614</v>
      </c>
      <c r="G273" s="73" t="s">
        <v>527</v>
      </c>
      <c r="H273" s="73" t="s">
        <v>526</v>
      </c>
      <c r="I273" s="73"/>
      <c r="J273" s="73" t="s">
        <v>113</v>
      </c>
      <c r="K273" s="97" t="s">
        <v>18</v>
      </c>
      <c r="L273" s="16" t="s">
        <v>701</v>
      </c>
      <c r="M273" s="16" t="s">
        <v>28</v>
      </c>
      <c r="N273" s="17"/>
      <c r="O273" s="134"/>
      <c r="Q273" s="176"/>
      <c r="R273" s="176"/>
      <c r="S273" s="176"/>
      <c r="T273" s="176"/>
      <c r="W273" s="17" t="s">
        <v>183</v>
      </c>
      <c r="X273" s="17" t="s">
        <v>183</v>
      </c>
      <c r="Y273" s="17" t="s">
        <v>183</v>
      </c>
      <c r="Z273" s="17" t="s">
        <v>183</v>
      </c>
      <c r="AA273" s="176">
        <v>25</v>
      </c>
      <c r="AB273" s="176">
        <v>25</v>
      </c>
      <c r="AC273" s="176">
        <v>0</v>
      </c>
      <c r="AD273" s="176">
        <v>25</v>
      </c>
      <c r="AE273" s="33">
        <v>1</v>
      </c>
      <c r="AF273" s="33">
        <v>1</v>
      </c>
      <c r="AG273" s="25" t="str">
        <f>_xlfn.XLOOKUP(F273,'TFS Details'!F:F,'TFS Details'!H:H)</f>
        <v>UAT In Test</v>
      </c>
      <c r="AH273" s="44">
        <v>25</v>
      </c>
      <c r="AI273" s="44">
        <v>0</v>
      </c>
      <c r="AJ273" s="44">
        <v>0</v>
      </c>
      <c r="AK273" s="44">
        <v>0</v>
      </c>
      <c r="AL273" s="40">
        <f t="shared" si="29"/>
        <v>25</v>
      </c>
      <c r="AM273" s="41">
        <f t="shared" si="30"/>
        <v>1</v>
      </c>
      <c r="AN273" s="41">
        <f t="shared" si="31"/>
        <v>1</v>
      </c>
      <c r="AO273" s="25" t="s">
        <v>434</v>
      </c>
      <c r="AP273" s="25" t="str">
        <f>_xlfn.XLOOKUP(F273,'TFS Details'!F:F,'TFS Details'!I:I)</f>
        <v>Solution to Contract</v>
      </c>
      <c r="AQ273" s="25" t="str">
        <f>_xlfn.XLOOKUP(AP273,'TFS Details'!I:I,'TFS Details'!AE:AE)</f>
        <v>n.d.krishnakumar</v>
      </c>
    </row>
    <row r="274" spans="1:43">
      <c r="A274" s="24" t="str">
        <f>_xlfn.XLOOKUP(F274,'TFS Details'!F:F,'TFS Details'!D:D)</f>
        <v>Gen AI</v>
      </c>
      <c r="B274" s="24" t="str">
        <f>_xlfn.XLOOKUP(F274,'TFS Details'!F:F,'TFS Details'!A:A)</f>
        <v>S2C Salesforce Enablement Across Configuration Flows</v>
      </c>
      <c r="C274" s="64">
        <f>_xlfn.XLOOKUP(F274,'TFS Details'!F:F,'TFS Details'!E:E)</f>
        <v>4373561</v>
      </c>
      <c r="D274" s="17" t="s">
        <v>36</v>
      </c>
      <c r="E274" s="73" t="s">
        <v>702</v>
      </c>
      <c r="F274" s="74">
        <v>4371751</v>
      </c>
      <c r="G274" s="73" t="s">
        <v>582</v>
      </c>
      <c r="H274" s="73" t="s">
        <v>641</v>
      </c>
      <c r="I274" s="73"/>
      <c r="J274" s="73"/>
      <c r="K274" s="97" t="s">
        <v>18</v>
      </c>
      <c r="L274" s="16" t="s">
        <v>698</v>
      </c>
      <c r="M274" s="16" t="s">
        <v>21</v>
      </c>
      <c r="N274" s="17" t="s">
        <v>191</v>
      </c>
      <c r="O274" s="134"/>
      <c r="Q274" s="176"/>
      <c r="R274" s="176"/>
      <c r="S274" s="176"/>
      <c r="T274" s="176"/>
      <c r="W274" s="17" t="s">
        <v>183</v>
      </c>
      <c r="X274" s="17" t="s">
        <v>183</v>
      </c>
      <c r="Y274" s="17" t="s">
        <v>183</v>
      </c>
      <c r="Z274" s="17" t="s">
        <v>183</v>
      </c>
      <c r="AA274" s="176">
        <v>80</v>
      </c>
      <c r="AB274" s="176">
        <v>19</v>
      </c>
      <c r="AC274" s="176">
        <v>2</v>
      </c>
      <c r="AD274" s="176">
        <v>21</v>
      </c>
      <c r="AE274" s="33">
        <v>0.8</v>
      </c>
      <c r="AF274" s="33">
        <v>0.7</v>
      </c>
      <c r="AG274" s="25" t="str">
        <f>_xlfn.XLOOKUP(F274,'TFS Details'!F:F,'TFS Details'!H:H)</f>
        <v>UAT In Test</v>
      </c>
      <c r="AH274" s="44">
        <v>21</v>
      </c>
      <c r="AI274" s="44">
        <v>0</v>
      </c>
      <c r="AJ274" s="44">
        <v>0</v>
      </c>
      <c r="AK274" s="44">
        <v>0</v>
      </c>
      <c r="AL274" s="40">
        <f t="shared" si="29"/>
        <v>21</v>
      </c>
      <c r="AM274" s="41">
        <f t="shared" si="30"/>
        <v>1</v>
      </c>
      <c r="AN274" s="41">
        <f t="shared" si="31"/>
        <v>1</v>
      </c>
      <c r="AO274" s="25" t="s">
        <v>434</v>
      </c>
      <c r="AP274" s="25" t="str">
        <f>_xlfn.XLOOKUP(F274,'TFS Details'!F:F,'TFS Details'!I:I)</f>
        <v>Solution to Contract</v>
      </c>
      <c r="AQ274" s="25" t="str">
        <f>_xlfn.XLOOKUP(AP274,'TFS Details'!I:I,'TFS Details'!AE:AE)</f>
        <v>n.d.krishnakumar</v>
      </c>
    </row>
    <row r="275" spans="1:43">
      <c r="A275" s="24" t="str">
        <f>_xlfn.XLOOKUP(F275,'TFS Details'!F:F,'TFS Details'!D:D)</f>
        <v>Gen AI</v>
      </c>
      <c r="B275" s="24" t="str">
        <f>_xlfn.XLOOKUP(F275,'TFS Details'!F:F,'TFS Details'!A:A)</f>
        <v>S2C Salesforce Enablement Across Configuration Flows</v>
      </c>
      <c r="C275" s="64">
        <f>_xlfn.XLOOKUP(F275,'TFS Details'!F:F,'TFS Details'!E:E)</f>
        <v>4373561</v>
      </c>
      <c r="D275" s="17" t="s">
        <v>36</v>
      </c>
      <c r="E275" s="73" t="s">
        <v>703</v>
      </c>
      <c r="F275" s="74">
        <v>4371760</v>
      </c>
      <c r="G275" s="73" t="s">
        <v>582</v>
      </c>
      <c r="H275" s="73" t="s">
        <v>641</v>
      </c>
      <c r="I275" s="73"/>
      <c r="J275" s="73"/>
      <c r="K275" s="97" t="s">
        <v>18</v>
      </c>
      <c r="L275" s="16" t="s">
        <v>698</v>
      </c>
      <c r="M275" s="16" t="s">
        <v>21</v>
      </c>
      <c r="N275" s="17" t="s">
        <v>191</v>
      </c>
      <c r="O275" s="134"/>
      <c r="Q275" s="176"/>
      <c r="R275" s="176"/>
      <c r="S275" s="176"/>
      <c r="T275" s="176"/>
      <c r="W275" s="17" t="s">
        <v>183</v>
      </c>
      <c r="X275" s="17" t="s">
        <v>183</v>
      </c>
      <c r="Y275" s="17" t="s">
        <v>183</v>
      </c>
      <c r="Z275" s="17" t="s">
        <v>183</v>
      </c>
      <c r="AA275" s="176">
        <v>60</v>
      </c>
      <c r="AB275" s="176">
        <v>21</v>
      </c>
      <c r="AC275" s="176">
        <v>0</v>
      </c>
      <c r="AD275" s="176">
        <v>21</v>
      </c>
      <c r="AE275" s="33">
        <v>1</v>
      </c>
      <c r="AF275" s="33">
        <v>0.9</v>
      </c>
      <c r="AG275" s="25" t="str">
        <f>_xlfn.XLOOKUP(F275,'TFS Details'!F:F,'TFS Details'!H:H)</f>
        <v>UAT In Test</v>
      </c>
      <c r="AH275" s="44">
        <v>21</v>
      </c>
      <c r="AI275" s="44">
        <v>0</v>
      </c>
      <c r="AJ275" s="44">
        <v>0</v>
      </c>
      <c r="AK275" s="44">
        <v>0</v>
      </c>
      <c r="AL275" s="40">
        <f t="shared" ref="AL275:AL301" si="32">SUM(AH275:AK275)</f>
        <v>21</v>
      </c>
      <c r="AM275" s="41">
        <f t="shared" si="30"/>
        <v>1</v>
      </c>
      <c r="AN275" s="41">
        <f t="shared" si="31"/>
        <v>1</v>
      </c>
      <c r="AO275" s="25" t="s">
        <v>434</v>
      </c>
      <c r="AP275" s="25" t="str">
        <f>_xlfn.XLOOKUP(F275,'TFS Details'!F:F,'TFS Details'!I:I)</f>
        <v>Solution to Contract</v>
      </c>
      <c r="AQ275" s="25" t="str">
        <f>_xlfn.XLOOKUP(AP275,'TFS Details'!I:I,'TFS Details'!AE:AE)</f>
        <v>n.d.krishnakumar</v>
      </c>
    </row>
    <row r="276" spans="1:43">
      <c r="A276" s="24" t="str">
        <f>_xlfn.XLOOKUP(F276,'TFS Details'!F:F,'TFS Details'!D:D)</f>
        <v>Gen AI</v>
      </c>
      <c r="B276" s="24" t="str">
        <f>_xlfn.XLOOKUP(F276,'TFS Details'!F:F,'TFS Details'!A:A)</f>
        <v>S2C Salesforce Enablement Across Configuration Flows</v>
      </c>
      <c r="C276" s="64">
        <f>_xlfn.XLOOKUP(F276,'TFS Details'!F:F,'TFS Details'!E:E)</f>
        <v>4373561</v>
      </c>
      <c r="D276" s="17" t="s">
        <v>36</v>
      </c>
      <c r="E276" s="73" t="s">
        <v>704</v>
      </c>
      <c r="F276" s="74">
        <v>4368209</v>
      </c>
      <c r="G276" s="73" t="s">
        <v>582</v>
      </c>
      <c r="H276" s="73" t="s">
        <v>641</v>
      </c>
      <c r="I276" s="73"/>
      <c r="J276" s="73"/>
      <c r="K276" s="97" t="s">
        <v>18</v>
      </c>
      <c r="L276" s="16" t="s">
        <v>705</v>
      </c>
      <c r="M276" s="16" t="s">
        <v>21</v>
      </c>
      <c r="N276" s="17" t="s">
        <v>191</v>
      </c>
      <c r="O276" s="134"/>
      <c r="Q276" s="176"/>
      <c r="R276" s="176"/>
      <c r="S276" s="176"/>
      <c r="T276" s="176"/>
      <c r="W276" s="17" t="s">
        <v>183</v>
      </c>
      <c r="X276" s="17" t="s">
        <v>183</v>
      </c>
      <c r="Y276" s="17" t="s">
        <v>183</v>
      </c>
      <c r="Z276" s="17" t="s">
        <v>183</v>
      </c>
      <c r="AA276" s="176">
        <v>60</v>
      </c>
      <c r="AB276" s="176">
        <v>23</v>
      </c>
      <c r="AC276" s="176">
        <v>0</v>
      </c>
      <c r="AD276" s="176">
        <v>23</v>
      </c>
      <c r="AE276" s="33">
        <v>0.8</v>
      </c>
      <c r="AF276" s="33">
        <v>0.8</v>
      </c>
      <c r="AG276" s="25" t="str">
        <f>_xlfn.XLOOKUP(F276,'TFS Details'!F:F,'TFS Details'!H:H)</f>
        <v>UAT In Test</v>
      </c>
      <c r="AH276" s="44">
        <v>23</v>
      </c>
      <c r="AI276" s="44">
        <v>0</v>
      </c>
      <c r="AJ276" s="44">
        <v>0</v>
      </c>
      <c r="AK276" s="44">
        <v>0</v>
      </c>
      <c r="AL276" s="40">
        <f t="shared" si="32"/>
        <v>23</v>
      </c>
      <c r="AM276" s="41">
        <f t="shared" si="30"/>
        <v>1</v>
      </c>
      <c r="AN276" s="41">
        <f t="shared" si="31"/>
        <v>1</v>
      </c>
      <c r="AO276" s="25" t="s">
        <v>434</v>
      </c>
      <c r="AP276" s="25" t="str">
        <f>_xlfn.XLOOKUP(F276,'TFS Details'!F:F,'TFS Details'!I:I)</f>
        <v>Solution to Contract</v>
      </c>
      <c r="AQ276" s="25" t="str">
        <f>_xlfn.XLOOKUP(AP276,'TFS Details'!I:I,'TFS Details'!AE:AE)</f>
        <v>n.d.krishnakumar</v>
      </c>
    </row>
    <row r="277" spans="1:43">
      <c r="A277" s="24" t="str">
        <f>_xlfn.XLOOKUP(F277,'TFS Details'!F:F,'TFS Details'!D:D)</f>
        <v>Gen AI</v>
      </c>
      <c r="B277" s="24" t="str">
        <f>_xlfn.XLOOKUP(F277,'TFS Details'!F:F,'TFS Details'!A:A)</f>
        <v>S2C Salesforce Enablement Across Configuration Flows</v>
      </c>
      <c r="C277" s="64">
        <f>_xlfn.XLOOKUP(F277,'TFS Details'!F:F,'TFS Details'!E:E)</f>
        <v>4373561</v>
      </c>
      <c r="D277" s="17" t="s">
        <v>36</v>
      </c>
      <c r="E277" s="73" t="s">
        <v>706</v>
      </c>
      <c r="F277" s="74">
        <v>4368225</v>
      </c>
      <c r="G277" s="73" t="s">
        <v>527</v>
      </c>
      <c r="H277" s="73" t="s">
        <v>526</v>
      </c>
      <c r="I277" s="73"/>
      <c r="J277" s="73" t="s">
        <v>113</v>
      </c>
      <c r="K277" s="97" t="s">
        <v>18</v>
      </c>
      <c r="L277" s="16" t="s">
        <v>707</v>
      </c>
      <c r="M277" s="16" t="s">
        <v>21</v>
      </c>
      <c r="N277" s="17"/>
      <c r="O277" s="134"/>
      <c r="Q277" s="176"/>
      <c r="R277" s="176"/>
      <c r="S277" s="176"/>
      <c r="T277" s="176"/>
      <c r="W277" s="17" t="s">
        <v>183</v>
      </c>
      <c r="X277" s="17" t="s">
        <v>183</v>
      </c>
      <c r="Y277" s="17" t="s">
        <v>183</v>
      </c>
      <c r="Z277" s="17" t="s">
        <v>183</v>
      </c>
      <c r="AA277" s="176">
        <v>60</v>
      </c>
      <c r="AB277" s="176">
        <v>22</v>
      </c>
      <c r="AC277" s="176">
        <v>3</v>
      </c>
      <c r="AD277" s="176">
        <v>22</v>
      </c>
      <c r="AE277" s="33">
        <v>0.7</v>
      </c>
      <c r="AF277" s="33">
        <v>1</v>
      </c>
      <c r="AG277" s="25" t="str">
        <f>_xlfn.XLOOKUP(F277,'TFS Details'!F:F,'TFS Details'!H:H)</f>
        <v>UAT In Test</v>
      </c>
      <c r="AH277" s="44">
        <v>22</v>
      </c>
      <c r="AI277" s="44">
        <v>0</v>
      </c>
      <c r="AJ277" s="44">
        <v>0</v>
      </c>
      <c r="AK277" s="44">
        <v>0</v>
      </c>
      <c r="AL277" s="40">
        <f t="shared" si="32"/>
        <v>22</v>
      </c>
      <c r="AM277" s="41">
        <f t="shared" si="30"/>
        <v>1</v>
      </c>
      <c r="AN277" s="41">
        <f t="shared" si="31"/>
        <v>1</v>
      </c>
      <c r="AO277" s="203" t="s">
        <v>536</v>
      </c>
      <c r="AP277" s="25" t="str">
        <f>_xlfn.XLOOKUP(F277,'TFS Details'!F:F,'TFS Details'!I:I)</f>
        <v>Solution to Contract</v>
      </c>
      <c r="AQ277" s="25" t="str">
        <f>_xlfn.XLOOKUP(AP277,'TFS Details'!I:I,'TFS Details'!AE:AE)</f>
        <v>n.d.krishnakumar</v>
      </c>
    </row>
    <row r="278" spans="1:43">
      <c r="A278" s="24" t="str">
        <f>_xlfn.XLOOKUP(F278,'TFS Details'!F:F,'TFS Details'!D:D)</f>
        <v>Gen AI</v>
      </c>
      <c r="B278" s="24" t="str">
        <f>_xlfn.XLOOKUP(F278,'TFS Details'!F:F,'TFS Details'!A:A)</f>
        <v>S2C Salesforce Enablement Across Configuration Flows</v>
      </c>
      <c r="C278" s="64">
        <f>_xlfn.XLOOKUP(F278,'TFS Details'!F:F,'TFS Details'!E:E)</f>
        <v>4373561</v>
      </c>
      <c r="D278" s="17" t="s">
        <v>36</v>
      </c>
      <c r="E278" s="73" t="s">
        <v>708</v>
      </c>
      <c r="F278" s="74">
        <v>4368226</v>
      </c>
      <c r="G278" s="73" t="s">
        <v>527</v>
      </c>
      <c r="H278" s="73" t="s">
        <v>526</v>
      </c>
      <c r="I278" s="73"/>
      <c r="J278" s="73" t="s">
        <v>113</v>
      </c>
      <c r="K278" s="97" t="s">
        <v>18</v>
      </c>
      <c r="L278" s="16" t="s">
        <v>707</v>
      </c>
      <c r="M278" s="16" t="s">
        <v>21</v>
      </c>
      <c r="N278" s="17"/>
      <c r="O278" s="134"/>
      <c r="Q278" s="176"/>
      <c r="R278" s="176"/>
      <c r="S278" s="176"/>
      <c r="T278" s="176"/>
      <c r="W278" s="17" t="s">
        <v>183</v>
      </c>
      <c r="X278" s="17" t="s">
        <v>183</v>
      </c>
      <c r="Y278" s="17" t="s">
        <v>183</v>
      </c>
      <c r="Z278" s="17" t="s">
        <v>183</v>
      </c>
      <c r="AA278" s="176">
        <v>50</v>
      </c>
      <c r="AB278" s="176">
        <v>28</v>
      </c>
      <c r="AC278" s="176">
        <v>3</v>
      </c>
      <c r="AD278" s="176">
        <v>28</v>
      </c>
      <c r="AE278" s="33">
        <v>0.8</v>
      </c>
      <c r="AF278" s="33">
        <v>1</v>
      </c>
      <c r="AG278" s="25" t="str">
        <f>_xlfn.XLOOKUP(F278,'TFS Details'!F:F,'TFS Details'!H:H)</f>
        <v>UAT In Test</v>
      </c>
      <c r="AH278" s="44">
        <v>28</v>
      </c>
      <c r="AI278" s="44">
        <v>0</v>
      </c>
      <c r="AJ278" s="44">
        <v>0</v>
      </c>
      <c r="AK278" s="44">
        <v>0</v>
      </c>
      <c r="AL278" s="40">
        <f t="shared" si="32"/>
        <v>28</v>
      </c>
      <c r="AM278" s="41">
        <f t="shared" si="30"/>
        <v>1</v>
      </c>
      <c r="AN278" s="41">
        <f t="shared" si="31"/>
        <v>1</v>
      </c>
      <c r="AO278" s="203" t="s">
        <v>536</v>
      </c>
      <c r="AP278" s="25" t="str">
        <f>_xlfn.XLOOKUP(F278,'TFS Details'!F:F,'TFS Details'!I:I)</f>
        <v>Solution to Contract</v>
      </c>
      <c r="AQ278" s="25" t="str">
        <f>_xlfn.XLOOKUP(AP278,'TFS Details'!I:I,'TFS Details'!AE:AE)</f>
        <v>n.d.krishnakumar</v>
      </c>
    </row>
    <row r="279" spans="1:43">
      <c r="A279" s="24" t="str">
        <f>_xlfn.XLOOKUP(F279,'TFS Details'!F:F,'TFS Details'!D:D)</f>
        <v>Gen AI</v>
      </c>
      <c r="B279" s="24" t="str">
        <f>_xlfn.XLOOKUP(F279,'TFS Details'!F:F,'TFS Details'!A:A)</f>
        <v>One-Click Review File – Excel Download with Nudge Details and DSP File Links</v>
      </c>
      <c r="C279" s="64">
        <f>_xlfn.XLOOKUP(F279,'TFS Details'!F:F,'TFS Details'!E:E)</f>
        <v>4319556</v>
      </c>
      <c r="D279" s="17" t="s">
        <v>36</v>
      </c>
      <c r="E279" s="73" t="s">
        <v>709</v>
      </c>
      <c r="F279" s="74">
        <v>4319555</v>
      </c>
      <c r="G279" s="73" t="s">
        <v>491</v>
      </c>
      <c r="H279" s="73" t="s">
        <v>490</v>
      </c>
      <c r="I279" s="201"/>
      <c r="J279" s="201" t="s">
        <v>92</v>
      </c>
      <c r="K279" s="97" t="s">
        <v>18</v>
      </c>
      <c r="L279" s="16" t="s">
        <v>710</v>
      </c>
      <c r="M279" s="97" t="s">
        <v>34</v>
      </c>
      <c r="N279" s="17"/>
      <c r="O279" s="134"/>
      <c r="Q279" s="176"/>
      <c r="R279" s="176"/>
      <c r="S279" s="176"/>
      <c r="T279" s="176"/>
      <c r="W279" s="17" t="s">
        <v>183</v>
      </c>
      <c r="X279" s="17" t="s">
        <v>183</v>
      </c>
      <c r="Y279" s="17" t="s">
        <v>183</v>
      </c>
      <c r="Z279" s="17" t="s">
        <v>183</v>
      </c>
      <c r="AA279" s="176">
        <v>24</v>
      </c>
      <c r="AB279" s="176">
        <v>8</v>
      </c>
      <c r="AC279" s="176">
        <v>3</v>
      </c>
      <c r="AD279" s="176">
        <v>11</v>
      </c>
      <c r="AE279" s="33">
        <v>0.8</v>
      </c>
      <c r="AF279" s="33">
        <v>0.8</v>
      </c>
      <c r="AG279" s="25" t="str">
        <f>_xlfn.XLOOKUP(F279,'TFS Details'!F:F,'TFS Details'!H:H)</f>
        <v>UAT In Test</v>
      </c>
      <c r="AH279" s="44">
        <v>11</v>
      </c>
      <c r="AI279" s="44">
        <v>0</v>
      </c>
      <c r="AJ279" s="44">
        <v>0</v>
      </c>
      <c r="AK279" s="44">
        <v>0</v>
      </c>
      <c r="AL279" s="40">
        <f t="shared" si="32"/>
        <v>11</v>
      </c>
      <c r="AM279" s="41">
        <f t="shared" si="30"/>
        <v>1</v>
      </c>
      <c r="AN279" s="41">
        <f t="shared" si="31"/>
        <v>1</v>
      </c>
      <c r="AO279" s="25" t="s">
        <v>711</v>
      </c>
      <c r="AP279" s="25" t="str">
        <f>_xlfn.XLOOKUP(F279,'TFS Details'!F:F,'TFS Details'!I:I)</f>
        <v>Solution to Contract</v>
      </c>
      <c r="AQ279" s="25" t="str">
        <f>_xlfn.XLOOKUP(AP279,'TFS Details'!I:I,'TFS Details'!AE:AE)</f>
        <v>n.d.krishnakumar</v>
      </c>
    </row>
    <row r="280" spans="1:43">
      <c r="A280" s="24" t="str">
        <f>_xlfn.XLOOKUP(F280,'TFS Details'!F:F,'TFS Details'!D:D)</f>
        <v>Gen AI</v>
      </c>
      <c r="B280" s="24" t="str">
        <f>_xlfn.XLOOKUP(F280,'TFS Details'!F:F,'TFS Details'!A:A)</f>
        <v>S2C_UI and Role Access  changes</v>
      </c>
      <c r="C280" s="64">
        <f>_xlfn.XLOOKUP(F280,'TFS Details'!F:F,'TFS Details'!E:E)</f>
        <v>4317766</v>
      </c>
      <c r="D280" s="17" t="s">
        <v>36</v>
      </c>
      <c r="E280" s="73" t="s">
        <v>712</v>
      </c>
      <c r="F280" s="74">
        <v>4314722</v>
      </c>
      <c r="G280" s="73" t="s">
        <v>491</v>
      </c>
      <c r="H280" s="73" t="s">
        <v>490</v>
      </c>
      <c r="I280" s="73"/>
      <c r="J280" s="73" t="s">
        <v>92</v>
      </c>
      <c r="K280" s="97" t="s">
        <v>18</v>
      </c>
      <c r="L280" s="16" t="s">
        <v>713</v>
      </c>
      <c r="M280" s="16" t="s">
        <v>54</v>
      </c>
      <c r="N280" s="17"/>
      <c r="O280" s="134"/>
      <c r="Q280" s="176"/>
      <c r="R280" s="176"/>
      <c r="S280" s="176"/>
      <c r="T280" s="176"/>
      <c r="W280" s="17" t="s">
        <v>183</v>
      </c>
      <c r="X280" s="17" t="s">
        <v>183</v>
      </c>
      <c r="Y280" s="17" t="s">
        <v>183</v>
      </c>
      <c r="Z280" s="17" t="s">
        <v>183</v>
      </c>
      <c r="AA280" s="176">
        <v>27</v>
      </c>
      <c r="AB280" s="176">
        <v>15</v>
      </c>
      <c r="AC280" s="176">
        <v>0</v>
      </c>
      <c r="AD280" s="176">
        <v>12</v>
      </c>
      <c r="AE280" s="33">
        <v>0.9</v>
      </c>
      <c r="AF280" s="33">
        <v>0.9</v>
      </c>
      <c r="AG280" s="25" t="str">
        <f>_xlfn.XLOOKUP(F280,'TFS Details'!F:F,'TFS Details'!H:H)</f>
        <v>UAT In Test</v>
      </c>
      <c r="AH280" s="44">
        <v>12</v>
      </c>
      <c r="AI280" s="44">
        <v>0</v>
      </c>
      <c r="AJ280" s="44">
        <v>0</v>
      </c>
      <c r="AK280" s="44">
        <v>0</v>
      </c>
      <c r="AL280" s="40">
        <v>12</v>
      </c>
      <c r="AM280" s="41">
        <f t="shared" si="30"/>
        <v>1</v>
      </c>
      <c r="AN280" s="41">
        <f t="shared" si="31"/>
        <v>1</v>
      </c>
      <c r="AO280" s="25" t="s">
        <v>606</v>
      </c>
      <c r="AP280" s="25" t="str">
        <f>_xlfn.XLOOKUP(F280,'TFS Details'!F:F,'TFS Details'!I:I)</f>
        <v>Solution to Contract</v>
      </c>
      <c r="AQ280" s="25" t="str">
        <f>_xlfn.XLOOKUP(AP280,'TFS Details'!I:I,'TFS Details'!AE:AE)</f>
        <v>n.d.krishnakumar</v>
      </c>
    </row>
    <row r="281" spans="1:43">
      <c r="A281" s="24" t="str">
        <f>_xlfn.XLOOKUP(F281,'TFS Details'!F:F,'TFS Details'!D:D)</f>
        <v>Gen AI</v>
      </c>
      <c r="B281" s="24" t="str">
        <f>_xlfn.XLOOKUP(F281,'TFS Details'!F:F,'TFS Details'!A:A)</f>
        <v>S2C_UI and Role Access  changes</v>
      </c>
      <c r="C281" s="64">
        <f>_xlfn.XLOOKUP(F281,'TFS Details'!F:F,'TFS Details'!E:E)</f>
        <v>4317766</v>
      </c>
      <c r="D281" s="17" t="s">
        <v>36</v>
      </c>
      <c r="E281" s="73" t="s">
        <v>714</v>
      </c>
      <c r="F281" s="74">
        <v>4269661</v>
      </c>
      <c r="G281" s="73" t="s">
        <v>491</v>
      </c>
      <c r="H281" s="73" t="s">
        <v>490</v>
      </c>
      <c r="I281" s="73"/>
      <c r="J281" s="73" t="s">
        <v>92</v>
      </c>
      <c r="K281" s="97" t="s">
        <v>18</v>
      </c>
      <c r="L281" s="16" t="s">
        <v>715</v>
      </c>
      <c r="M281" s="16" t="s">
        <v>21</v>
      </c>
      <c r="N281" s="17"/>
      <c r="O281" s="134"/>
      <c r="Q281" s="176"/>
      <c r="R281" s="176"/>
      <c r="S281" s="176"/>
      <c r="T281" s="176"/>
      <c r="W281" s="17" t="s">
        <v>183</v>
      </c>
      <c r="X281" s="17" t="s">
        <v>183</v>
      </c>
      <c r="Y281" s="17" t="s">
        <v>183</v>
      </c>
      <c r="Z281" s="17" t="s">
        <v>183</v>
      </c>
      <c r="AA281" s="176">
        <v>24</v>
      </c>
      <c r="AB281" s="176">
        <v>4</v>
      </c>
      <c r="AC281" s="176">
        <v>2</v>
      </c>
      <c r="AD281" s="176">
        <v>6</v>
      </c>
      <c r="AE281" s="33">
        <v>0.5</v>
      </c>
      <c r="AF281" s="33">
        <v>0.5</v>
      </c>
      <c r="AG281" s="25" t="str">
        <f>_xlfn.XLOOKUP(F281,'TFS Details'!F:F,'TFS Details'!H:H)</f>
        <v>UAT In Test</v>
      </c>
      <c r="AH281" s="44">
        <v>6</v>
      </c>
      <c r="AI281" s="44">
        <v>0</v>
      </c>
      <c r="AJ281" s="44">
        <v>0</v>
      </c>
      <c r="AK281" s="44">
        <v>0</v>
      </c>
      <c r="AL281" s="40">
        <f t="shared" si="32"/>
        <v>6</v>
      </c>
      <c r="AM281" s="41">
        <f t="shared" si="30"/>
        <v>1</v>
      </c>
      <c r="AN281" s="41">
        <f t="shared" si="31"/>
        <v>1</v>
      </c>
      <c r="AO281" s="25" t="s">
        <v>711</v>
      </c>
      <c r="AP281" s="25" t="str">
        <f>_xlfn.XLOOKUP(F281,'TFS Details'!F:F,'TFS Details'!I:I)</f>
        <v>Solution to Contract</v>
      </c>
      <c r="AQ281" s="25" t="str">
        <f>_xlfn.XLOOKUP(AP281,'TFS Details'!I:I,'TFS Details'!AE:AE)</f>
        <v>n.d.krishnakumar</v>
      </c>
    </row>
    <row r="282" spans="1:43">
      <c r="A282" s="24" t="str">
        <f>_xlfn.XLOOKUP(F282,'TFS Details'!F:F,'TFS Details'!D:D)</f>
        <v>GEN AI</v>
      </c>
      <c r="B282" s="24" t="str">
        <f>_xlfn.XLOOKUP(F282,'TFS Details'!F:F,'TFS Details'!A:A)</f>
        <v>March Release DLC Revamp - Gen AI</v>
      </c>
      <c r="C282" s="64">
        <f>_xlfn.XLOOKUP(F282,'TFS Details'!F:F,'TFS Details'!E:E)</f>
        <v>4260380</v>
      </c>
      <c r="D282" s="17" t="s">
        <v>36</v>
      </c>
      <c r="E282" s="73" t="s">
        <v>716</v>
      </c>
      <c r="F282" s="74">
        <v>4387310</v>
      </c>
      <c r="G282" s="73" t="s">
        <v>569</v>
      </c>
      <c r="H282" s="73" t="s">
        <v>593</v>
      </c>
      <c r="I282" s="73"/>
      <c r="J282" s="73"/>
      <c r="K282" s="97" t="s">
        <v>18</v>
      </c>
      <c r="L282" s="16" t="s">
        <v>717</v>
      </c>
      <c r="M282" s="16" t="s">
        <v>54</v>
      </c>
      <c r="N282" s="17" t="s">
        <v>191</v>
      </c>
      <c r="O282" s="134"/>
      <c r="Q282" s="176"/>
      <c r="R282" s="176"/>
      <c r="S282" s="176"/>
      <c r="T282" s="176"/>
      <c r="W282" s="17" t="s">
        <v>183</v>
      </c>
      <c r="X282" s="17" t="s">
        <v>183</v>
      </c>
      <c r="Y282" s="17" t="s">
        <v>183</v>
      </c>
      <c r="Z282" s="17" t="s">
        <v>183</v>
      </c>
      <c r="AA282" s="176">
        <v>40</v>
      </c>
      <c r="AB282" s="176">
        <v>1</v>
      </c>
      <c r="AC282" s="176">
        <v>14</v>
      </c>
      <c r="AD282" s="176">
        <v>15</v>
      </c>
      <c r="AE282" s="33">
        <v>0.37</v>
      </c>
      <c r="AF282" s="33">
        <v>0.3</v>
      </c>
      <c r="AG282" s="25" t="str">
        <f>_xlfn.XLOOKUP(F282,'TFS Details'!F:F,'TFS Details'!H:H)</f>
        <v>UAT In Test</v>
      </c>
      <c r="AH282" s="44">
        <v>15</v>
      </c>
      <c r="AI282" s="44">
        <v>0</v>
      </c>
      <c r="AJ282" s="44">
        <v>0</v>
      </c>
      <c r="AK282" s="44">
        <v>0</v>
      </c>
      <c r="AL282" s="40">
        <f t="shared" si="32"/>
        <v>15</v>
      </c>
      <c r="AM282" s="41">
        <f t="shared" si="30"/>
        <v>1</v>
      </c>
      <c r="AN282" s="41">
        <f t="shared" si="31"/>
        <v>1</v>
      </c>
      <c r="AO282" s="25"/>
      <c r="AP282" s="25" t="str">
        <f>_xlfn.XLOOKUP(F282,'TFS Details'!F:F,'TFS Details'!I:I)</f>
        <v>Code Mavin</v>
      </c>
      <c r="AQ282" s="25" t="str">
        <f>_xlfn.XLOOKUP(AP282,'TFS Details'!I:I,'TFS Details'!AE:AE)</f>
        <v>n.d.krishnakumar</v>
      </c>
    </row>
    <row r="283" spans="1:43">
      <c r="A283" s="24" t="str">
        <f>_xlfn.XLOOKUP(F283,'TFS Details'!F:F,'TFS Details'!D:D)</f>
        <v>GEN AI</v>
      </c>
      <c r="B283" s="24" t="str">
        <f>_xlfn.XLOOKUP(F283,'TFS Details'!F:F,'TFS Details'!A:A)</f>
        <v>March Release DLC Revamp - Gen AI</v>
      </c>
      <c r="C283" s="64">
        <f>_xlfn.XLOOKUP(F283,'TFS Details'!F:F,'TFS Details'!E:E)</f>
        <v>4260380</v>
      </c>
      <c r="D283" s="17" t="s">
        <v>36</v>
      </c>
      <c r="E283" s="73" t="s">
        <v>718</v>
      </c>
      <c r="F283" s="74">
        <v>4387348</v>
      </c>
      <c r="G283" s="73" t="s">
        <v>569</v>
      </c>
      <c r="H283" s="73" t="s">
        <v>570</v>
      </c>
      <c r="I283" s="73"/>
      <c r="J283" s="73"/>
      <c r="K283" s="97" t="s">
        <v>18</v>
      </c>
      <c r="L283" s="16" t="s">
        <v>719</v>
      </c>
      <c r="M283" s="16" t="s">
        <v>34</v>
      </c>
      <c r="N283" s="17"/>
      <c r="O283" s="134"/>
      <c r="Q283" s="176"/>
      <c r="R283" s="176"/>
      <c r="S283" s="176"/>
      <c r="T283" s="176"/>
      <c r="W283" s="17" t="s">
        <v>183</v>
      </c>
      <c r="X283" s="17" t="s">
        <v>183</v>
      </c>
      <c r="Y283" s="17" t="s">
        <v>183</v>
      </c>
      <c r="Z283" s="17" t="s">
        <v>183</v>
      </c>
      <c r="AA283" s="176">
        <v>50</v>
      </c>
      <c r="AB283" s="176">
        <v>10</v>
      </c>
      <c r="AC283" s="176">
        <v>0</v>
      </c>
      <c r="AD283" s="176">
        <v>10</v>
      </c>
      <c r="AE283" s="33">
        <v>0.5</v>
      </c>
      <c r="AF283" s="33">
        <v>0.5</v>
      </c>
      <c r="AG283" s="25" t="str">
        <f>_xlfn.XLOOKUP(F283,'TFS Details'!F:F,'TFS Details'!H:H)</f>
        <v>UAT In Test</v>
      </c>
      <c r="AH283" s="44">
        <v>10</v>
      </c>
      <c r="AI283" s="44">
        <v>0</v>
      </c>
      <c r="AJ283" s="44">
        <v>0</v>
      </c>
      <c r="AK283" s="44">
        <v>0</v>
      </c>
      <c r="AL283" s="40">
        <f t="shared" si="32"/>
        <v>10</v>
      </c>
      <c r="AM283" s="41">
        <f t="shared" si="30"/>
        <v>1</v>
      </c>
      <c r="AN283" s="41">
        <f t="shared" si="31"/>
        <v>1</v>
      </c>
      <c r="AO283" s="25"/>
      <c r="AP283" s="25" t="str">
        <f>_xlfn.XLOOKUP(F283,'TFS Details'!F:F,'TFS Details'!I:I)</f>
        <v>Code Mavin</v>
      </c>
      <c r="AQ283" s="25" t="str">
        <f>_xlfn.XLOOKUP(AP283,'TFS Details'!I:I,'TFS Details'!AE:AE)</f>
        <v>n.d.krishnakumar</v>
      </c>
    </row>
    <row r="284" spans="1:43">
      <c r="A284" s="24" t="str">
        <f>_xlfn.XLOOKUP(F284,'TFS Details'!F:F,'TFS Details'!D:D)</f>
        <v>GEN AI</v>
      </c>
      <c r="B284" s="24" t="str">
        <f>_xlfn.XLOOKUP(F284,'TFS Details'!F:F,'TFS Details'!A:A)</f>
        <v>March Release DLC Revamp - Gen AI</v>
      </c>
      <c r="C284" s="64">
        <f>_xlfn.XLOOKUP(F284,'TFS Details'!F:F,'TFS Details'!E:E)</f>
        <v>4260380</v>
      </c>
      <c r="D284" s="17" t="s">
        <v>36</v>
      </c>
      <c r="E284" s="73" t="s">
        <v>720</v>
      </c>
      <c r="F284" s="74">
        <v>4387360</v>
      </c>
      <c r="G284" s="73" t="s">
        <v>569</v>
      </c>
      <c r="H284" s="73" t="s">
        <v>593</v>
      </c>
      <c r="I284" s="73"/>
      <c r="J284" s="73"/>
      <c r="K284" s="97" t="s">
        <v>18</v>
      </c>
      <c r="L284" s="173" t="s">
        <v>571</v>
      </c>
      <c r="M284" s="16" t="s">
        <v>21</v>
      </c>
      <c r="N284" s="17"/>
      <c r="O284" s="134"/>
      <c r="Q284" s="176"/>
      <c r="R284" s="176"/>
      <c r="S284" s="176"/>
      <c r="T284" s="176"/>
      <c r="W284" s="17" t="s">
        <v>183</v>
      </c>
      <c r="X284" s="17" t="s">
        <v>183</v>
      </c>
      <c r="Y284" s="17" t="s">
        <v>183</v>
      </c>
      <c r="Z284" s="17" t="s">
        <v>183</v>
      </c>
      <c r="AA284" s="176">
        <v>28</v>
      </c>
      <c r="AB284" s="176">
        <v>7</v>
      </c>
      <c r="AC284" s="176">
        <v>1</v>
      </c>
      <c r="AD284" s="176">
        <v>8</v>
      </c>
      <c r="AE284" s="33">
        <v>0.3</v>
      </c>
      <c r="AF284" s="33">
        <v>0.4</v>
      </c>
      <c r="AG284" s="25" t="str">
        <f>_xlfn.XLOOKUP(F284,'TFS Details'!F:F,'TFS Details'!H:H)</f>
        <v>UAT In Test</v>
      </c>
      <c r="AH284" s="44">
        <v>8</v>
      </c>
      <c r="AI284" s="44">
        <v>0</v>
      </c>
      <c r="AJ284" s="44">
        <v>0</v>
      </c>
      <c r="AK284" s="44">
        <v>0</v>
      </c>
      <c r="AL284" s="40">
        <f t="shared" si="32"/>
        <v>8</v>
      </c>
      <c r="AM284" s="41">
        <f t="shared" si="30"/>
        <v>1</v>
      </c>
      <c r="AN284" s="41">
        <f t="shared" si="31"/>
        <v>1</v>
      </c>
      <c r="AO284" s="25"/>
      <c r="AP284" s="25" t="str">
        <f>_xlfn.XLOOKUP(F284,'TFS Details'!F:F,'TFS Details'!I:I)</f>
        <v>Code Mavin</v>
      </c>
      <c r="AQ284" s="25" t="str">
        <f>_xlfn.XLOOKUP(AP284,'TFS Details'!I:I,'TFS Details'!AE:AE)</f>
        <v>n.d.krishnakumar</v>
      </c>
    </row>
    <row r="285" spans="1:43">
      <c r="A285" s="24" t="str">
        <f>_xlfn.XLOOKUP(F285,'TFS Details'!F:F,'TFS Details'!D:D)</f>
        <v>GEN AI</v>
      </c>
      <c r="B285" s="24" t="str">
        <f>_xlfn.XLOOKUP(F285,'TFS Details'!F:F,'TFS Details'!A:A)</f>
        <v>March Release DLC Revamp - Gen AI</v>
      </c>
      <c r="C285" s="64">
        <f>_xlfn.XLOOKUP(F285,'TFS Details'!F:F,'TFS Details'!E:E)</f>
        <v>4260380</v>
      </c>
      <c r="D285" s="17" t="s">
        <v>36</v>
      </c>
      <c r="E285" s="73" t="s">
        <v>721</v>
      </c>
      <c r="F285" s="74">
        <v>4387679</v>
      </c>
      <c r="G285" s="73" t="s">
        <v>569</v>
      </c>
      <c r="H285" s="73" t="s">
        <v>722</v>
      </c>
      <c r="I285" s="73"/>
      <c r="J285" s="73"/>
      <c r="K285" s="97" t="s">
        <v>18</v>
      </c>
      <c r="L285" s="173" t="s">
        <v>507</v>
      </c>
      <c r="M285" s="16" t="s">
        <v>21</v>
      </c>
      <c r="N285" s="17"/>
      <c r="O285" s="134"/>
      <c r="Q285" s="176"/>
      <c r="R285" s="176"/>
      <c r="S285" s="176"/>
      <c r="T285" s="176"/>
      <c r="W285" s="17" t="s">
        <v>183</v>
      </c>
      <c r="X285" s="17" t="s">
        <v>183</v>
      </c>
      <c r="Y285" s="17" t="s">
        <v>183</v>
      </c>
      <c r="Z285" s="17" t="s">
        <v>183</v>
      </c>
      <c r="AA285" s="176">
        <v>20</v>
      </c>
      <c r="AB285" s="176">
        <v>2</v>
      </c>
      <c r="AC285" s="176">
        <v>6</v>
      </c>
      <c r="AD285" s="176">
        <v>8</v>
      </c>
      <c r="AE285" s="33">
        <v>0.5</v>
      </c>
      <c r="AF285" s="33">
        <v>0.5</v>
      </c>
      <c r="AG285" s="25" t="str">
        <f>_xlfn.XLOOKUP(F285,'TFS Details'!F:F,'TFS Details'!H:H)</f>
        <v>UAT In Test</v>
      </c>
      <c r="AH285" s="44">
        <v>8</v>
      </c>
      <c r="AI285" s="44">
        <v>0</v>
      </c>
      <c r="AJ285" s="44">
        <v>0</v>
      </c>
      <c r="AK285" s="44">
        <v>0</v>
      </c>
      <c r="AL285" s="40">
        <f t="shared" si="32"/>
        <v>8</v>
      </c>
      <c r="AM285" s="41">
        <f t="shared" si="30"/>
        <v>1</v>
      </c>
      <c r="AN285" s="41">
        <f t="shared" si="31"/>
        <v>1</v>
      </c>
      <c r="AO285" s="25"/>
      <c r="AP285" s="25" t="str">
        <f>_xlfn.XLOOKUP(F285,'TFS Details'!F:F,'TFS Details'!I:I)</f>
        <v>Code Mavin</v>
      </c>
      <c r="AQ285" s="25" t="str">
        <f>_xlfn.XLOOKUP(AP285,'TFS Details'!I:I,'TFS Details'!AE:AE)</f>
        <v>n.d.krishnakumar</v>
      </c>
    </row>
    <row r="286" spans="1:43">
      <c r="A286" s="24" t="str">
        <f>_xlfn.XLOOKUP(F286,'TFS Details'!F:F,'TFS Details'!D:D)</f>
        <v>Solution Review Agent</v>
      </c>
      <c r="B286" s="24" t="str">
        <f>_xlfn.XLOOKUP(F286,'TFS Details'!F:F,'TFS Details'!A:A)</f>
        <v>[Gen AI - SRA] - Review Agent L2 summarization</v>
      </c>
      <c r="C286" s="64">
        <f>_xlfn.XLOOKUP(F286,'TFS Details'!F:F,'TFS Details'!E:E)</f>
        <v>4369470</v>
      </c>
      <c r="D286" s="17" t="s">
        <v>49</v>
      </c>
      <c r="E286" s="73" t="s">
        <v>723</v>
      </c>
      <c r="F286" s="74">
        <v>4389820</v>
      </c>
      <c r="G286" s="73" t="s">
        <v>685</v>
      </c>
      <c r="H286" s="73" t="s">
        <v>574</v>
      </c>
      <c r="I286" s="73"/>
      <c r="J286" s="73"/>
      <c r="K286" s="97" t="s">
        <v>18</v>
      </c>
      <c r="L286" s="79" t="s">
        <v>548</v>
      </c>
      <c r="M286" s="16" t="s">
        <v>21</v>
      </c>
      <c r="N286" s="17"/>
      <c r="O286" s="134"/>
      <c r="Q286" s="176"/>
      <c r="R286" s="176"/>
      <c r="S286" s="176"/>
      <c r="T286" s="176"/>
      <c r="W286" s="17" t="s">
        <v>183</v>
      </c>
      <c r="X286" s="17" t="s">
        <v>183</v>
      </c>
      <c r="Y286" s="17" t="s">
        <v>183</v>
      </c>
      <c r="Z286" s="17" t="s">
        <v>183</v>
      </c>
      <c r="AA286" s="176">
        <v>30</v>
      </c>
      <c r="AB286" s="176">
        <v>15</v>
      </c>
      <c r="AC286" s="176">
        <v>6</v>
      </c>
      <c r="AD286" s="176">
        <v>6</v>
      </c>
      <c r="AE286" s="33">
        <v>0.5</v>
      </c>
      <c r="AF286" s="33">
        <v>0.5</v>
      </c>
      <c r="AG286" s="25" t="str">
        <f>_xlfn.XLOOKUP(F286,'TFS Details'!F:F,'TFS Details'!H:H)</f>
        <v>UAT In Test</v>
      </c>
      <c r="AH286" s="44">
        <v>7</v>
      </c>
      <c r="AI286" s="44">
        <v>0</v>
      </c>
      <c r="AJ286" s="44">
        <v>0</v>
      </c>
      <c r="AK286" s="44">
        <v>0</v>
      </c>
      <c r="AL286" s="40">
        <v>7</v>
      </c>
      <c r="AM286" s="41">
        <f t="shared" si="30"/>
        <v>1</v>
      </c>
      <c r="AN286" s="41">
        <f t="shared" si="31"/>
        <v>1</v>
      </c>
      <c r="AO286" s="25"/>
      <c r="AP286" s="25" t="str">
        <f>_xlfn.XLOOKUP(F286,'TFS Details'!F:F,'TFS Details'!I:I)</f>
        <v>Gen AI - Solution Review Agent</v>
      </c>
      <c r="AQ286" s="25" t="str">
        <f>_xlfn.XLOOKUP(AP286,'TFS Details'!I:I,'TFS Details'!AE:AE)</f>
        <v>n.d.krishnakumar</v>
      </c>
    </row>
    <row r="287" spans="1:43">
      <c r="A287" s="24" t="str">
        <f>_xlfn.XLOOKUP(F287,'TFS Details'!F:F,'TFS Details'!D:D)</f>
        <v>Solution Review Agent</v>
      </c>
      <c r="B287" s="24" t="str">
        <f>_xlfn.XLOOKUP(F287,'TFS Details'!F:F,'TFS Details'!A:A)</f>
        <v>[Gen AI - SRA] - Review Agent L2 summarization</v>
      </c>
      <c r="C287" s="64">
        <f>_xlfn.XLOOKUP(F287,'TFS Details'!F:F,'TFS Details'!E:E)</f>
        <v>4369470</v>
      </c>
      <c r="D287" s="17" t="s">
        <v>49</v>
      </c>
      <c r="E287" s="73" t="s">
        <v>724</v>
      </c>
      <c r="F287" s="74">
        <v>4389859</v>
      </c>
      <c r="G287" s="73" t="s">
        <v>685</v>
      </c>
      <c r="H287" s="73" t="s">
        <v>574</v>
      </c>
      <c r="I287" s="73"/>
      <c r="J287" s="73"/>
      <c r="K287" s="97" t="s">
        <v>18</v>
      </c>
      <c r="L287" s="79" t="s">
        <v>548</v>
      </c>
      <c r="M287" s="16" t="s">
        <v>21</v>
      </c>
      <c r="N287" s="17"/>
      <c r="O287" s="134"/>
      <c r="Q287" s="176"/>
      <c r="R287" s="176"/>
      <c r="S287" s="176"/>
      <c r="T287" s="176"/>
      <c r="W287" s="17" t="s">
        <v>183</v>
      </c>
      <c r="X287" s="17" t="s">
        <v>183</v>
      </c>
      <c r="Y287" s="17" t="s">
        <v>183</v>
      </c>
      <c r="Z287" s="17" t="s">
        <v>183</v>
      </c>
      <c r="AA287" s="176">
        <v>28</v>
      </c>
      <c r="AB287" s="176">
        <v>5</v>
      </c>
      <c r="AC287" s="176">
        <v>7</v>
      </c>
      <c r="AD287" s="176">
        <v>7</v>
      </c>
      <c r="AE287" s="33">
        <v>0.4</v>
      </c>
      <c r="AF287" s="33">
        <v>0.4</v>
      </c>
      <c r="AG287" s="25" t="str">
        <f>_xlfn.XLOOKUP(F287,'TFS Details'!F:F,'TFS Details'!H:H)</f>
        <v>UAT In Test</v>
      </c>
      <c r="AH287" s="44">
        <v>6</v>
      </c>
      <c r="AI287" s="44">
        <v>0</v>
      </c>
      <c r="AJ287" s="44">
        <v>0</v>
      </c>
      <c r="AK287" s="44">
        <v>0</v>
      </c>
      <c r="AL287" s="40">
        <v>6</v>
      </c>
      <c r="AM287" s="41">
        <f t="shared" si="30"/>
        <v>1</v>
      </c>
      <c r="AN287" s="41">
        <f t="shared" si="31"/>
        <v>1</v>
      </c>
      <c r="AO287" s="25"/>
      <c r="AP287" s="25" t="str">
        <f>_xlfn.XLOOKUP(F287,'TFS Details'!F:F,'TFS Details'!I:I)</f>
        <v>Gen AI - Solution Review Agent</v>
      </c>
      <c r="AQ287" s="25" t="str">
        <f>_xlfn.XLOOKUP(AP287,'TFS Details'!I:I,'TFS Details'!AE:AE)</f>
        <v>n.d.krishnakumar</v>
      </c>
    </row>
    <row r="288" spans="1:43">
      <c r="A288" s="24" t="str">
        <f>_xlfn.XLOOKUP(F288,'TFS Details'!F:F,'TFS Details'!D:D)</f>
        <v>Gen AI</v>
      </c>
      <c r="B288" s="24" t="str">
        <f>_xlfn.XLOOKUP(F288,'TFS Details'!F:F,'TFS Details'!A:A)</f>
        <v>[Gen AI - SSA] - Enhancements of SSA Chat</v>
      </c>
      <c r="C288" s="64">
        <f>_xlfn.XLOOKUP(F288,'TFS Details'!F:F,'TFS Details'!E:E)</f>
        <v>4393292</v>
      </c>
      <c r="D288" s="17" t="s">
        <v>36</v>
      </c>
      <c r="E288" s="73" t="s">
        <v>725</v>
      </c>
      <c r="F288" s="74">
        <v>4387511</v>
      </c>
      <c r="G288" s="73" t="s">
        <v>569</v>
      </c>
      <c r="H288" s="73" t="s">
        <v>593</v>
      </c>
      <c r="I288" s="73"/>
      <c r="J288" s="73"/>
      <c r="K288" s="97" t="s">
        <v>18</v>
      </c>
      <c r="L288" s="173" t="s">
        <v>571</v>
      </c>
      <c r="M288" s="16" t="s">
        <v>21</v>
      </c>
      <c r="N288" s="17"/>
      <c r="O288" s="134"/>
      <c r="Q288" s="176"/>
      <c r="R288" s="176"/>
      <c r="S288" s="176"/>
      <c r="T288" s="176"/>
      <c r="W288" s="17" t="s">
        <v>183</v>
      </c>
      <c r="X288" s="17" t="s">
        <v>183</v>
      </c>
      <c r="Y288" s="17" t="s">
        <v>183</v>
      </c>
      <c r="Z288" s="17" t="s">
        <v>183</v>
      </c>
      <c r="AA288" s="176">
        <v>25</v>
      </c>
      <c r="AB288" s="176">
        <v>11</v>
      </c>
      <c r="AC288" s="176">
        <v>47</v>
      </c>
      <c r="AD288" s="176">
        <v>58</v>
      </c>
      <c r="AE288" s="33">
        <v>0.35</v>
      </c>
      <c r="AF288" s="33">
        <v>0.5</v>
      </c>
      <c r="AG288" s="25" t="s">
        <v>218</v>
      </c>
      <c r="AH288" s="44">
        <v>58</v>
      </c>
      <c r="AI288" s="44">
        <v>0</v>
      </c>
      <c r="AJ288" s="44">
        <v>0</v>
      </c>
      <c r="AK288" s="44">
        <v>0</v>
      </c>
      <c r="AL288" s="40">
        <f t="shared" si="32"/>
        <v>58</v>
      </c>
      <c r="AM288" s="41">
        <f t="shared" si="30"/>
        <v>1</v>
      </c>
      <c r="AN288" s="41">
        <f t="shared" si="31"/>
        <v>1</v>
      </c>
      <c r="AO288" s="25"/>
      <c r="AP288" s="25" t="str">
        <f>_xlfn.XLOOKUP(F288,'TFS Details'!F:F,'TFS Details'!I:I)</f>
        <v>GEN AI - Solution Super Agent</v>
      </c>
      <c r="AQ288" s="25" t="str">
        <f>_xlfn.XLOOKUP(AP288,'TFS Details'!I:I,'TFS Details'!AE:AE)</f>
        <v>pandidurai.ks</v>
      </c>
    </row>
    <row r="289" spans="1:43">
      <c r="A289" s="24" t="str">
        <f>_xlfn.XLOOKUP(F289,'TFS Details'!F:F,'TFS Details'!D:D)</f>
        <v>Gen AI</v>
      </c>
      <c r="B289" s="24" t="str">
        <f>_xlfn.XLOOKUP(F289,'TFS Details'!F:F,'TFS Details'!A:A)</f>
        <v>[Gen AI - SSA] - Enhancements of SSA Chat</v>
      </c>
      <c r="C289" s="64">
        <f>_xlfn.XLOOKUP(F289,'TFS Details'!F:F,'TFS Details'!E:E)</f>
        <v>4393292</v>
      </c>
      <c r="D289" s="17" t="s">
        <v>36</v>
      </c>
      <c r="E289" s="73" t="s">
        <v>726</v>
      </c>
      <c r="F289" s="74">
        <v>4387513</v>
      </c>
      <c r="G289" s="73" t="s">
        <v>569</v>
      </c>
      <c r="H289" s="73" t="s">
        <v>722</v>
      </c>
      <c r="I289" s="73"/>
      <c r="J289" s="73"/>
      <c r="K289" s="97" t="s">
        <v>18</v>
      </c>
      <c r="L289" s="173" t="s">
        <v>571</v>
      </c>
      <c r="M289" s="16" t="s">
        <v>21</v>
      </c>
      <c r="N289" s="17"/>
      <c r="O289" s="134"/>
      <c r="Q289" s="176"/>
      <c r="R289" s="176"/>
      <c r="S289" s="176"/>
      <c r="T289" s="176"/>
      <c r="W289" s="17" t="s">
        <v>183</v>
      </c>
      <c r="X289" s="17" t="s">
        <v>183</v>
      </c>
      <c r="Y289" s="17" t="s">
        <v>183</v>
      </c>
      <c r="Z289" s="17" t="s">
        <v>183</v>
      </c>
      <c r="AA289" s="176">
        <v>28</v>
      </c>
      <c r="AB289" s="176">
        <v>12</v>
      </c>
      <c r="AC289" s="176">
        <v>56</v>
      </c>
      <c r="AD289" s="176">
        <v>68</v>
      </c>
      <c r="AE289" s="33">
        <v>0.4</v>
      </c>
      <c r="AF289" s="33">
        <v>1</v>
      </c>
      <c r="AG289" s="25" t="str">
        <f>_xlfn.XLOOKUP(F289,'TFS Details'!F:F,'TFS Details'!H:H)</f>
        <v>UAT In Test</v>
      </c>
      <c r="AH289" s="44">
        <v>68</v>
      </c>
      <c r="AI289" s="44">
        <v>0</v>
      </c>
      <c r="AJ289" s="44">
        <v>0</v>
      </c>
      <c r="AK289" s="44">
        <v>0</v>
      </c>
      <c r="AL289" s="40">
        <f>SUM(AH289:AK289)</f>
        <v>68</v>
      </c>
      <c r="AM289" s="41">
        <f t="shared" si="30"/>
        <v>1</v>
      </c>
      <c r="AN289" s="41">
        <f t="shared" si="31"/>
        <v>1</v>
      </c>
      <c r="AO289" s="25"/>
      <c r="AP289" s="25" t="str">
        <f>_xlfn.XLOOKUP(F289,'TFS Details'!F:F,'TFS Details'!I:I)</f>
        <v>GEN AI - Solution Super Agent</v>
      </c>
      <c r="AQ289" s="25" t="str">
        <f>_xlfn.XLOOKUP(AP289,'TFS Details'!I:I,'TFS Details'!AE:AE)</f>
        <v>pandidurai.ks</v>
      </c>
    </row>
    <row r="290" spans="1:43">
      <c r="A290" s="24" t="str">
        <f>_xlfn.XLOOKUP(F290,'TFS Details'!F:F,'TFS Details'!D:D)</f>
        <v>Gen AI</v>
      </c>
      <c r="B290" s="24" t="str">
        <f>_xlfn.XLOOKUP(F290,'TFS Details'!F:F,'TFS Details'!A:A)</f>
        <v>Retrospective Learnings - Opportunity Benchmarks</v>
      </c>
      <c r="C290" s="64">
        <f>_xlfn.XLOOKUP(F290,'TFS Details'!F:F,'TFS Details'!E:E)</f>
        <v>4223629</v>
      </c>
      <c r="D290" s="17" t="s">
        <v>36</v>
      </c>
      <c r="E290" s="73" t="s">
        <v>727</v>
      </c>
      <c r="F290" s="74">
        <v>4388392</v>
      </c>
      <c r="G290" s="73" t="s">
        <v>685</v>
      </c>
      <c r="H290" s="73" t="s">
        <v>574</v>
      </c>
      <c r="I290" s="73"/>
      <c r="J290" s="73"/>
      <c r="K290" s="97" t="s">
        <v>18</v>
      </c>
      <c r="L290" s="173" t="s">
        <v>571</v>
      </c>
      <c r="M290" s="16" t="s">
        <v>21</v>
      </c>
      <c r="N290" s="17"/>
      <c r="O290" s="134"/>
      <c r="Q290" s="176"/>
      <c r="R290" s="176"/>
      <c r="S290" s="176"/>
      <c r="T290" s="176"/>
      <c r="W290" s="17" t="s">
        <v>183</v>
      </c>
      <c r="X290" s="17" t="s">
        <v>183</v>
      </c>
      <c r="Y290" s="17" t="s">
        <v>183</v>
      </c>
      <c r="Z290" s="17" t="s">
        <v>183</v>
      </c>
      <c r="AA290" s="176">
        <v>35</v>
      </c>
      <c r="AB290" s="176">
        <v>23</v>
      </c>
      <c r="AC290" s="176">
        <v>6</v>
      </c>
      <c r="AD290" s="176">
        <v>20</v>
      </c>
      <c r="AE290" s="33">
        <v>0.3</v>
      </c>
      <c r="AF290" s="33">
        <v>0.5</v>
      </c>
      <c r="AG290" s="25" t="str">
        <f>_xlfn.XLOOKUP(F290,'TFS Details'!F:F,'TFS Details'!H:H)</f>
        <v>UAT In Test</v>
      </c>
      <c r="AH290" s="44">
        <v>4</v>
      </c>
      <c r="AI290" s="44">
        <v>0</v>
      </c>
      <c r="AJ290" s="44">
        <v>0</v>
      </c>
      <c r="AK290" s="44">
        <v>0</v>
      </c>
      <c r="AL290" s="40">
        <v>4</v>
      </c>
      <c r="AM290" s="41">
        <f t="shared" si="30"/>
        <v>1</v>
      </c>
      <c r="AN290" s="41">
        <f t="shared" si="31"/>
        <v>1</v>
      </c>
      <c r="AO290" s="25" t="s">
        <v>519</v>
      </c>
      <c r="AP290" s="25" t="str">
        <f>_xlfn.XLOOKUP(F290,'TFS Details'!F:F,'TFS Details'!I:I)</f>
        <v>GEN AI - Solution Super Agent</v>
      </c>
      <c r="AQ290" s="25" t="str">
        <f>_xlfn.XLOOKUP(AP290,'TFS Details'!I:I,'TFS Details'!AE:AE)</f>
        <v>pandidurai.ks</v>
      </c>
    </row>
    <row r="291" spans="1:43">
      <c r="A291" s="24" t="s">
        <v>728</v>
      </c>
      <c r="B291" s="24" t="str">
        <f>_xlfn.XLOOKUP(F291,'TFS Details'!F:F,'TFS Details'!A:A)</f>
        <v>Song Deals Compliant Logic Update</v>
      </c>
      <c r="C291" s="64">
        <f>_xlfn.XLOOKUP(F291,'TFS Details'!F:F,'TFS Details'!E:E)</f>
        <v>4317244</v>
      </c>
      <c r="D291" s="17" t="s">
        <v>49</v>
      </c>
      <c r="E291" s="73" t="s">
        <v>729</v>
      </c>
      <c r="F291" s="74">
        <v>4319914</v>
      </c>
      <c r="G291" s="73" t="s">
        <v>605</v>
      </c>
      <c r="H291" s="73" t="s">
        <v>491</v>
      </c>
      <c r="I291" s="73"/>
      <c r="J291" s="73"/>
      <c r="K291" s="97" t="s">
        <v>18</v>
      </c>
      <c r="L291" s="16" t="s">
        <v>730</v>
      </c>
      <c r="M291" s="23" t="s">
        <v>70</v>
      </c>
      <c r="N291" s="17"/>
      <c r="O291" s="134"/>
      <c r="Q291" s="176"/>
      <c r="R291" s="176"/>
      <c r="S291" s="176"/>
      <c r="T291" s="176"/>
      <c r="W291" s="17" t="s">
        <v>183</v>
      </c>
      <c r="X291" s="17" t="s">
        <v>183</v>
      </c>
      <c r="Y291" s="17" t="s">
        <v>183</v>
      </c>
      <c r="Z291" s="17" t="s">
        <v>183</v>
      </c>
      <c r="AA291" s="176">
        <v>8</v>
      </c>
      <c r="AB291" s="176">
        <v>4</v>
      </c>
      <c r="AC291" s="176">
        <v>13</v>
      </c>
      <c r="AD291" s="176">
        <v>13</v>
      </c>
      <c r="AE291" s="33">
        <v>0.2</v>
      </c>
      <c r="AF291" s="33">
        <v>0.2</v>
      </c>
      <c r="AG291" s="25" t="str">
        <f>_xlfn.XLOOKUP(F291,'TFS Details'!F:F,'TFS Details'!H:H)</f>
        <v>UAT In Test</v>
      </c>
      <c r="AH291" s="44">
        <v>13</v>
      </c>
      <c r="AI291" s="44">
        <v>0</v>
      </c>
      <c r="AJ291" s="44">
        <v>0</v>
      </c>
      <c r="AK291" s="44">
        <v>0</v>
      </c>
      <c r="AL291" s="40">
        <f>SUM(AH291:AK291)</f>
        <v>13</v>
      </c>
      <c r="AM291" s="41">
        <f t="shared" si="30"/>
        <v>1</v>
      </c>
      <c r="AN291" s="41">
        <f t="shared" si="31"/>
        <v>1</v>
      </c>
      <c r="AO291" s="25"/>
      <c r="AP291" s="25" t="str">
        <f>_xlfn.XLOOKUP(F291,'TFS Details'!F:F,'TFS Details'!I:I)</f>
        <v>Ninjawarriors</v>
      </c>
      <c r="AQ291" s="25" t="str">
        <f>_xlfn.XLOOKUP(AP291,'TFS Details'!I:I,'TFS Details'!AE:AE)</f>
        <v>pandidurai.ks</v>
      </c>
    </row>
    <row r="292" spans="1:43">
      <c r="A292" s="24" t="str">
        <f>_xlfn.XLOOKUP(F292,'TFS Details'!F:F,'TFS Details'!D:D)</f>
        <v>DFD-myISP</v>
      </c>
      <c r="B292" s="24" t="str">
        <f>_xlfn.XLOOKUP(F292,'TFS Details'!F:F,'TFS Details'!A:A)</f>
        <v>Song Deals Compliant Logic Update</v>
      </c>
      <c r="C292" s="64">
        <f>_xlfn.XLOOKUP(F292,'TFS Details'!F:F,'TFS Details'!E:E)</f>
        <v>4317244</v>
      </c>
      <c r="D292" s="17" t="s">
        <v>49</v>
      </c>
      <c r="E292" s="73" t="s">
        <v>731</v>
      </c>
      <c r="F292" s="74">
        <v>4319915</v>
      </c>
      <c r="G292" s="73" t="s">
        <v>605</v>
      </c>
      <c r="H292" s="73" t="s">
        <v>491</v>
      </c>
      <c r="I292" s="73"/>
      <c r="J292" s="73"/>
      <c r="K292" s="97" t="s">
        <v>18</v>
      </c>
      <c r="L292" s="16" t="s">
        <v>730</v>
      </c>
      <c r="M292" s="23" t="s">
        <v>70</v>
      </c>
      <c r="N292" s="17"/>
      <c r="O292" s="134"/>
      <c r="Q292" s="176"/>
      <c r="R292" s="176"/>
      <c r="S292" s="176"/>
      <c r="T292" s="176"/>
      <c r="W292" s="17" t="s">
        <v>183</v>
      </c>
      <c r="X292" s="17" t="s">
        <v>183</v>
      </c>
      <c r="Y292" s="17" t="s">
        <v>183</v>
      </c>
      <c r="Z292" s="17" t="s">
        <v>183</v>
      </c>
      <c r="AA292" s="176">
        <v>8</v>
      </c>
      <c r="AB292" s="176">
        <v>4</v>
      </c>
      <c r="AC292" s="176">
        <v>13</v>
      </c>
      <c r="AD292" s="176">
        <v>13</v>
      </c>
      <c r="AE292" s="33">
        <v>0.2</v>
      </c>
      <c r="AF292" s="33">
        <v>0.2</v>
      </c>
      <c r="AG292" s="25" t="str">
        <f>_xlfn.XLOOKUP(F292,'TFS Details'!F:F,'TFS Details'!H:H)</f>
        <v>UAT In Test</v>
      </c>
      <c r="AH292" s="44">
        <v>13</v>
      </c>
      <c r="AI292" s="44">
        <v>0</v>
      </c>
      <c r="AJ292" s="44">
        <v>0</v>
      </c>
      <c r="AK292" s="44">
        <v>0</v>
      </c>
      <c r="AL292" s="40">
        <f t="shared" si="32"/>
        <v>13</v>
      </c>
      <c r="AM292" s="41">
        <f t="shared" si="30"/>
        <v>1</v>
      </c>
      <c r="AN292" s="41">
        <f t="shared" si="31"/>
        <v>1</v>
      </c>
      <c r="AO292" s="126"/>
      <c r="AP292" s="25" t="str">
        <f>_xlfn.XLOOKUP(F292,'TFS Details'!F:F,'TFS Details'!I:I)</f>
        <v>Pixel Pioneers</v>
      </c>
      <c r="AQ292" s="25" t="str">
        <f>_xlfn.XLOOKUP(AP292,'TFS Details'!I:I,'TFS Details'!AE:AE)</f>
        <v>pandidurai.ks</v>
      </c>
    </row>
    <row r="293" spans="1:43">
      <c r="A293" s="24" t="str">
        <f>_xlfn.XLOOKUP(F293,'TFS Details'!F:F,'TFS Details'!D:D)</f>
        <v>Value Shaping</v>
      </c>
      <c r="B293" s="24" t="str">
        <f>_xlfn.XLOOKUP(F293,'TFS Details'!F:F,'TFS Details'!A:A)</f>
        <v>Value Shaping –Enhancements</v>
      </c>
      <c r="C293" s="64">
        <f>_xlfn.XLOOKUP(F293,'TFS Details'!F:F,'TFS Details'!E:E)</f>
        <v>4330994</v>
      </c>
      <c r="D293" s="17" t="s">
        <v>49</v>
      </c>
      <c r="E293" s="73" t="s">
        <v>732</v>
      </c>
      <c r="F293" s="74">
        <v>4364540</v>
      </c>
      <c r="G293" s="73" t="s">
        <v>733</v>
      </c>
      <c r="H293" s="73" t="s">
        <v>582</v>
      </c>
      <c r="I293" s="73"/>
      <c r="J293" s="73" t="s">
        <v>733</v>
      </c>
      <c r="K293" s="17" t="s">
        <v>18</v>
      </c>
      <c r="L293" s="16" t="s">
        <v>734</v>
      </c>
      <c r="M293" s="97" t="s">
        <v>57</v>
      </c>
      <c r="N293" s="17" t="s">
        <v>191</v>
      </c>
      <c r="O293" s="134"/>
      <c r="Q293" s="176"/>
      <c r="R293" s="176"/>
      <c r="S293" s="176"/>
      <c r="T293" s="176"/>
      <c r="W293" s="17" t="s">
        <v>183</v>
      </c>
      <c r="X293" s="17" t="s">
        <v>183</v>
      </c>
      <c r="Y293" s="17" t="s">
        <v>246</v>
      </c>
      <c r="Z293" s="17" t="s">
        <v>183</v>
      </c>
      <c r="AA293" s="176">
        <v>50</v>
      </c>
      <c r="AB293" s="176">
        <v>25</v>
      </c>
      <c r="AC293" s="176">
        <v>0</v>
      </c>
      <c r="AD293" s="176">
        <v>25</v>
      </c>
      <c r="AE293" s="33">
        <v>1</v>
      </c>
      <c r="AF293" s="33">
        <v>0.9</v>
      </c>
      <c r="AG293" s="25" t="str">
        <f>_xlfn.XLOOKUP(F293,'TFS Details'!F:F,'TFS Details'!H:H)</f>
        <v>Test Complete</v>
      </c>
      <c r="AH293" s="44">
        <v>25</v>
      </c>
      <c r="AI293" s="44">
        <v>0</v>
      </c>
      <c r="AJ293" s="44">
        <v>0</v>
      </c>
      <c r="AK293" s="44">
        <v>0</v>
      </c>
      <c r="AL293" s="40">
        <f t="shared" si="32"/>
        <v>25</v>
      </c>
      <c r="AM293" s="41">
        <f t="shared" si="30"/>
        <v>1</v>
      </c>
      <c r="AN293" s="41">
        <f t="shared" si="31"/>
        <v>1</v>
      </c>
      <c r="AO293" s="25" t="s">
        <v>510</v>
      </c>
      <c r="AP293" s="25" t="str">
        <f>_xlfn.XLOOKUP(F293,'TFS Details'!F:F,'TFS Details'!I:I)</f>
        <v>Pixel Pioneers</v>
      </c>
      <c r="AQ293" s="25" t="str">
        <f>_xlfn.XLOOKUP(AP293,'TFS Details'!I:I,'TFS Details'!AE:AE)</f>
        <v>pandidurai.ks</v>
      </c>
    </row>
    <row r="294" spans="1:43">
      <c r="A294" s="24" t="str">
        <f>_xlfn.XLOOKUP(F294,'TFS Details'!F:F,'TFS Details'!D:D)</f>
        <v>Value Shaping</v>
      </c>
      <c r="B294" s="24" t="str">
        <f>_xlfn.XLOOKUP(F294,'TFS Details'!F:F,'TFS Details'!A:A)</f>
        <v>Value Shaping –Enhancements</v>
      </c>
      <c r="C294" s="64">
        <f>_xlfn.XLOOKUP(F294,'TFS Details'!F:F,'TFS Details'!E:E)</f>
        <v>4330994</v>
      </c>
      <c r="D294" s="17" t="s">
        <v>49</v>
      </c>
      <c r="E294" s="73" t="s">
        <v>735</v>
      </c>
      <c r="F294" s="74">
        <v>4364565</v>
      </c>
      <c r="G294" s="73" t="s">
        <v>733</v>
      </c>
      <c r="H294" s="73" t="s">
        <v>582</v>
      </c>
      <c r="I294" s="73"/>
      <c r="J294" s="73" t="s">
        <v>733</v>
      </c>
      <c r="K294" s="17" t="s">
        <v>18</v>
      </c>
      <c r="L294" s="16" t="s">
        <v>734</v>
      </c>
      <c r="M294" s="97" t="s">
        <v>57</v>
      </c>
      <c r="N294" s="17" t="s">
        <v>191</v>
      </c>
      <c r="O294" s="134"/>
      <c r="Q294" s="176"/>
      <c r="R294" s="176"/>
      <c r="S294" s="176"/>
      <c r="T294" s="176"/>
      <c r="W294" s="17" t="s">
        <v>183</v>
      </c>
      <c r="X294" s="17" t="s">
        <v>183</v>
      </c>
      <c r="Y294" s="17" t="s">
        <v>246</v>
      </c>
      <c r="Z294" s="17" t="s">
        <v>183</v>
      </c>
      <c r="AA294" s="176">
        <v>50</v>
      </c>
      <c r="AB294" s="176">
        <v>25</v>
      </c>
      <c r="AC294" s="176">
        <v>0</v>
      </c>
      <c r="AD294" s="176">
        <v>25</v>
      </c>
      <c r="AE294" s="33">
        <v>1</v>
      </c>
      <c r="AF294" s="33">
        <v>0.9</v>
      </c>
      <c r="AG294" s="25" t="str">
        <f>_xlfn.XLOOKUP(F294,'TFS Details'!F:F,'TFS Details'!H:H)</f>
        <v>UAT In Test</v>
      </c>
      <c r="AH294" s="44">
        <v>25</v>
      </c>
      <c r="AI294" s="44">
        <v>0</v>
      </c>
      <c r="AJ294" s="44">
        <v>0</v>
      </c>
      <c r="AK294" s="44">
        <v>0</v>
      </c>
      <c r="AL294" s="40">
        <f t="shared" si="32"/>
        <v>25</v>
      </c>
      <c r="AM294" s="41">
        <f t="shared" si="30"/>
        <v>1</v>
      </c>
      <c r="AN294" s="41">
        <f t="shared" si="31"/>
        <v>1</v>
      </c>
      <c r="AO294" s="25" t="s">
        <v>510</v>
      </c>
      <c r="AP294" s="25" t="str">
        <f>_xlfn.XLOOKUP(F294,'TFS Details'!F:F,'TFS Details'!I:I)</f>
        <v>Pixel Pioneers</v>
      </c>
      <c r="AQ294" s="25" t="str">
        <f>_xlfn.XLOOKUP(AP294,'TFS Details'!I:I,'TFS Details'!AE:AE)</f>
        <v>pandidurai.ks</v>
      </c>
    </row>
    <row r="295" spans="1:43">
      <c r="A295" s="24" t="str">
        <f>_xlfn.XLOOKUP(F295,'TFS Details'!F:F,'TFS Details'!D:D)</f>
        <v>Gen AI</v>
      </c>
      <c r="B295" s="24" t="str">
        <f>_xlfn.XLOOKUP(F295,'TFS Details'!F:F,'TFS Details'!A:A)</f>
        <v>S2C Salesforce Enablement Across Configuration Flows</v>
      </c>
      <c r="C295" s="64">
        <f>_xlfn.XLOOKUP(F295,'TFS Details'!F:F,'TFS Details'!E:E)</f>
        <v>4373561</v>
      </c>
      <c r="D295" s="17" t="s">
        <v>36</v>
      </c>
      <c r="E295" s="73" t="s">
        <v>736</v>
      </c>
      <c r="F295" s="74">
        <v>4371466</v>
      </c>
      <c r="G295" s="73" t="s">
        <v>733</v>
      </c>
      <c r="H295" s="73" t="s">
        <v>582</v>
      </c>
      <c r="I295" s="73"/>
      <c r="J295" s="73" t="s">
        <v>733</v>
      </c>
      <c r="K295" s="17" t="s">
        <v>18</v>
      </c>
      <c r="L295" s="16" t="s">
        <v>737</v>
      </c>
      <c r="M295" s="16" t="s">
        <v>21</v>
      </c>
      <c r="N295" s="17" t="s">
        <v>191</v>
      </c>
      <c r="O295" s="134"/>
      <c r="Q295" s="176"/>
      <c r="R295" s="176"/>
      <c r="S295" s="176"/>
      <c r="T295" s="176"/>
      <c r="W295" s="17" t="s">
        <v>183</v>
      </c>
      <c r="X295" s="17" t="s">
        <v>183</v>
      </c>
      <c r="Y295" s="17" t="s">
        <v>183</v>
      </c>
      <c r="Z295" s="17" t="s">
        <v>201</v>
      </c>
      <c r="AA295" s="176">
        <v>50</v>
      </c>
      <c r="AB295" s="176">
        <v>25</v>
      </c>
      <c r="AC295" s="176">
        <v>0</v>
      </c>
      <c r="AD295" s="176">
        <v>25</v>
      </c>
      <c r="AE295" s="33">
        <v>1</v>
      </c>
      <c r="AF295" s="33">
        <v>0.9</v>
      </c>
      <c r="AG295" s="25" t="str">
        <f>_xlfn.XLOOKUP(F295,'TFS Details'!F:F,'TFS Details'!H:H)</f>
        <v>UAT In Test</v>
      </c>
      <c r="AH295" s="44">
        <v>24</v>
      </c>
      <c r="AI295" s="44">
        <v>1</v>
      </c>
      <c r="AJ295" s="44">
        <v>0</v>
      </c>
      <c r="AK295" s="44">
        <v>0</v>
      </c>
      <c r="AL295" s="40">
        <f t="shared" si="32"/>
        <v>25</v>
      </c>
      <c r="AM295" s="41">
        <f t="shared" si="30"/>
        <v>1</v>
      </c>
      <c r="AN295" s="41">
        <f t="shared" si="31"/>
        <v>0.96</v>
      </c>
      <c r="AO295" s="25" t="s">
        <v>510</v>
      </c>
      <c r="AP295" s="25" t="str">
        <f>_xlfn.XLOOKUP(F295,'TFS Details'!F:F,'TFS Details'!I:I)</f>
        <v>Solution to Contract</v>
      </c>
      <c r="AQ295" s="25" t="str">
        <f>_xlfn.XLOOKUP(AP295,'TFS Details'!I:I,'TFS Details'!AE:AE)</f>
        <v>n.d.krishnakumar</v>
      </c>
    </row>
    <row r="296" spans="1:43">
      <c r="A296" s="24" t="str">
        <f>_xlfn.XLOOKUP(F296,'TFS Details'!F:F,'TFS Details'!D:D)</f>
        <v>Solution Review Agent</v>
      </c>
      <c r="B296" s="24" t="str">
        <f>_xlfn.XLOOKUP(F296,'TFS Details'!F:F,'TFS Details'!A:A)</f>
        <v>[Gen AI - SRA] - UI changes in Review Agent</v>
      </c>
      <c r="C296" s="64">
        <f>_xlfn.XLOOKUP(F296,'TFS Details'!F:F,'TFS Details'!E:E)</f>
        <v>4392680</v>
      </c>
      <c r="D296" s="17" t="s">
        <v>36</v>
      </c>
      <c r="E296" s="73" t="s">
        <v>738</v>
      </c>
      <c r="F296" s="74">
        <v>4392669</v>
      </c>
      <c r="G296" s="73" t="s">
        <v>654</v>
      </c>
      <c r="H296" s="73" t="s">
        <v>564</v>
      </c>
      <c r="I296" s="73"/>
      <c r="J296" s="73" t="s">
        <v>60</v>
      </c>
      <c r="K296" s="17" t="s">
        <v>1</v>
      </c>
      <c r="L296" s="16"/>
      <c r="N296" s="17" t="s">
        <v>182</v>
      </c>
      <c r="O296" s="134">
        <v>1</v>
      </c>
      <c r="P296" s="33">
        <v>1</v>
      </c>
      <c r="Q296" s="176">
        <v>12</v>
      </c>
      <c r="R296" s="176">
        <v>3</v>
      </c>
      <c r="S296" s="176">
        <v>1</v>
      </c>
      <c r="T296" s="176">
        <v>1</v>
      </c>
      <c r="U296" s="33">
        <v>0.35</v>
      </c>
      <c r="V296" s="33">
        <v>0.35</v>
      </c>
      <c r="W296" s="17" t="s">
        <v>183</v>
      </c>
      <c r="X296" s="17" t="s">
        <v>183</v>
      </c>
      <c r="Y296" s="17" t="s">
        <v>183</v>
      </c>
      <c r="Z296" s="17" t="s">
        <v>183</v>
      </c>
      <c r="AA296" s="176">
        <v>24</v>
      </c>
      <c r="AB296" s="176">
        <v>24</v>
      </c>
      <c r="AC296" s="176">
        <v>0</v>
      </c>
      <c r="AD296" s="176">
        <v>24</v>
      </c>
      <c r="AE296" s="33">
        <v>1</v>
      </c>
      <c r="AF296" s="33">
        <v>1</v>
      </c>
      <c r="AG296" s="25" t="str">
        <f>_xlfn.XLOOKUP(F296,'TFS Details'!F:F,'TFS Details'!H:H)</f>
        <v>UAT In Test</v>
      </c>
      <c r="AH296" s="44">
        <v>24</v>
      </c>
      <c r="AI296" s="44">
        <v>0</v>
      </c>
      <c r="AJ296" s="44">
        <v>0</v>
      </c>
      <c r="AK296" s="44">
        <v>0</v>
      </c>
      <c r="AL296" s="40">
        <f t="shared" si="32"/>
        <v>24</v>
      </c>
      <c r="AM296" s="41">
        <f t="shared" si="30"/>
        <v>1</v>
      </c>
      <c r="AN296" s="41">
        <f t="shared" si="31"/>
        <v>1</v>
      </c>
      <c r="AO296" s="25" t="s">
        <v>434</v>
      </c>
      <c r="AP296" s="25" t="str">
        <f>_xlfn.XLOOKUP(F296,'TFS Details'!F:F,'TFS Details'!I:I)</f>
        <v>Gen AI - Solution Review Agent</v>
      </c>
      <c r="AQ296" s="25" t="str">
        <f>_xlfn.XLOOKUP(AP296,'TFS Details'!I:I,'TFS Details'!AE:AE)</f>
        <v>n.d.krishnakumar</v>
      </c>
    </row>
    <row r="297" spans="1:43">
      <c r="A297" s="24" t="str">
        <f>_xlfn.XLOOKUP(F297,'TFS Details'!F:F,'TFS Details'!D:D)</f>
        <v>Solution Review Agent</v>
      </c>
      <c r="B297" s="24" t="str">
        <f>_xlfn.XLOOKUP(F297,'TFS Details'!F:F,'TFS Details'!A:A)</f>
        <v>[Gen AI - SRA] - SRA Landing Page with DSP, RFP Synthesis Version, Deal Level Canvas, Review Outcomes</v>
      </c>
      <c r="C297" s="64">
        <f>_xlfn.XLOOKUP(F297,'TFS Details'!F:F,'TFS Details'!E:E)</f>
        <v>4393835</v>
      </c>
      <c r="D297" s="17" t="s">
        <v>36</v>
      </c>
      <c r="E297" s="73" t="s">
        <v>739</v>
      </c>
      <c r="F297" s="74">
        <v>4392736</v>
      </c>
      <c r="G297" s="73" t="s">
        <v>654</v>
      </c>
      <c r="H297" s="73" t="s">
        <v>564</v>
      </c>
      <c r="I297" s="73"/>
      <c r="J297" s="73" t="s">
        <v>60</v>
      </c>
      <c r="K297" s="17" t="s">
        <v>1</v>
      </c>
      <c r="L297" s="16"/>
      <c r="N297" s="17" t="s">
        <v>182</v>
      </c>
      <c r="O297" s="134">
        <v>1</v>
      </c>
      <c r="P297" s="33">
        <v>1</v>
      </c>
      <c r="Q297" s="176">
        <v>10</v>
      </c>
      <c r="R297" s="176">
        <v>2</v>
      </c>
      <c r="S297" s="176">
        <v>1</v>
      </c>
      <c r="T297" s="176">
        <v>1</v>
      </c>
      <c r="U297" s="33">
        <v>0.4</v>
      </c>
      <c r="V297" s="33">
        <v>0.4</v>
      </c>
      <c r="W297" s="17" t="s">
        <v>183</v>
      </c>
      <c r="X297" s="17" t="s">
        <v>183</v>
      </c>
      <c r="Y297" s="17" t="s">
        <v>183</v>
      </c>
      <c r="Z297" s="17" t="s">
        <v>183</v>
      </c>
      <c r="AA297" s="176">
        <v>20</v>
      </c>
      <c r="AB297" s="176">
        <v>20</v>
      </c>
      <c r="AC297" s="176">
        <v>0</v>
      </c>
      <c r="AD297" s="176">
        <v>20</v>
      </c>
      <c r="AE297" s="33">
        <v>1</v>
      </c>
      <c r="AF297" s="33">
        <v>1</v>
      </c>
      <c r="AG297" s="25" t="str">
        <f>_xlfn.XLOOKUP(F297,'TFS Details'!F:F,'TFS Details'!H:H)</f>
        <v>UAT In Test</v>
      </c>
      <c r="AH297" s="44">
        <v>24</v>
      </c>
      <c r="AI297" s="44">
        <v>0</v>
      </c>
      <c r="AJ297" s="44">
        <v>0</v>
      </c>
      <c r="AK297" s="44">
        <v>0</v>
      </c>
      <c r="AL297" s="40">
        <f t="shared" si="32"/>
        <v>24</v>
      </c>
      <c r="AM297" s="41">
        <f t="shared" si="30"/>
        <v>1</v>
      </c>
      <c r="AN297" s="41">
        <f t="shared" si="31"/>
        <v>1</v>
      </c>
      <c r="AO297" s="25" t="s">
        <v>434</v>
      </c>
      <c r="AP297" s="25" t="str">
        <f>_xlfn.XLOOKUP(F297,'TFS Details'!F:F,'TFS Details'!I:I)</f>
        <v>Gen AI - Solution Review Agent</v>
      </c>
      <c r="AQ297" s="25" t="str">
        <f>_xlfn.XLOOKUP(AP297,'TFS Details'!I:I,'TFS Details'!AE:AE)</f>
        <v>n.d.krishnakumar</v>
      </c>
    </row>
    <row r="298" spans="1:43">
      <c r="A298" s="24" t="str">
        <f>_xlfn.XLOOKUP(F298,'TFS Details'!F:F,'TFS Details'!D:D)</f>
        <v>Solution Review Agent</v>
      </c>
      <c r="B298" s="24" t="str">
        <f>_xlfn.XLOOKUP(F298,'TFS Details'!F:F,'TFS Details'!A:A)</f>
        <v>[Gen AI - SRA] - SRA Landing Page with DSP, RFP Synthesis Version, Deal Level Canvas, Review Outcomes</v>
      </c>
      <c r="C298" s="64">
        <f>_xlfn.XLOOKUP(F298,'TFS Details'!F:F,'TFS Details'!E:E)</f>
        <v>4393835</v>
      </c>
      <c r="D298" s="17" t="s">
        <v>36</v>
      </c>
      <c r="E298" s="73" t="s">
        <v>740</v>
      </c>
      <c r="F298" s="74">
        <v>4392742</v>
      </c>
      <c r="G298" s="73" t="s">
        <v>654</v>
      </c>
      <c r="H298" s="73" t="s">
        <v>564</v>
      </c>
      <c r="I298" s="73"/>
      <c r="J298" s="73" t="s">
        <v>60</v>
      </c>
      <c r="K298" s="97" t="s">
        <v>18</v>
      </c>
      <c r="L298" s="16" t="s">
        <v>562</v>
      </c>
      <c r="M298" s="16" t="s">
        <v>21</v>
      </c>
      <c r="N298" s="17" t="s">
        <v>191</v>
      </c>
      <c r="O298" s="134"/>
      <c r="Q298" s="176"/>
      <c r="R298" s="176"/>
      <c r="S298" s="176"/>
      <c r="T298" s="176"/>
      <c r="W298" s="17" t="s">
        <v>183</v>
      </c>
      <c r="X298" s="17" t="s">
        <v>183</v>
      </c>
      <c r="Y298" s="17" t="s">
        <v>183</v>
      </c>
      <c r="Z298" s="17" t="s">
        <v>183</v>
      </c>
      <c r="AA298" s="176">
        <v>29</v>
      </c>
      <c r="AB298" s="176">
        <v>29</v>
      </c>
      <c r="AC298" s="176">
        <v>0</v>
      </c>
      <c r="AD298" s="176">
        <v>29</v>
      </c>
      <c r="AE298" s="33">
        <v>1</v>
      </c>
      <c r="AF298" s="33">
        <v>1</v>
      </c>
      <c r="AG298" s="25" t="str">
        <f>_xlfn.XLOOKUP(F298,'TFS Details'!F:F,'TFS Details'!H:H)</f>
        <v>UAT In Test</v>
      </c>
      <c r="AH298" s="44">
        <v>29</v>
      </c>
      <c r="AI298" s="44">
        <v>0</v>
      </c>
      <c r="AJ298" s="44">
        <v>0</v>
      </c>
      <c r="AK298" s="44">
        <v>0</v>
      </c>
      <c r="AL298" s="40">
        <f t="shared" si="32"/>
        <v>29</v>
      </c>
      <c r="AM298" s="41">
        <f t="shared" si="30"/>
        <v>1</v>
      </c>
      <c r="AN298" s="41">
        <f t="shared" si="31"/>
        <v>1</v>
      </c>
      <c r="AO298" s="25" t="s">
        <v>434</v>
      </c>
      <c r="AP298" s="25" t="str">
        <f>_xlfn.XLOOKUP(F298,'TFS Details'!F:F,'TFS Details'!I:I)</f>
        <v>Gen AI - Solution Review Agent</v>
      </c>
      <c r="AQ298" s="25" t="str">
        <f>_xlfn.XLOOKUP(AP298,'TFS Details'!I:I,'TFS Details'!AE:AE)</f>
        <v>n.d.krishnakumar</v>
      </c>
    </row>
    <row r="299" spans="1:43">
      <c r="A299" s="24" t="str">
        <f>_xlfn.XLOOKUP(F299,'TFS Details'!F:F,'TFS Details'!D:D)</f>
        <v>Gen AI</v>
      </c>
      <c r="B299" s="24" t="str">
        <f>_xlfn.XLOOKUP(F299,'TFS Details'!F:F,'TFS Details'!A:A)</f>
        <v>[Gen AI - SSA] - Enhancements of SSA Chat</v>
      </c>
      <c r="C299" s="64">
        <f>_xlfn.XLOOKUP(F299,'TFS Details'!F:F,'TFS Details'!E:E)</f>
        <v>4393292</v>
      </c>
      <c r="D299" s="17" t="s">
        <v>36</v>
      </c>
      <c r="E299" s="73" t="s">
        <v>741</v>
      </c>
      <c r="F299" s="74">
        <v>4356747</v>
      </c>
      <c r="G299" s="73" t="s">
        <v>569</v>
      </c>
      <c r="H299" s="73" t="s">
        <v>570</v>
      </c>
      <c r="I299" s="73"/>
      <c r="J299" s="73"/>
      <c r="K299" s="97" t="s">
        <v>18</v>
      </c>
      <c r="L299" s="16" t="s">
        <v>742</v>
      </c>
      <c r="M299" s="16" t="s">
        <v>21</v>
      </c>
      <c r="N299" s="17"/>
      <c r="O299" s="134"/>
      <c r="Q299" s="176"/>
      <c r="R299" s="176"/>
      <c r="S299" s="176"/>
      <c r="T299" s="176"/>
      <c r="W299" s="17" t="s">
        <v>183</v>
      </c>
      <c r="X299" s="17" t="s">
        <v>183</v>
      </c>
      <c r="Y299" s="17" t="s">
        <v>183</v>
      </c>
      <c r="Z299" s="17" t="s">
        <v>183</v>
      </c>
      <c r="AA299" s="176">
        <v>23</v>
      </c>
      <c r="AB299" s="176">
        <v>7</v>
      </c>
      <c r="AC299" s="176">
        <v>0</v>
      </c>
      <c r="AD299" s="176">
        <v>7</v>
      </c>
      <c r="AE299" s="33">
        <v>0.3</v>
      </c>
      <c r="AF299" s="33">
        <v>0.3</v>
      </c>
      <c r="AG299" s="25" t="str">
        <f>_xlfn.XLOOKUP(F299,'TFS Details'!F:F,'TFS Details'!H:H)</f>
        <v>UAT In Test</v>
      </c>
      <c r="AH299" s="44">
        <v>7</v>
      </c>
      <c r="AI299" s="44">
        <v>0</v>
      </c>
      <c r="AJ299" s="44">
        <v>0</v>
      </c>
      <c r="AK299" s="44">
        <v>0</v>
      </c>
      <c r="AL299" s="40">
        <f t="shared" si="32"/>
        <v>7</v>
      </c>
      <c r="AM299" s="41">
        <f t="shared" si="30"/>
        <v>1</v>
      </c>
      <c r="AN299" s="41">
        <f t="shared" si="31"/>
        <v>1</v>
      </c>
      <c r="AO299" s="25"/>
      <c r="AP299" s="25" t="str">
        <f>_xlfn.XLOOKUP(F299,'TFS Details'!F:F,'TFS Details'!I:I)</f>
        <v>GEN AI - Solution Super Agent</v>
      </c>
      <c r="AQ299" s="25" t="str">
        <f>_xlfn.XLOOKUP(AP299,'TFS Details'!I:I,'TFS Details'!AE:AE)</f>
        <v>pandidurai.ks</v>
      </c>
    </row>
    <row r="300" spans="1:43">
      <c r="A300" s="24" t="str">
        <f>_xlfn.XLOOKUP(F300,'TFS Details'!F:F,'TFS Details'!D:D)</f>
        <v>GEN AI</v>
      </c>
      <c r="B300" s="24" t="str">
        <f>_xlfn.XLOOKUP(F300,'TFS Details'!F:F,'TFS Details'!A:A)</f>
        <v>GEN AI QDI March Enhancements</v>
      </c>
      <c r="C300" s="64">
        <f>_xlfn.XLOOKUP(F300,'TFS Details'!F:F,'TFS Details'!E:E)</f>
        <v>4390945</v>
      </c>
      <c r="D300" s="17" t="s">
        <v>36</v>
      </c>
      <c r="E300" s="73" t="s">
        <v>743</v>
      </c>
      <c r="F300" s="74">
        <v>4358656</v>
      </c>
      <c r="G300" s="73" t="s">
        <v>545</v>
      </c>
      <c r="H300" s="73" t="s">
        <v>546</v>
      </c>
      <c r="I300" s="73"/>
      <c r="J300" s="73" t="s">
        <v>547</v>
      </c>
      <c r="K300" s="97" t="s">
        <v>18</v>
      </c>
      <c r="L300" s="16" t="s">
        <v>548</v>
      </c>
      <c r="M300" s="16" t="s">
        <v>21</v>
      </c>
      <c r="N300" s="17" t="s">
        <v>191</v>
      </c>
      <c r="O300" s="134"/>
      <c r="Q300" s="176"/>
      <c r="R300" s="176"/>
      <c r="S300" s="176"/>
      <c r="T300" s="176"/>
      <c r="W300" s="17" t="s">
        <v>183</v>
      </c>
      <c r="X300" s="17" t="s">
        <v>183</v>
      </c>
      <c r="Y300" s="17" t="s">
        <v>183</v>
      </c>
      <c r="Z300" s="17" t="s">
        <v>183</v>
      </c>
      <c r="AA300" s="176">
        <v>16</v>
      </c>
      <c r="AB300" s="176">
        <v>8</v>
      </c>
      <c r="AC300" s="176">
        <v>2</v>
      </c>
      <c r="AD300" s="176">
        <v>10</v>
      </c>
      <c r="AE300" s="33">
        <v>0.5</v>
      </c>
      <c r="AF300" s="33">
        <v>0.62</v>
      </c>
      <c r="AG300" s="25" t="str">
        <f>_xlfn.XLOOKUP(F300,'TFS Details'!F:F,'TFS Details'!H:H)</f>
        <v>UAT In Test</v>
      </c>
      <c r="AH300" s="44">
        <v>5</v>
      </c>
      <c r="AI300" s="44">
        <v>0</v>
      </c>
      <c r="AJ300" s="44">
        <v>0</v>
      </c>
      <c r="AK300" s="44">
        <v>0</v>
      </c>
      <c r="AL300" s="40">
        <f t="shared" si="32"/>
        <v>5</v>
      </c>
      <c r="AM300" s="41">
        <f t="shared" si="30"/>
        <v>1</v>
      </c>
      <c r="AN300" s="41">
        <f t="shared" si="31"/>
        <v>1</v>
      </c>
      <c r="AO300" s="25" t="s">
        <v>744</v>
      </c>
      <c r="AP300" s="25" t="str">
        <f>_xlfn.XLOOKUP(F300,'TFS Details'!F:F,'TFS Details'!I:I)</f>
        <v>GEN AI - Solution Super Agent</v>
      </c>
      <c r="AQ300" s="25" t="str">
        <f>_xlfn.XLOOKUP(AP300,'TFS Details'!I:I,'TFS Details'!AE:AE)</f>
        <v>pandidurai.ks</v>
      </c>
    </row>
    <row r="301" spans="1:43">
      <c r="A301" s="24" t="str">
        <f>_xlfn.XLOOKUP(F301,'TFS Details'!F:F,'TFS Details'!D:D)</f>
        <v>Role Rename</v>
      </c>
      <c r="B301" s="24" t="str">
        <f>_xlfn.XLOOKUP(F301,'TFS Details'!F:F,'TFS Details'!A:A)</f>
        <v>March Release NextGen Enhancements</v>
      </c>
      <c r="C301" s="64">
        <f>_xlfn.XLOOKUP(F301,'TFS Details'!F:F,'TFS Details'!E:E)</f>
        <v>4365826</v>
      </c>
      <c r="D301" s="17" t="s">
        <v>49</v>
      </c>
      <c r="E301" s="73" t="s">
        <v>745</v>
      </c>
      <c r="F301" s="74">
        <v>4391349</v>
      </c>
      <c r="G301" s="73" t="s">
        <v>574</v>
      </c>
      <c r="H301" s="73" t="s">
        <v>685</v>
      </c>
      <c r="I301" s="73"/>
      <c r="J301" s="73" t="s">
        <v>686</v>
      </c>
      <c r="K301" s="97" t="s">
        <v>18</v>
      </c>
      <c r="L301" s="16" t="s">
        <v>746</v>
      </c>
      <c r="M301" s="16" t="s">
        <v>28</v>
      </c>
      <c r="N301" s="17"/>
      <c r="O301" s="134"/>
      <c r="Q301" s="176"/>
      <c r="R301" s="176"/>
      <c r="S301" s="176"/>
      <c r="T301" s="176"/>
      <c r="W301" s="17" t="s">
        <v>183</v>
      </c>
      <c r="X301" s="17" t="s">
        <v>183</v>
      </c>
      <c r="Y301" s="17" t="s">
        <v>183</v>
      </c>
      <c r="Z301" s="17" t="s">
        <v>183</v>
      </c>
      <c r="AA301" s="176">
        <v>50</v>
      </c>
      <c r="AB301" s="176">
        <v>25</v>
      </c>
      <c r="AC301" s="176">
        <v>10</v>
      </c>
      <c r="AD301" s="176">
        <v>6</v>
      </c>
      <c r="AE301" s="33">
        <v>0.9</v>
      </c>
      <c r="AF301" s="33">
        <v>0.8</v>
      </c>
      <c r="AG301" s="25" t="str">
        <f>_xlfn.XLOOKUP(F301,'TFS Details'!F:F,'TFS Details'!H:H)</f>
        <v>UAT In Test</v>
      </c>
      <c r="AH301" s="44">
        <v>6</v>
      </c>
      <c r="AI301" s="44">
        <v>0</v>
      </c>
      <c r="AJ301" s="44">
        <v>0</v>
      </c>
      <c r="AK301" s="44">
        <v>0</v>
      </c>
      <c r="AL301" s="40">
        <f t="shared" si="32"/>
        <v>6</v>
      </c>
      <c r="AM301" s="41">
        <f t="shared" si="30"/>
        <v>1</v>
      </c>
      <c r="AN301" s="41">
        <f t="shared" si="31"/>
        <v>1</v>
      </c>
      <c r="AO301" s="25"/>
      <c r="AP301" s="25" t="str">
        <f>_xlfn.XLOOKUP(F301,'TFS Details'!F:F,'TFS Details'!I:I)</f>
        <v>Pirates</v>
      </c>
      <c r="AQ301" s="25" t="str">
        <f>_xlfn.XLOOKUP(AP301,'TFS Details'!I:I,'TFS Details'!AE:AE)</f>
        <v>pandidurai.ks</v>
      </c>
    </row>
    <row r="302" spans="1:43">
      <c r="A302" s="24" t="str">
        <f>_xlfn.XLOOKUP(F302,'TFS Details'!F:F,'TFS Details'!D:D)</f>
        <v xml:space="preserve">Advisory SA - Song </v>
      </c>
      <c r="B302" s="24" t="str">
        <f>_xlfn.XLOOKUP(F302,'TFS Details'!F:F,'TFS Details'!A:A)</f>
        <v>PLD - Advisory SA Role</v>
      </c>
      <c r="C302" s="64">
        <f>_xlfn.XLOOKUP(F302,'TFS Details'!F:F,'TFS Details'!E:E)</f>
        <v>4386527</v>
      </c>
      <c r="D302" s="17" t="s">
        <v>49</v>
      </c>
      <c r="E302" s="73" t="s">
        <v>747</v>
      </c>
      <c r="F302" s="74">
        <v>4373026</v>
      </c>
      <c r="G302" s="73" t="s">
        <v>581</v>
      </c>
      <c r="H302" s="73" t="s">
        <v>582</v>
      </c>
      <c r="I302" s="73"/>
      <c r="J302" s="73"/>
      <c r="K302" s="97" t="s">
        <v>18</v>
      </c>
      <c r="L302" s="16" t="s">
        <v>748</v>
      </c>
      <c r="M302" s="97" t="s">
        <v>57</v>
      </c>
      <c r="N302" s="17"/>
      <c r="O302" s="134"/>
      <c r="Q302" s="176"/>
      <c r="R302" s="176"/>
      <c r="S302" s="176"/>
      <c r="T302" s="176"/>
      <c r="W302" s="17" t="s">
        <v>183</v>
      </c>
      <c r="X302" s="17" t="s">
        <v>183</v>
      </c>
      <c r="Y302" s="17" t="s">
        <v>183</v>
      </c>
      <c r="Z302" s="17" t="s">
        <v>183</v>
      </c>
      <c r="AA302" s="176">
        <v>52</v>
      </c>
      <c r="AB302" s="176">
        <v>6</v>
      </c>
      <c r="AC302" s="176">
        <v>36</v>
      </c>
      <c r="AD302" s="176">
        <v>42</v>
      </c>
      <c r="AE302" s="33">
        <v>0.1</v>
      </c>
      <c r="AF302" s="33">
        <v>0.3</v>
      </c>
      <c r="AG302" s="25" t="str">
        <f>_xlfn.XLOOKUP(F302,'TFS Details'!F:F,'TFS Details'!H:H)</f>
        <v>UAT In Test</v>
      </c>
      <c r="AH302" s="44">
        <v>42</v>
      </c>
      <c r="AI302" s="44">
        <v>0</v>
      </c>
      <c r="AJ302" s="44">
        <v>0</v>
      </c>
      <c r="AK302" s="44">
        <v>0</v>
      </c>
      <c r="AL302" s="40">
        <f t="shared" ref="AL302:AL312" si="33">SUM(AH302:AK302)</f>
        <v>42</v>
      </c>
      <c r="AM302" s="41">
        <f t="shared" si="30"/>
        <v>1</v>
      </c>
      <c r="AN302" s="41">
        <f t="shared" si="31"/>
        <v>1</v>
      </c>
      <c r="AO302" s="126"/>
      <c r="AP302" s="25" t="str">
        <f>_xlfn.XLOOKUP(F302,'TFS Details'!F:F,'TFS Details'!I:I)</f>
        <v>Pixel Pioneers</v>
      </c>
      <c r="AQ302" s="25" t="str">
        <f>_xlfn.XLOOKUP(AP302,'TFS Details'!I:I,'TFS Details'!AE:AE)</f>
        <v>pandidurai.ks</v>
      </c>
    </row>
    <row r="303" spans="1:43">
      <c r="A303" s="24" t="str">
        <f>_xlfn.XLOOKUP(F303,'TFS Details'!F:F,'TFS Details'!D:D)</f>
        <v>Gen AI</v>
      </c>
      <c r="B303" s="24" t="str">
        <f>_xlfn.XLOOKUP(F303,'TFS Details'!F:F,'TFS Details'!A:A)</f>
        <v>S2C_UI and Role Access  changes</v>
      </c>
      <c r="C303" s="64">
        <f>_xlfn.XLOOKUP(F303,'TFS Details'!F:F,'TFS Details'!E:E)</f>
        <v>4317766</v>
      </c>
      <c r="D303" s="17" t="s">
        <v>36</v>
      </c>
      <c r="E303" s="73" t="s">
        <v>749</v>
      </c>
      <c r="F303" s="74">
        <v>4389974</v>
      </c>
      <c r="G303" s="73" t="s">
        <v>491</v>
      </c>
      <c r="H303" s="73" t="s">
        <v>490</v>
      </c>
      <c r="I303" s="73"/>
      <c r="J303" s="73" t="s">
        <v>92</v>
      </c>
      <c r="K303" s="17" t="s">
        <v>1</v>
      </c>
      <c r="L303" s="16"/>
      <c r="N303" s="17" t="s">
        <v>182</v>
      </c>
      <c r="O303" s="134">
        <v>6</v>
      </c>
      <c r="P303" s="33">
        <v>1</v>
      </c>
      <c r="Q303" s="176">
        <v>7</v>
      </c>
      <c r="R303" s="176">
        <v>3</v>
      </c>
      <c r="S303" s="176">
        <v>4</v>
      </c>
      <c r="T303" s="176">
        <v>6</v>
      </c>
      <c r="U303" s="33">
        <v>0.5</v>
      </c>
      <c r="V303" s="33">
        <v>0.6</v>
      </c>
      <c r="W303" s="17" t="s">
        <v>183</v>
      </c>
      <c r="X303" s="17" t="s">
        <v>183</v>
      </c>
      <c r="Y303" s="17" t="s">
        <v>183</v>
      </c>
      <c r="Z303" s="17" t="s">
        <v>183</v>
      </c>
      <c r="AA303" s="176">
        <v>24</v>
      </c>
      <c r="AB303" s="176">
        <v>7</v>
      </c>
      <c r="AC303" s="176">
        <v>0</v>
      </c>
      <c r="AD303" s="176">
        <v>7</v>
      </c>
      <c r="AE303" s="33">
        <v>1</v>
      </c>
      <c r="AF303" s="33">
        <v>1</v>
      </c>
      <c r="AG303" s="25" t="str">
        <f>_xlfn.XLOOKUP(F303,'TFS Details'!F:F,'TFS Details'!H:H)</f>
        <v>UAT In Test</v>
      </c>
      <c r="AH303" s="44">
        <v>7</v>
      </c>
      <c r="AI303" s="44">
        <v>0</v>
      </c>
      <c r="AJ303" s="44">
        <v>0</v>
      </c>
      <c r="AK303" s="44">
        <v>0</v>
      </c>
      <c r="AL303" s="40">
        <v>7</v>
      </c>
      <c r="AM303" s="41">
        <f t="shared" si="30"/>
        <v>1</v>
      </c>
      <c r="AN303" s="41">
        <f t="shared" si="31"/>
        <v>1</v>
      </c>
      <c r="AO303" s="25" t="s">
        <v>711</v>
      </c>
      <c r="AP303" s="25" t="str">
        <f>_xlfn.XLOOKUP(F303,'TFS Details'!F:F,'TFS Details'!I:I)</f>
        <v>Solution to Contract</v>
      </c>
      <c r="AQ303" s="25" t="str">
        <f>_xlfn.XLOOKUP(AP303,'TFS Details'!I:I,'TFS Details'!AE:AE)</f>
        <v>n.d.krishnakumar</v>
      </c>
    </row>
    <row r="304" spans="1:43">
      <c r="A304" s="24" t="str">
        <f>_xlfn.XLOOKUP(F304,'TFS Details'!F:F,'TFS Details'!D:D)</f>
        <v>Gen AI</v>
      </c>
      <c r="B304" s="24" t="str">
        <f>_xlfn.XLOOKUP(F304,'TFS Details'!F:F,'TFS Details'!A:A)</f>
        <v>S2C_UI and Role Access  changes</v>
      </c>
      <c r="C304" s="64">
        <f>_xlfn.XLOOKUP(F304,'TFS Details'!F:F,'TFS Details'!E:E)</f>
        <v>4317766</v>
      </c>
      <c r="D304" s="17" t="s">
        <v>36</v>
      </c>
      <c r="E304" s="73" t="s">
        <v>750</v>
      </c>
      <c r="F304" s="74">
        <v>4389979</v>
      </c>
      <c r="G304" s="73" t="s">
        <v>581</v>
      </c>
      <c r="H304" s="73" t="s">
        <v>582</v>
      </c>
      <c r="I304" s="73"/>
      <c r="J304" s="73"/>
      <c r="K304" s="97" t="s">
        <v>18</v>
      </c>
      <c r="L304" s="16" t="s">
        <v>578</v>
      </c>
      <c r="M304" s="16" t="s">
        <v>28</v>
      </c>
      <c r="N304" s="17"/>
      <c r="O304" s="134"/>
      <c r="Q304" s="176"/>
      <c r="R304" s="176"/>
      <c r="S304" s="176"/>
      <c r="T304" s="176"/>
      <c r="W304" s="17" t="s">
        <v>183</v>
      </c>
      <c r="X304" s="17" t="s">
        <v>183</v>
      </c>
      <c r="Y304" s="17" t="s">
        <v>183</v>
      </c>
      <c r="Z304" s="17" t="s">
        <v>183</v>
      </c>
      <c r="AA304" s="176">
        <v>35</v>
      </c>
      <c r="AB304" s="176">
        <v>15</v>
      </c>
      <c r="AC304" s="176">
        <v>0</v>
      </c>
      <c r="AD304" s="176">
        <v>15</v>
      </c>
      <c r="AE304" s="33">
        <v>0.8</v>
      </c>
      <c r="AF304" s="33">
        <v>0.8</v>
      </c>
      <c r="AG304" s="25" t="str">
        <f>_xlfn.XLOOKUP(F304,'TFS Details'!F:F,'TFS Details'!H:H)</f>
        <v>UAT In Test</v>
      </c>
      <c r="AH304" s="44">
        <v>15</v>
      </c>
      <c r="AI304" s="44">
        <v>0</v>
      </c>
      <c r="AJ304" s="44">
        <v>0</v>
      </c>
      <c r="AK304" s="44">
        <v>0</v>
      </c>
      <c r="AL304" s="40">
        <f t="shared" si="33"/>
        <v>15</v>
      </c>
      <c r="AM304" s="41">
        <f t="shared" si="30"/>
        <v>1</v>
      </c>
      <c r="AN304" s="41">
        <f t="shared" si="31"/>
        <v>1</v>
      </c>
      <c r="AO304" s="25"/>
      <c r="AP304" s="25" t="str">
        <f>_xlfn.XLOOKUP(F304,'TFS Details'!F:F,'TFS Details'!I:I)</f>
        <v>Solution to Contract</v>
      </c>
      <c r="AQ304" s="25" t="str">
        <f>_xlfn.XLOOKUP(AP304,'TFS Details'!I:I,'TFS Details'!AE:AE)</f>
        <v>n.d.krishnakumar</v>
      </c>
    </row>
    <row r="305" spans="1:43">
      <c r="A305" s="24" t="str">
        <f>_xlfn.XLOOKUP(F305,'TFS Details'!F:F,'TFS Details'!D:D)</f>
        <v>Solution Super Agent</v>
      </c>
      <c r="B305" s="24" t="str">
        <f>_xlfn.XLOOKUP(F305,'TFS Details'!F:F,'TFS Details'!A:A)</f>
        <v>[Gen AI - SRA] - UI changes in Review Agent</v>
      </c>
      <c r="C305" s="64">
        <f>_xlfn.XLOOKUP(F305,'TFS Details'!F:F,'TFS Details'!E:E)</f>
        <v>4392680</v>
      </c>
      <c r="D305" s="17" t="s">
        <v>36</v>
      </c>
      <c r="E305" s="73" t="s">
        <v>751</v>
      </c>
      <c r="F305" s="74">
        <v>4391661</v>
      </c>
      <c r="G305" s="73" t="s">
        <v>685</v>
      </c>
      <c r="H305" s="73"/>
      <c r="I305" s="73"/>
      <c r="J305" s="73" t="s">
        <v>102</v>
      </c>
      <c r="K305" s="17" t="s">
        <v>1</v>
      </c>
      <c r="L305" s="16"/>
      <c r="M305" s="230"/>
      <c r="N305" s="17" t="s">
        <v>182</v>
      </c>
      <c r="O305" s="134">
        <v>2</v>
      </c>
      <c r="P305" s="33">
        <v>1</v>
      </c>
      <c r="Q305" s="176">
        <v>4</v>
      </c>
      <c r="R305" s="176">
        <v>2</v>
      </c>
      <c r="S305" s="176">
        <v>1</v>
      </c>
      <c r="T305" s="176">
        <v>1</v>
      </c>
      <c r="U305" s="33">
        <v>0.5</v>
      </c>
      <c r="V305" s="33">
        <v>0.5</v>
      </c>
      <c r="W305" s="17" t="s">
        <v>183</v>
      </c>
      <c r="X305" s="17" t="s">
        <v>183</v>
      </c>
      <c r="Y305" s="17" t="s">
        <v>183</v>
      </c>
      <c r="Z305" s="17" t="s">
        <v>183</v>
      </c>
      <c r="AA305" s="176">
        <v>35</v>
      </c>
      <c r="AB305" s="176">
        <v>4</v>
      </c>
      <c r="AC305" s="176">
        <v>3</v>
      </c>
      <c r="AD305" s="176">
        <v>10</v>
      </c>
      <c r="AE305" s="33">
        <v>0.2</v>
      </c>
      <c r="AF305" s="33">
        <v>0.4</v>
      </c>
      <c r="AG305" s="25" t="str">
        <f>_xlfn.XLOOKUP(F305,'TFS Details'!F:F,'TFS Details'!H:H)</f>
        <v>UAT In Test</v>
      </c>
      <c r="AH305" s="44">
        <v>6</v>
      </c>
      <c r="AI305" s="44">
        <v>0</v>
      </c>
      <c r="AJ305" s="44">
        <v>0</v>
      </c>
      <c r="AK305" s="44">
        <v>0</v>
      </c>
      <c r="AL305" s="40">
        <v>6</v>
      </c>
      <c r="AM305" s="41">
        <f t="shared" si="30"/>
        <v>1</v>
      </c>
      <c r="AN305" s="41">
        <f t="shared" si="31"/>
        <v>1</v>
      </c>
      <c r="AO305" s="25" t="s">
        <v>752</v>
      </c>
      <c r="AP305" s="25" t="str">
        <f>_xlfn.XLOOKUP(F305,'TFS Details'!F:F,'TFS Details'!I:I)</f>
        <v>Gen AI - Solution Review Agent</v>
      </c>
      <c r="AQ305" s="25" t="str">
        <f>_xlfn.XLOOKUP(AP305,'TFS Details'!I:I,'TFS Details'!AE:AE)</f>
        <v>n.d.krishnakumar</v>
      </c>
    </row>
    <row r="306" spans="1:43">
      <c r="A306" s="24" t="str">
        <f>_xlfn.XLOOKUP(F306,'TFS Details'!F:F,'TFS Details'!D:D)</f>
        <v>Solution Review Agent</v>
      </c>
      <c r="B306" s="24" t="str">
        <f>_xlfn.XLOOKUP(F306,'TFS Details'!F:F,'TFS Details'!A:A)</f>
        <v>[Gen AI - SRA] Introducing Opportunity Context screen in Solution Review Agent</v>
      </c>
      <c r="C306" s="64">
        <f>_xlfn.XLOOKUP(F306,'TFS Details'!F:F,'TFS Details'!E:E)</f>
        <v>4393838</v>
      </c>
      <c r="D306" s="17" t="s">
        <v>36</v>
      </c>
      <c r="E306" s="73" t="s">
        <v>753</v>
      </c>
      <c r="F306" s="74">
        <v>4393713</v>
      </c>
      <c r="G306" s="73" t="s">
        <v>685</v>
      </c>
      <c r="H306" s="73"/>
      <c r="I306" s="73"/>
      <c r="J306" s="73" t="s">
        <v>102</v>
      </c>
      <c r="K306" s="17" t="s">
        <v>18</v>
      </c>
      <c r="L306" s="16" t="s">
        <v>754</v>
      </c>
      <c r="M306" s="16" t="s">
        <v>57</v>
      </c>
      <c r="N306" s="17" t="s">
        <v>191</v>
      </c>
      <c r="O306" s="134"/>
      <c r="Q306" s="176"/>
      <c r="R306" s="176"/>
      <c r="S306" s="176"/>
      <c r="T306" s="176"/>
      <c r="W306" s="17" t="s">
        <v>183</v>
      </c>
      <c r="X306" s="17" t="s">
        <v>183</v>
      </c>
      <c r="Y306" s="17" t="s">
        <v>183</v>
      </c>
      <c r="Z306" s="17" t="s">
        <v>183</v>
      </c>
      <c r="AA306" s="176">
        <v>50</v>
      </c>
      <c r="AB306" s="176">
        <v>8</v>
      </c>
      <c r="AC306" s="176">
        <v>6</v>
      </c>
      <c r="AD306" s="176">
        <v>15</v>
      </c>
      <c r="AE306" s="33">
        <v>0.3</v>
      </c>
      <c r="AF306" s="33">
        <v>0.4</v>
      </c>
      <c r="AG306" s="25" t="str">
        <f>_xlfn.XLOOKUP(F306,'TFS Details'!F:F,'TFS Details'!H:H)</f>
        <v>UAT In Test</v>
      </c>
      <c r="AH306" s="44">
        <v>10</v>
      </c>
      <c r="AI306" s="44">
        <v>0</v>
      </c>
      <c r="AJ306" s="44">
        <v>0</v>
      </c>
      <c r="AK306" s="44">
        <v>0</v>
      </c>
      <c r="AL306" s="40">
        <v>10</v>
      </c>
      <c r="AM306" s="41">
        <f t="shared" si="30"/>
        <v>1</v>
      </c>
      <c r="AN306" s="41">
        <f t="shared" si="31"/>
        <v>1</v>
      </c>
      <c r="AO306" s="25" t="s">
        <v>755</v>
      </c>
      <c r="AP306" s="25" t="str">
        <f>_xlfn.XLOOKUP(F306,'TFS Details'!F:F,'TFS Details'!I:I)</f>
        <v>Gen AI - Solution Review Agent</v>
      </c>
      <c r="AQ306" s="25" t="str">
        <f>_xlfn.XLOOKUP(AP306,'TFS Details'!I:I,'TFS Details'!AE:AE)</f>
        <v>n.d.krishnakumar</v>
      </c>
    </row>
    <row r="307" spans="1:43">
      <c r="A307" s="24" t="str">
        <f>_xlfn.XLOOKUP(F307,'TFS Details'!F:F,'TFS Details'!D:D)</f>
        <v>Solution Review Agent</v>
      </c>
      <c r="B307" s="24" t="str">
        <f>_xlfn.XLOOKUP(F307,'TFS Details'!F:F,'TFS Details'!A:A)</f>
        <v>[Gen AI - SRA] - SRA Landing Page with DSP, RFP Synthesis Version, Deal Level Canvas, Review Outcomes</v>
      </c>
      <c r="C307" s="64">
        <f>_xlfn.XLOOKUP(F307,'TFS Details'!F:F,'TFS Details'!E:E)</f>
        <v>4393835</v>
      </c>
      <c r="D307" s="17" t="s">
        <v>36</v>
      </c>
      <c r="E307" s="73" t="s">
        <v>756</v>
      </c>
      <c r="F307" s="74">
        <v>4393837</v>
      </c>
      <c r="G307" s="73" t="s">
        <v>685</v>
      </c>
      <c r="H307" s="73"/>
      <c r="I307" s="73"/>
      <c r="J307" s="73" t="s">
        <v>102</v>
      </c>
      <c r="K307" s="17" t="s">
        <v>18</v>
      </c>
      <c r="L307" s="16" t="s">
        <v>757</v>
      </c>
      <c r="M307" s="16" t="s">
        <v>57</v>
      </c>
      <c r="N307" s="17" t="s">
        <v>191</v>
      </c>
      <c r="O307" s="134"/>
      <c r="Q307" s="176"/>
      <c r="R307" s="176"/>
      <c r="S307" s="176"/>
      <c r="T307" s="176"/>
      <c r="W307" s="17" t="s">
        <v>183</v>
      </c>
      <c r="X307" s="17" t="s">
        <v>183</v>
      </c>
      <c r="Y307" s="17" t="s">
        <v>183</v>
      </c>
      <c r="Z307" s="17" t="s">
        <v>183</v>
      </c>
      <c r="AA307" s="176">
        <v>25</v>
      </c>
      <c r="AB307" s="176">
        <v>10</v>
      </c>
      <c r="AC307" s="176">
        <v>4</v>
      </c>
      <c r="AD307" s="176">
        <v>17</v>
      </c>
      <c r="AE307" s="33">
        <v>0.25</v>
      </c>
      <c r="AF307" s="33">
        <v>0.5</v>
      </c>
      <c r="AG307" s="25" t="str">
        <f>_xlfn.XLOOKUP(F307,'TFS Details'!F:F,'TFS Details'!H:H)</f>
        <v>UAT In Test</v>
      </c>
      <c r="AH307" s="44">
        <v>8</v>
      </c>
      <c r="AI307" s="44">
        <v>0</v>
      </c>
      <c r="AJ307" s="44">
        <v>0</v>
      </c>
      <c r="AK307" s="44">
        <v>0</v>
      </c>
      <c r="AL307" s="40">
        <v>8</v>
      </c>
      <c r="AM307" s="41">
        <f t="shared" si="30"/>
        <v>1</v>
      </c>
      <c r="AN307" s="41">
        <f t="shared" si="31"/>
        <v>1</v>
      </c>
      <c r="AO307" s="25" t="s">
        <v>758</v>
      </c>
      <c r="AP307" s="25" t="str">
        <f>_xlfn.XLOOKUP(F307,'TFS Details'!F:F,'TFS Details'!I:I)</f>
        <v>Gen AI - Solution Review Agent</v>
      </c>
      <c r="AQ307" s="25" t="str">
        <f>_xlfn.XLOOKUP(AP307,'TFS Details'!I:I,'TFS Details'!AE:AE)</f>
        <v>n.d.krishnakumar</v>
      </c>
    </row>
    <row r="308" spans="1:43">
      <c r="A308" s="24" t="str">
        <f>_xlfn.XLOOKUP(F308,'TFS Details'!F:F,'TFS Details'!D:D)</f>
        <v>Solution Review Agent</v>
      </c>
      <c r="B308" s="24" t="str">
        <f>_xlfn.XLOOKUP(F308,'TFS Details'!F:F,'TFS Details'!A:A)</f>
        <v>[Gen AI - SRA] Introducing Opportunity Context screen in Solution Review Agent</v>
      </c>
      <c r="C308" s="64">
        <f>_xlfn.XLOOKUP(F308,'TFS Details'!F:F,'TFS Details'!E:E)</f>
        <v>4393838</v>
      </c>
      <c r="D308" s="17" t="s">
        <v>36</v>
      </c>
      <c r="E308" s="73" t="s">
        <v>759</v>
      </c>
      <c r="F308" s="74">
        <v>4393840</v>
      </c>
      <c r="G308" s="73" t="s">
        <v>490</v>
      </c>
      <c r="H308" s="73"/>
      <c r="I308" s="73"/>
      <c r="J308" s="73" t="s">
        <v>91</v>
      </c>
      <c r="K308" s="17" t="s">
        <v>1</v>
      </c>
      <c r="L308" s="16"/>
      <c r="N308" s="97" t="s">
        <v>191</v>
      </c>
      <c r="O308" s="134">
        <v>4</v>
      </c>
      <c r="P308" s="33">
        <v>1</v>
      </c>
      <c r="Q308" s="176">
        <v>5</v>
      </c>
      <c r="R308" s="176">
        <v>1</v>
      </c>
      <c r="S308" s="176">
        <v>0</v>
      </c>
      <c r="T308" s="176">
        <v>1</v>
      </c>
      <c r="U308" s="33">
        <v>0.5</v>
      </c>
      <c r="V308" s="33">
        <v>0.5</v>
      </c>
      <c r="W308" s="17" t="s">
        <v>183</v>
      </c>
      <c r="X308" s="17" t="s">
        <v>183</v>
      </c>
      <c r="Y308" s="17" t="s">
        <v>183</v>
      </c>
      <c r="Z308" s="17" t="s">
        <v>183</v>
      </c>
      <c r="AA308" s="176">
        <v>23</v>
      </c>
      <c r="AB308" s="176">
        <v>20</v>
      </c>
      <c r="AC308" s="176">
        <v>4</v>
      </c>
      <c r="AD308" s="176">
        <v>24</v>
      </c>
      <c r="AE308" s="33">
        <v>0.9</v>
      </c>
      <c r="AF308" s="33">
        <v>0.9</v>
      </c>
      <c r="AG308" s="25" t="str">
        <f>_xlfn.XLOOKUP(F308,'TFS Details'!F:F,'TFS Details'!H:H)</f>
        <v>UAT In Test</v>
      </c>
      <c r="AH308" s="44">
        <v>24</v>
      </c>
      <c r="AI308" s="44">
        <v>0</v>
      </c>
      <c r="AJ308" s="44">
        <v>0</v>
      </c>
      <c r="AK308" s="44">
        <v>0</v>
      </c>
      <c r="AL308" s="40">
        <v>24</v>
      </c>
      <c r="AM308" s="41">
        <f t="shared" si="30"/>
        <v>1</v>
      </c>
      <c r="AN308" s="41">
        <f t="shared" si="31"/>
        <v>1</v>
      </c>
      <c r="AO308" s="25" t="s">
        <v>510</v>
      </c>
      <c r="AP308" s="25" t="str">
        <f>_xlfn.XLOOKUP(F308,'TFS Details'!F:F,'TFS Details'!I:I)</f>
        <v>Gen AI - Solution Review Agent</v>
      </c>
      <c r="AQ308" s="25" t="str">
        <f>_xlfn.XLOOKUP(AP308,'TFS Details'!I:I,'TFS Details'!AE:AE)</f>
        <v>n.d.krishnakumar</v>
      </c>
    </row>
    <row r="309" spans="1:43">
      <c r="A309" s="24" t="str">
        <f>_xlfn.XLOOKUP(F309,'TFS Details'!F:F,'TFS Details'!D:D)</f>
        <v>Solution Review Agent</v>
      </c>
      <c r="B309" s="24" t="str">
        <f>_xlfn.XLOOKUP(F309,'TFS Details'!F:F,'TFS Details'!A:A)</f>
        <v>[Gen AI - SRA] - UI changes in Review Agent</v>
      </c>
      <c r="C309" s="64">
        <f>_xlfn.XLOOKUP(F309,'TFS Details'!F:F,'TFS Details'!E:E)</f>
        <v>4392680</v>
      </c>
      <c r="D309" s="17" t="s">
        <v>36</v>
      </c>
      <c r="E309" s="73" t="s">
        <v>760</v>
      </c>
      <c r="F309" s="74">
        <v>4393847</v>
      </c>
      <c r="G309" s="73" t="s">
        <v>490</v>
      </c>
      <c r="H309" s="73"/>
      <c r="I309" s="73"/>
      <c r="J309" s="73" t="s">
        <v>91</v>
      </c>
      <c r="K309" s="17" t="s">
        <v>1</v>
      </c>
      <c r="L309" s="16"/>
      <c r="N309" s="97" t="s">
        <v>191</v>
      </c>
      <c r="O309" s="134">
        <v>4</v>
      </c>
      <c r="P309" s="33">
        <v>1</v>
      </c>
      <c r="Q309" s="176">
        <v>7</v>
      </c>
      <c r="R309" s="176">
        <v>1</v>
      </c>
      <c r="S309" s="176">
        <v>0</v>
      </c>
      <c r="T309" s="176">
        <v>1</v>
      </c>
      <c r="U309" s="33">
        <v>0.5</v>
      </c>
      <c r="V309" s="33">
        <v>0.5</v>
      </c>
      <c r="W309" s="17" t="s">
        <v>183</v>
      </c>
      <c r="X309" s="17" t="s">
        <v>183</v>
      </c>
      <c r="Y309" s="17" t="s">
        <v>183</v>
      </c>
      <c r="Z309" s="17" t="s">
        <v>183</v>
      </c>
      <c r="AA309" s="176">
        <v>22</v>
      </c>
      <c r="AB309" s="176">
        <v>8</v>
      </c>
      <c r="AC309" s="176">
        <v>4</v>
      </c>
      <c r="AD309" s="176">
        <v>12</v>
      </c>
      <c r="AE309" s="33">
        <v>0.8</v>
      </c>
      <c r="AF309" s="33">
        <v>0.9</v>
      </c>
      <c r="AG309" s="25" t="str">
        <f>_xlfn.XLOOKUP(F309,'TFS Details'!F:F,'TFS Details'!H:H)</f>
        <v>UAT In Test</v>
      </c>
      <c r="AH309" s="44">
        <v>12</v>
      </c>
      <c r="AI309" s="44">
        <v>0</v>
      </c>
      <c r="AJ309" s="44">
        <v>0</v>
      </c>
      <c r="AK309" s="44">
        <v>0</v>
      </c>
      <c r="AL309" s="40">
        <v>12</v>
      </c>
      <c r="AM309" s="41">
        <f t="shared" si="30"/>
        <v>1</v>
      </c>
      <c r="AN309" s="41">
        <f t="shared" si="31"/>
        <v>1</v>
      </c>
      <c r="AO309" s="25" t="s">
        <v>434</v>
      </c>
      <c r="AP309" s="25" t="str">
        <f>_xlfn.XLOOKUP(F309,'TFS Details'!F:F,'TFS Details'!I:I)</f>
        <v>Gen AI - Solution Review Agent</v>
      </c>
      <c r="AQ309" s="25" t="str">
        <f>_xlfn.XLOOKUP(AP309,'TFS Details'!I:I,'TFS Details'!AE:AE)</f>
        <v>n.d.krishnakumar</v>
      </c>
    </row>
    <row r="310" spans="1:43">
      <c r="A310" s="24" t="str">
        <f>_xlfn.XLOOKUP(F310,'TFS Details'!F:F,'TFS Details'!D:D)</f>
        <v>DSP</v>
      </c>
      <c r="B310" s="24" t="str">
        <f>_xlfn.XLOOKUP(F310,'TFS Details'!F:F,'TFS Details'!A:A)</f>
        <v>DSP Core Solution Plan Enhancements</v>
      </c>
      <c r="C310" s="64">
        <f>_xlfn.XLOOKUP(F310,'TFS Details'!F:F,'TFS Details'!E:E)</f>
        <v>4373652</v>
      </c>
      <c r="D310" s="17" t="s">
        <v>49</v>
      </c>
      <c r="E310" s="73" t="s">
        <v>761</v>
      </c>
      <c r="F310" s="74">
        <v>4395043</v>
      </c>
      <c r="G310" s="73" t="s">
        <v>654</v>
      </c>
      <c r="H310" s="73"/>
      <c r="I310" s="73"/>
      <c r="J310" s="73" t="s">
        <v>60</v>
      </c>
      <c r="K310" s="17" t="s">
        <v>1</v>
      </c>
      <c r="L310" s="16"/>
      <c r="N310" s="17" t="s">
        <v>182</v>
      </c>
      <c r="O310" s="134">
        <v>4</v>
      </c>
      <c r="P310" s="33">
        <v>1</v>
      </c>
      <c r="Q310" s="176">
        <v>8</v>
      </c>
      <c r="R310" s="176">
        <v>2</v>
      </c>
      <c r="S310" s="176">
        <v>4</v>
      </c>
      <c r="T310" s="176">
        <v>4</v>
      </c>
      <c r="U310" s="33">
        <v>0.45</v>
      </c>
      <c r="V310" s="33">
        <v>0.45</v>
      </c>
      <c r="W310" s="17" t="s">
        <v>183</v>
      </c>
      <c r="X310" s="17" t="s">
        <v>183</v>
      </c>
      <c r="Y310" s="17" t="s">
        <v>183</v>
      </c>
      <c r="Z310" s="17" t="s">
        <v>183</v>
      </c>
      <c r="AA310" s="176">
        <v>20</v>
      </c>
      <c r="AB310" s="176">
        <v>20</v>
      </c>
      <c r="AC310" s="176">
        <v>0</v>
      </c>
      <c r="AD310" s="176">
        <v>20</v>
      </c>
      <c r="AE310" s="33">
        <v>1</v>
      </c>
      <c r="AF310" s="33">
        <v>1</v>
      </c>
      <c r="AG310" s="25" t="str">
        <f>_xlfn.XLOOKUP(F310,'TFS Details'!F:F,'TFS Details'!H:H)</f>
        <v>UAT In Test</v>
      </c>
      <c r="AH310" s="44">
        <v>20</v>
      </c>
      <c r="AI310" s="44">
        <v>0</v>
      </c>
      <c r="AJ310" s="44">
        <v>0</v>
      </c>
      <c r="AK310" s="44">
        <v>0</v>
      </c>
      <c r="AL310" s="40">
        <f t="shared" si="33"/>
        <v>20</v>
      </c>
      <c r="AM310" s="41">
        <f t="shared" si="30"/>
        <v>1</v>
      </c>
      <c r="AN310" s="41">
        <f t="shared" si="31"/>
        <v>1</v>
      </c>
      <c r="AO310" s="25" t="s">
        <v>434</v>
      </c>
      <c r="AP310" s="25" t="str">
        <f>_xlfn.XLOOKUP(F310,'TFS Details'!F:F,'TFS Details'!I:I)</f>
        <v>Pirates</v>
      </c>
      <c r="AQ310" s="25" t="str">
        <f>_xlfn.XLOOKUP(AP310,'TFS Details'!I:I,'TFS Details'!AE:AE)</f>
        <v>pandidurai.ks</v>
      </c>
    </row>
    <row r="311" spans="1:43">
      <c r="A311" s="24" t="str">
        <f>_xlfn.XLOOKUP(F311,'TFS Details'!F:F,'TFS Details'!D:D)</f>
        <v>DSP</v>
      </c>
      <c r="B311" s="24" t="str">
        <f>_xlfn.XLOOKUP(F311,'TFS Details'!F:F,'TFS Details'!A:A)</f>
        <v>PPT/PDF Updated for all SGs</v>
      </c>
      <c r="C311" s="64">
        <f>_xlfn.XLOOKUP(F311,'TFS Details'!F:F,'TFS Details'!E:E)</f>
        <v>4395058</v>
      </c>
      <c r="D311" s="17" t="s">
        <v>49</v>
      </c>
      <c r="E311" s="73" t="s">
        <v>762</v>
      </c>
      <c r="F311" s="74">
        <v>4395049</v>
      </c>
      <c r="G311" s="73" t="s">
        <v>733</v>
      </c>
      <c r="H311" s="73"/>
      <c r="I311" s="73"/>
      <c r="J311" s="73" t="s">
        <v>733</v>
      </c>
      <c r="K311" s="17" t="s">
        <v>18</v>
      </c>
      <c r="L311" s="16" t="s">
        <v>763</v>
      </c>
      <c r="M311" s="16" t="s">
        <v>54</v>
      </c>
      <c r="N311" s="17" t="s">
        <v>191</v>
      </c>
      <c r="O311" s="134"/>
      <c r="Q311" s="176"/>
      <c r="R311" s="176"/>
      <c r="S311" s="176"/>
      <c r="T311" s="176"/>
      <c r="W311" s="17" t="s">
        <v>183</v>
      </c>
      <c r="X311" s="17" t="s">
        <v>183</v>
      </c>
      <c r="Y311" s="17" t="s">
        <v>246</v>
      </c>
      <c r="Z311" s="17" t="s">
        <v>183</v>
      </c>
      <c r="AA311" s="176">
        <v>50</v>
      </c>
      <c r="AB311" s="176">
        <v>15</v>
      </c>
      <c r="AC311" s="176">
        <v>0</v>
      </c>
      <c r="AD311" s="176">
        <v>15</v>
      </c>
      <c r="AE311" s="33">
        <v>1</v>
      </c>
      <c r="AF311" s="33">
        <v>0.9</v>
      </c>
      <c r="AG311" s="25" t="str">
        <f>_xlfn.XLOOKUP(F311,'TFS Details'!F:F,'TFS Details'!H:H)</f>
        <v>UAT In Test</v>
      </c>
      <c r="AH311" s="44">
        <v>15</v>
      </c>
      <c r="AI311" s="44">
        <v>0</v>
      </c>
      <c r="AJ311" s="44">
        <v>0</v>
      </c>
      <c r="AK311" s="44">
        <v>0</v>
      </c>
      <c r="AL311" s="40">
        <f t="shared" si="33"/>
        <v>15</v>
      </c>
      <c r="AM311" s="41">
        <f t="shared" si="30"/>
        <v>1</v>
      </c>
      <c r="AN311" s="41">
        <f t="shared" si="31"/>
        <v>1</v>
      </c>
      <c r="AO311" s="25" t="s">
        <v>510</v>
      </c>
      <c r="AP311" s="25" t="str">
        <f>_xlfn.XLOOKUP(F311,'TFS Details'!F:F,'TFS Details'!I:I)</f>
        <v>Pirates</v>
      </c>
      <c r="AQ311" s="25" t="str">
        <f>_xlfn.XLOOKUP(AP311,'TFS Details'!I:I,'TFS Details'!AE:AE)</f>
        <v>pandidurai.ks</v>
      </c>
    </row>
    <row r="312" spans="1:43">
      <c r="A312" s="24" t="str">
        <f>_xlfn.XLOOKUP(F312,'TFS Details'!F:F,'TFS Details'!D:D)</f>
        <v>DSP</v>
      </c>
      <c r="B312" s="24" t="str">
        <f>_xlfn.XLOOKUP(F312,'TFS Details'!F:F,'TFS Details'!A:A)</f>
        <v>DSP Core Solution Plan Enhancements</v>
      </c>
      <c r="C312" s="64">
        <f>_xlfn.XLOOKUP(F312,'TFS Details'!F:F,'TFS Details'!E:E)</f>
        <v>4373652</v>
      </c>
      <c r="D312" s="17" t="s">
        <v>49</v>
      </c>
      <c r="E312" s="73" t="s">
        <v>764</v>
      </c>
      <c r="F312" s="74">
        <v>4395050</v>
      </c>
      <c r="G312" s="73" t="s">
        <v>733</v>
      </c>
      <c r="H312" s="73"/>
      <c r="I312" s="73"/>
      <c r="J312" s="73" t="s">
        <v>733</v>
      </c>
      <c r="K312" s="17" t="s">
        <v>18</v>
      </c>
      <c r="L312" s="16" t="s">
        <v>765</v>
      </c>
      <c r="M312" s="16" t="s">
        <v>48</v>
      </c>
      <c r="N312" s="17" t="s">
        <v>191</v>
      </c>
      <c r="O312" s="134"/>
      <c r="Q312" s="176"/>
      <c r="R312" s="176"/>
      <c r="S312" s="176"/>
      <c r="T312" s="176"/>
      <c r="W312" s="17" t="s">
        <v>183</v>
      </c>
      <c r="X312" s="17" t="s">
        <v>183</v>
      </c>
      <c r="Y312" s="17" t="s">
        <v>246</v>
      </c>
      <c r="Z312" s="17" t="s">
        <v>183</v>
      </c>
      <c r="AA312" s="176">
        <v>50</v>
      </c>
      <c r="AB312" s="176">
        <v>25</v>
      </c>
      <c r="AC312" s="176">
        <v>0</v>
      </c>
      <c r="AD312" s="176">
        <v>25</v>
      </c>
      <c r="AE312" s="33">
        <v>1</v>
      </c>
      <c r="AF312" s="33">
        <v>0.9</v>
      </c>
      <c r="AG312" s="25" t="str">
        <f>_xlfn.XLOOKUP(F312,'TFS Details'!F:F,'TFS Details'!H:H)</f>
        <v>UAT In Test</v>
      </c>
      <c r="AH312" s="44">
        <v>25</v>
      </c>
      <c r="AI312" s="44">
        <v>0</v>
      </c>
      <c r="AJ312" s="44">
        <v>0</v>
      </c>
      <c r="AK312" s="44">
        <v>0</v>
      </c>
      <c r="AL312" s="40">
        <f t="shared" si="33"/>
        <v>25</v>
      </c>
      <c r="AM312" s="41">
        <f t="shared" si="30"/>
        <v>1</v>
      </c>
      <c r="AN312" s="41">
        <f t="shared" si="31"/>
        <v>1</v>
      </c>
      <c r="AO312" s="25" t="s">
        <v>510</v>
      </c>
      <c r="AP312" s="25" t="str">
        <f>_xlfn.XLOOKUP(F312,'TFS Details'!F:F,'TFS Details'!I:I)</f>
        <v>Pirates</v>
      </c>
      <c r="AQ312" s="25" t="str">
        <f>_xlfn.XLOOKUP(AP312,'TFS Details'!I:I,'TFS Details'!AE:AE)</f>
        <v>pandidurai.ks</v>
      </c>
    </row>
    <row r="313" spans="1:43">
      <c r="A313" s="24" t="str">
        <f>_xlfn.XLOOKUP(F313,'TFS Details'!F:F,'TFS Details'!D:D)</f>
        <v>DSP</v>
      </c>
      <c r="B313" s="24" t="str">
        <f>_xlfn.XLOOKUP(F313,'TFS Details'!F:F,'TFS Details'!A:A)</f>
        <v>DSP Core Solution Plan Enhancements</v>
      </c>
      <c r="C313" s="64">
        <f>_xlfn.XLOOKUP(F313,'TFS Details'!F:F,'TFS Details'!E:E)</f>
        <v>4373652</v>
      </c>
      <c r="D313" s="17" t="s">
        <v>49</v>
      </c>
      <c r="E313" s="73" t="s">
        <v>766</v>
      </c>
      <c r="F313" s="74">
        <v>4395036</v>
      </c>
      <c r="G313" s="73" t="s">
        <v>619</v>
      </c>
      <c r="H313" s="73"/>
      <c r="I313" s="73"/>
      <c r="J313" s="73" t="s">
        <v>85</v>
      </c>
      <c r="K313" s="17" t="s">
        <v>1</v>
      </c>
      <c r="L313" s="16"/>
      <c r="N313" s="17" t="s">
        <v>191</v>
      </c>
      <c r="O313" s="134">
        <v>1</v>
      </c>
      <c r="P313" s="33">
        <v>1</v>
      </c>
      <c r="Q313" s="176">
        <v>1</v>
      </c>
      <c r="R313" s="176">
        <v>1</v>
      </c>
      <c r="S313" s="176">
        <v>0</v>
      </c>
      <c r="T313" s="176">
        <v>1</v>
      </c>
      <c r="U313" s="33">
        <v>0.8</v>
      </c>
      <c r="V313" s="33">
        <v>0.8</v>
      </c>
      <c r="W313" s="17" t="s">
        <v>183</v>
      </c>
      <c r="X313" s="17" t="s">
        <v>201</v>
      </c>
      <c r="Y313" s="17" t="s">
        <v>183</v>
      </c>
      <c r="Z313" s="17" t="s">
        <v>183</v>
      </c>
      <c r="AA313" s="176">
        <v>33</v>
      </c>
      <c r="AB313" s="176">
        <v>15</v>
      </c>
      <c r="AC313" s="176">
        <v>2</v>
      </c>
      <c r="AD313" s="176">
        <v>17</v>
      </c>
      <c r="AE313" s="33">
        <v>0.7</v>
      </c>
      <c r="AF313" s="33">
        <v>0.7</v>
      </c>
      <c r="AG313" s="25" t="str">
        <f>_xlfn.XLOOKUP(F313,'TFS Details'!F:F,'TFS Details'!H:H)</f>
        <v>UAT In Test</v>
      </c>
      <c r="AH313" s="44">
        <v>17</v>
      </c>
      <c r="AI313" s="44">
        <v>0</v>
      </c>
      <c r="AJ313" s="44">
        <v>0</v>
      </c>
      <c r="AK313" s="44">
        <v>0</v>
      </c>
      <c r="AL313" s="40">
        <v>17</v>
      </c>
      <c r="AM313" s="41">
        <f t="shared" si="30"/>
        <v>1</v>
      </c>
      <c r="AN313" s="41">
        <f t="shared" si="31"/>
        <v>1</v>
      </c>
      <c r="AO313" s="25" t="s">
        <v>620</v>
      </c>
      <c r="AP313" s="25" t="str">
        <f>_xlfn.XLOOKUP(F313,'TFS Details'!F:F,'TFS Details'!I:I)</f>
        <v>Pixel Pioneers</v>
      </c>
      <c r="AQ313" s="25" t="str">
        <f>_xlfn.XLOOKUP(AP313,'TFS Details'!I:I,'TFS Details'!AE:AE)</f>
        <v>pandidurai.ks</v>
      </c>
    </row>
    <row r="314" spans="1:43">
      <c r="A314" s="24" t="str">
        <f>_xlfn.XLOOKUP(F314,'TFS Details'!F:F,'TFS Details'!D:D)</f>
        <v>DSP</v>
      </c>
      <c r="B314" s="24" t="str">
        <f>_xlfn.XLOOKUP(F314,'TFS Details'!F:F,'TFS Details'!A:A)</f>
        <v>DSP Core Solution Plan Enhancements</v>
      </c>
      <c r="C314" s="64">
        <f>_xlfn.XLOOKUP(F314,'TFS Details'!F:F,'TFS Details'!E:E)</f>
        <v>4373652</v>
      </c>
      <c r="D314" s="17" t="s">
        <v>49</v>
      </c>
      <c r="E314" s="73" t="s">
        <v>767</v>
      </c>
      <c r="F314" s="74">
        <v>4395037</v>
      </c>
      <c r="G314" s="73" t="s">
        <v>619</v>
      </c>
      <c r="H314" s="73"/>
      <c r="I314" s="73"/>
      <c r="J314" s="73"/>
      <c r="K314" s="97" t="s">
        <v>18</v>
      </c>
      <c r="L314" s="16" t="s">
        <v>768</v>
      </c>
      <c r="M314" s="16" t="s">
        <v>54</v>
      </c>
      <c r="N314" s="17" t="s">
        <v>191</v>
      </c>
      <c r="O314" s="134"/>
      <c r="Q314" s="176"/>
      <c r="R314" s="176"/>
      <c r="S314" s="176"/>
      <c r="T314" s="176"/>
      <c r="W314" s="17" t="s">
        <v>183</v>
      </c>
      <c r="X314" s="17" t="s">
        <v>201</v>
      </c>
      <c r="Y314" s="17" t="s">
        <v>183</v>
      </c>
      <c r="Z314" s="17" t="s">
        <v>183</v>
      </c>
      <c r="AA314" s="176">
        <v>35</v>
      </c>
      <c r="AB314" s="176">
        <v>14</v>
      </c>
      <c r="AC314" s="176">
        <v>2</v>
      </c>
      <c r="AD314" s="176">
        <v>14</v>
      </c>
      <c r="AE314" s="33">
        <v>0.6</v>
      </c>
      <c r="AF314" s="33">
        <v>0.7</v>
      </c>
      <c r="AG314" s="25" t="str">
        <f>_xlfn.XLOOKUP(F314,'TFS Details'!F:F,'TFS Details'!H:H)</f>
        <v>UAT In Test</v>
      </c>
      <c r="AH314" s="44">
        <v>14</v>
      </c>
      <c r="AI314" s="44">
        <v>0</v>
      </c>
      <c r="AJ314" s="44">
        <v>0</v>
      </c>
      <c r="AK314" s="44">
        <v>0</v>
      </c>
      <c r="AL314" s="40">
        <f>SUM(AH314:AK314)</f>
        <v>14</v>
      </c>
      <c r="AM314" s="41">
        <f t="shared" si="30"/>
        <v>1</v>
      </c>
      <c r="AN314" s="41">
        <f t="shared" si="31"/>
        <v>1</v>
      </c>
      <c r="AO314" s="25" t="s">
        <v>769</v>
      </c>
      <c r="AP314" s="25" t="str">
        <f>_xlfn.XLOOKUP(F314,'TFS Details'!F:F,'TFS Details'!I:I)</f>
        <v>Pirates</v>
      </c>
      <c r="AQ314" s="25" t="str">
        <f>_xlfn.XLOOKUP(AP314,'TFS Details'!I:I,'TFS Details'!AE:AE)</f>
        <v>pandidurai.ks</v>
      </c>
    </row>
    <row r="315" spans="1:43">
      <c r="A315" s="24" t="str">
        <f>_xlfn.XLOOKUP(F315,'TFS Details'!F:F,'TFS Details'!D:D)</f>
        <v>DSP</v>
      </c>
      <c r="B315" s="24" t="str">
        <f>_xlfn.XLOOKUP(F315,'TFS Details'!F:F,'TFS Details'!A:A)</f>
        <v>DSP Core Solution Plan Enhancements</v>
      </c>
      <c r="C315" s="64">
        <f>_xlfn.XLOOKUP(F315,'TFS Details'!F:F,'TFS Details'!E:E)</f>
        <v>4373652</v>
      </c>
      <c r="D315" s="17" t="s">
        <v>49</v>
      </c>
      <c r="E315" s="73" t="s">
        <v>770</v>
      </c>
      <c r="F315" s="74">
        <v>4395038</v>
      </c>
      <c r="G315" s="73" t="s">
        <v>619</v>
      </c>
      <c r="H315" s="73"/>
      <c r="I315" s="73"/>
      <c r="J315" s="73"/>
      <c r="K315" s="97" t="s">
        <v>18</v>
      </c>
      <c r="L315" s="16" t="s">
        <v>768</v>
      </c>
      <c r="M315" s="16" t="s">
        <v>54</v>
      </c>
      <c r="N315" s="17" t="s">
        <v>191</v>
      </c>
      <c r="O315" s="134"/>
      <c r="Q315" s="176"/>
      <c r="R315" s="176"/>
      <c r="S315" s="176"/>
      <c r="T315" s="176"/>
      <c r="W315" s="17" t="s">
        <v>183</v>
      </c>
      <c r="X315" s="17" t="s">
        <v>201</v>
      </c>
      <c r="Y315" s="17" t="s">
        <v>183</v>
      </c>
      <c r="Z315" s="17" t="s">
        <v>183</v>
      </c>
      <c r="AA315" s="176">
        <v>37</v>
      </c>
      <c r="AB315" s="176">
        <v>13</v>
      </c>
      <c r="AC315" s="176">
        <v>2</v>
      </c>
      <c r="AD315" s="176">
        <v>15</v>
      </c>
      <c r="AE315" s="33">
        <v>0.75</v>
      </c>
      <c r="AF315" s="33">
        <v>0.75</v>
      </c>
      <c r="AG315" s="25" t="str">
        <f>_xlfn.XLOOKUP(F315,'TFS Details'!F:F,'TFS Details'!H:H)</f>
        <v>UAT In Test</v>
      </c>
      <c r="AH315" s="44">
        <v>15</v>
      </c>
      <c r="AI315" s="44">
        <v>0</v>
      </c>
      <c r="AJ315" s="44">
        <v>0</v>
      </c>
      <c r="AK315" s="44">
        <v>0</v>
      </c>
      <c r="AL315" s="40">
        <v>15</v>
      </c>
      <c r="AM315" s="41">
        <f t="shared" si="30"/>
        <v>1</v>
      </c>
      <c r="AN315" s="41">
        <f t="shared" si="31"/>
        <v>1</v>
      </c>
      <c r="AO315" s="25" t="s">
        <v>769</v>
      </c>
      <c r="AP315" s="25" t="str">
        <f>_xlfn.XLOOKUP(F315,'TFS Details'!F:F,'TFS Details'!I:I)</f>
        <v>Pirates</v>
      </c>
      <c r="AQ315" s="25" t="str">
        <f>_xlfn.XLOOKUP(AP315,'TFS Details'!I:I,'TFS Details'!AE:AE)</f>
        <v>pandidurai.ks</v>
      </c>
    </row>
    <row r="316" spans="1:43">
      <c r="A316" s="24" t="str">
        <f>_xlfn.XLOOKUP(F316,'TFS Details'!F:F,'TFS Details'!D:D)</f>
        <v>DSP</v>
      </c>
      <c r="B316" s="24" t="str">
        <f>_xlfn.XLOOKUP(F316,'TFS Details'!F:F,'TFS Details'!A:A)</f>
        <v>DSP Core Solution Plan Enhancements</v>
      </c>
      <c r="C316" s="64">
        <f>_xlfn.XLOOKUP(F316,'TFS Details'!F:F,'TFS Details'!E:E)</f>
        <v>4373652</v>
      </c>
      <c r="D316" s="17" t="s">
        <v>49</v>
      </c>
      <c r="E316" s="73" t="s">
        <v>771</v>
      </c>
      <c r="F316" s="74">
        <v>4395039</v>
      </c>
      <c r="G316" s="73" t="s">
        <v>581</v>
      </c>
      <c r="H316" s="73"/>
      <c r="I316" s="73"/>
      <c r="J316" s="73"/>
      <c r="K316" s="97" t="s">
        <v>18</v>
      </c>
      <c r="L316" s="16" t="s">
        <v>772</v>
      </c>
      <c r="M316" s="16" t="s">
        <v>54</v>
      </c>
      <c r="N316" s="17"/>
      <c r="O316" s="134"/>
      <c r="Q316" s="176"/>
      <c r="R316" s="176"/>
      <c r="S316" s="176"/>
      <c r="T316" s="176"/>
      <c r="W316" s="17" t="s">
        <v>183</v>
      </c>
      <c r="X316" s="17" t="s">
        <v>183</v>
      </c>
      <c r="Y316" s="17" t="s">
        <v>183</v>
      </c>
      <c r="Z316" s="17" t="s">
        <v>183</v>
      </c>
      <c r="AA316" s="176">
        <v>36</v>
      </c>
      <c r="AB316" s="176">
        <v>23</v>
      </c>
      <c r="AC316" s="176">
        <v>0</v>
      </c>
      <c r="AD316" s="176">
        <v>23</v>
      </c>
      <c r="AE316" s="33">
        <v>0.8</v>
      </c>
      <c r="AF316" s="33">
        <v>0.9</v>
      </c>
      <c r="AG316" s="25" t="str">
        <f>_xlfn.XLOOKUP(F316,'TFS Details'!F:F,'TFS Details'!H:H)</f>
        <v>UAT In Test</v>
      </c>
      <c r="AH316" s="44">
        <v>23</v>
      </c>
      <c r="AI316" s="44">
        <v>0</v>
      </c>
      <c r="AJ316" s="44">
        <v>0</v>
      </c>
      <c r="AK316" s="44">
        <v>0</v>
      </c>
      <c r="AL316" s="40">
        <f t="shared" ref="AL316:AL352" si="34">SUM(AH316:AK316)</f>
        <v>23</v>
      </c>
      <c r="AM316" s="41">
        <f t="shared" si="30"/>
        <v>1</v>
      </c>
      <c r="AN316" s="41">
        <f t="shared" ref="AN316:AN352" si="35">IF(AH316=0,0,AH316/(SUM(AH316:AJ316)))</f>
        <v>1</v>
      </c>
      <c r="AO316" s="25"/>
      <c r="AP316" s="25" t="str">
        <f>_xlfn.XLOOKUP(F316,'TFS Details'!F:F,'TFS Details'!I:I)</f>
        <v>Pirates</v>
      </c>
      <c r="AQ316" s="25" t="str">
        <f>_xlfn.XLOOKUP(AP316,'TFS Details'!I:I,'TFS Details'!AE:AE)</f>
        <v>pandidurai.ks</v>
      </c>
    </row>
    <row r="317" spans="1:43">
      <c r="A317" s="24" t="str">
        <f>_xlfn.XLOOKUP(F317,'TFS Details'!F:F,'TFS Details'!D:D)</f>
        <v>Document Type Rename</v>
      </c>
      <c r="B317" s="24" t="str">
        <f>_xlfn.XLOOKUP(F317,'TFS Details'!F:F,'TFS Details'!A:A)</f>
        <v>March Release NextGen Enhancements</v>
      </c>
      <c r="C317" s="64">
        <f>_xlfn.XLOOKUP(F317,'TFS Details'!F:F,'TFS Details'!E:E)</f>
        <v>4365826</v>
      </c>
      <c r="D317" s="17" t="s">
        <v>49</v>
      </c>
      <c r="E317" s="73" t="s">
        <v>773</v>
      </c>
      <c r="F317" s="74">
        <v>4391360</v>
      </c>
      <c r="G317" s="73" t="s">
        <v>581</v>
      </c>
      <c r="H317" s="73"/>
      <c r="I317" s="73"/>
      <c r="J317" s="73" t="s">
        <v>113</v>
      </c>
      <c r="K317" s="17" t="s">
        <v>1</v>
      </c>
      <c r="L317" s="16"/>
      <c r="N317" s="97" t="s">
        <v>277</v>
      </c>
      <c r="O317" s="134">
        <v>1</v>
      </c>
      <c r="P317" s="33">
        <v>1</v>
      </c>
      <c r="Q317" s="176">
        <v>12</v>
      </c>
      <c r="R317" s="176">
        <v>7</v>
      </c>
      <c r="S317" s="176">
        <v>3</v>
      </c>
      <c r="T317" s="176">
        <v>10</v>
      </c>
      <c r="U317" s="33">
        <v>0.4</v>
      </c>
      <c r="V317" s="33">
        <v>0.3</v>
      </c>
      <c r="W317" s="17" t="s">
        <v>183</v>
      </c>
      <c r="X317" s="17" t="s">
        <v>183</v>
      </c>
      <c r="Y317" s="17" t="s">
        <v>183</v>
      </c>
      <c r="Z317" s="17" t="s">
        <v>183</v>
      </c>
      <c r="AA317" s="176">
        <v>40</v>
      </c>
      <c r="AB317" s="176">
        <v>8</v>
      </c>
      <c r="AC317" s="176">
        <v>1</v>
      </c>
      <c r="AD317" s="176">
        <v>9</v>
      </c>
      <c r="AE317" s="33">
        <v>0.75</v>
      </c>
      <c r="AF317" s="33">
        <v>0.9</v>
      </c>
      <c r="AG317" s="25" t="str">
        <f>_xlfn.XLOOKUP(F317,'TFS Details'!F:F,'TFS Details'!H:H)</f>
        <v>UAT In Test</v>
      </c>
      <c r="AH317" s="44">
        <v>9</v>
      </c>
      <c r="AI317" s="44">
        <v>0</v>
      </c>
      <c r="AJ317" s="44">
        <v>0</v>
      </c>
      <c r="AK317" s="44">
        <v>0</v>
      </c>
      <c r="AL317" s="40">
        <f t="shared" si="34"/>
        <v>9</v>
      </c>
      <c r="AM317" s="41">
        <f t="shared" si="30"/>
        <v>1</v>
      </c>
      <c r="AN317" s="41">
        <f t="shared" si="35"/>
        <v>1</v>
      </c>
      <c r="AO317" s="25"/>
      <c r="AP317" s="25" t="str">
        <f>_xlfn.XLOOKUP(F317,'TFS Details'!F:F,'TFS Details'!I:I)</f>
        <v>Ninjawarriors</v>
      </c>
      <c r="AQ317" s="25" t="str">
        <f>_xlfn.XLOOKUP(AP317,'TFS Details'!I:I,'TFS Details'!AE:AE)</f>
        <v>pandidurai.ks</v>
      </c>
    </row>
    <row r="318" spans="1:43">
      <c r="A318" s="24" t="str">
        <f>_xlfn.XLOOKUP(F318,'TFS Details'!F:F,'TFS Details'!D:D)</f>
        <v>DSP</v>
      </c>
      <c r="B318" s="24" t="str">
        <f>_xlfn.XLOOKUP(F318,'TFS Details'!F:F,'TFS Details'!A:A)</f>
        <v>DSP Core Solution Plan Enhancements</v>
      </c>
      <c r="C318" s="64">
        <f>_xlfn.XLOOKUP(F318,'TFS Details'!F:F,'TFS Details'!E:E)</f>
        <v>4373652</v>
      </c>
      <c r="D318" s="17" t="s">
        <v>49</v>
      </c>
      <c r="E318" s="73" t="s">
        <v>774</v>
      </c>
      <c r="F318" s="74">
        <v>4395035</v>
      </c>
      <c r="G318" s="73" t="s">
        <v>581</v>
      </c>
      <c r="H318" s="73"/>
      <c r="I318" s="73"/>
      <c r="J318" s="73"/>
      <c r="K318" s="97" t="s">
        <v>18</v>
      </c>
      <c r="L318" s="16" t="s">
        <v>772</v>
      </c>
      <c r="M318" s="16" t="s">
        <v>54</v>
      </c>
      <c r="N318" s="17"/>
      <c r="O318" s="134"/>
      <c r="Q318" s="176"/>
      <c r="R318" s="176"/>
      <c r="S318" s="176"/>
      <c r="T318" s="176"/>
      <c r="W318" s="17" t="s">
        <v>183</v>
      </c>
      <c r="X318" s="17" t="s">
        <v>183</v>
      </c>
      <c r="Y318" s="17" t="s">
        <v>183</v>
      </c>
      <c r="Z318" s="17" t="s">
        <v>183</v>
      </c>
      <c r="AA318" s="176">
        <v>40</v>
      </c>
      <c r="AB318" s="176">
        <v>16</v>
      </c>
      <c r="AC318" s="176">
        <v>0</v>
      </c>
      <c r="AD318" s="176">
        <v>16</v>
      </c>
      <c r="AE318" s="33">
        <v>0.8</v>
      </c>
      <c r="AF318" s="33">
        <v>0.9</v>
      </c>
      <c r="AG318" s="25" t="str">
        <f>_xlfn.XLOOKUP(F318,'TFS Details'!F:F,'TFS Details'!H:H)</f>
        <v>UAT In Test</v>
      </c>
      <c r="AH318" s="44">
        <v>16</v>
      </c>
      <c r="AI318" s="44">
        <v>0</v>
      </c>
      <c r="AJ318" s="44">
        <v>0</v>
      </c>
      <c r="AK318" s="44">
        <v>0</v>
      </c>
      <c r="AL318" s="40">
        <f t="shared" si="34"/>
        <v>16</v>
      </c>
      <c r="AM318" s="41">
        <f t="shared" si="30"/>
        <v>1</v>
      </c>
      <c r="AN318" s="41">
        <f t="shared" si="35"/>
        <v>1</v>
      </c>
      <c r="AO318" s="25"/>
      <c r="AP318" s="25" t="str">
        <f>_xlfn.XLOOKUP(F318,'TFS Details'!F:F,'TFS Details'!I:I)</f>
        <v>Ninjawarriors</v>
      </c>
      <c r="AQ318" s="25" t="str">
        <f>_xlfn.XLOOKUP(AP318,'TFS Details'!I:I,'TFS Details'!AE:AE)</f>
        <v>pandidurai.ks</v>
      </c>
    </row>
    <row r="319" spans="1:43">
      <c r="A319" s="24" t="str">
        <f>_xlfn.XLOOKUP(F319,'TFS Details'!F:F,'TFS Details'!D:D)</f>
        <v>DSP</v>
      </c>
      <c r="B319" s="24" t="str">
        <f>_xlfn.XLOOKUP(F319,'TFS Details'!F:F,'TFS Details'!A:A)</f>
        <v>DSP Core Solution Plan Enhancements</v>
      </c>
      <c r="C319" s="64">
        <f>_xlfn.XLOOKUP(F319,'TFS Details'!F:F,'TFS Details'!E:E)</f>
        <v>4373652</v>
      </c>
      <c r="D319" s="17" t="s">
        <v>49</v>
      </c>
      <c r="E319" s="73" t="s">
        <v>775</v>
      </c>
      <c r="F319" s="74">
        <v>4395041</v>
      </c>
      <c r="G319" s="73" t="s">
        <v>505</v>
      </c>
      <c r="H319" s="73"/>
      <c r="I319" s="73"/>
      <c r="J319" s="73" t="s">
        <v>108</v>
      </c>
      <c r="K319" s="97" t="s">
        <v>18</v>
      </c>
      <c r="L319" s="16" t="s">
        <v>776</v>
      </c>
      <c r="M319" s="16" t="s">
        <v>54</v>
      </c>
      <c r="N319" s="17"/>
      <c r="O319" s="134"/>
      <c r="Q319" s="176"/>
      <c r="R319" s="176"/>
      <c r="S319" s="176"/>
      <c r="T319" s="176"/>
      <c r="W319" s="17" t="s">
        <v>183</v>
      </c>
      <c r="X319" s="17" t="s">
        <v>183</v>
      </c>
      <c r="Y319" s="17" t="s">
        <v>183</v>
      </c>
      <c r="Z319" s="17" t="s">
        <v>183</v>
      </c>
      <c r="AA319" s="176">
        <v>40</v>
      </c>
      <c r="AB319" s="176">
        <v>5</v>
      </c>
      <c r="AC319" s="176">
        <v>0</v>
      </c>
      <c r="AD319" s="176">
        <v>5</v>
      </c>
      <c r="AE319" s="33">
        <v>0.7</v>
      </c>
      <c r="AF319" s="33">
        <v>0.6</v>
      </c>
      <c r="AG319" s="25" t="str">
        <f>_xlfn.XLOOKUP(F319,'TFS Details'!F:F,'TFS Details'!H:H)</f>
        <v>UAT In Test</v>
      </c>
      <c r="AH319" s="44">
        <v>5</v>
      </c>
      <c r="AI319" s="44">
        <v>0</v>
      </c>
      <c r="AJ319" s="44">
        <v>0</v>
      </c>
      <c r="AK319" s="44">
        <v>0</v>
      </c>
      <c r="AL319" s="40">
        <f t="shared" si="34"/>
        <v>5</v>
      </c>
      <c r="AM319" s="41">
        <f t="shared" si="30"/>
        <v>1</v>
      </c>
      <c r="AN319" s="41">
        <f t="shared" si="35"/>
        <v>1</v>
      </c>
      <c r="AO319" s="25"/>
      <c r="AP319" s="25" t="str">
        <f>_xlfn.XLOOKUP(F319,'TFS Details'!F:F,'TFS Details'!I:I)</f>
        <v>Ninjawarriors</v>
      </c>
      <c r="AQ319" s="25" t="str">
        <f>_xlfn.XLOOKUP(AP319,'TFS Details'!I:I,'TFS Details'!AE:AE)</f>
        <v>pandidurai.ks</v>
      </c>
    </row>
    <row r="320" spans="1:43">
      <c r="A320" s="24" t="str">
        <f>_xlfn.XLOOKUP(F320,'TFS Details'!F:F,'TFS Details'!D:D)</f>
        <v>DSP</v>
      </c>
      <c r="B320" s="24" t="str">
        <f>_xlfn.XLOOKUP(F320,'TFS Details'!F:F,'TFS Details'!A:A)</f>
        <v>PPT/PDF Updated for all SGs</v>
      </c>
      <c r="C320" s="64">
        <f>_xlfn.XLOOKUP(F320,'TFS Details'!F:F,'TFS Details'!E:E)</f>
        <v>4395058</v>
      </c>
      <c r="D320" s="17" t="s">
        <v>49</v>
      </c>
      <c r="E320" s="73" t="s">
        <v>777</v>
      </c>
      <c r="F320" s="74">
        <v>4395033</v>
      </c>
      <c r="G320" s="73" t="s">
        <v>526</v>
      </c>
      <c r="H320" s="73"/>
      <c r="I320" s="73"/>
      <c r="J320" s="73" t="s">
        <v>114</v>
      </c>
      <c r="K320" s="17" t="s">
        <v>1</v>
      </c>
      <c r="L320" s="16"/>
      <c r="N320" s="17" t="s">
        <v>182</v>
      </c>
      <c r="O320" s="134">
        <v>3</v>
      </c>
      <c r="P320" s="33">
        <v>1</v>
      </c>
      <c r="Q320" s="176">
        <v>3</v>
      </c>
      <c r="R320" s="176">
        <v>1</v>
      </c>
      <c r="S320" s="176">
        <v>1</v>
      </c>
      <c r="T320" s="176">
        <v>1</v>
      </c>
      <c r="U320" s="33">
        <v>0.7</v>
      </c>
      <c r="V320" s="33">
        <v>0.7</v>
      </c>
      <c r="W320" s="17" t="s">
        <v>183</v>
      </c>
      <c r="X320" s="17" t="s">
        <v>183</v>
      </c>
      <c r="Y320" s="17" t="s">
        <v>183</v>
      </c>
      <c r="Z320" s="17" t="s">
        <v>183</v>
      </c>
      <c r="AA320" s="176">
        <v>40</v>
      </c>
      <c r="AB320" s="176">
        <v>14</v>
      </c>
      <c r="AC320" s="176">
        <v>0</v>
      </c>
      <c r="AD320" s="176">
        <v>14</v>
      </c>
      <c r="AE320" s="33">
        <v>0.9</v>
      </c>
      <c r="AF320" s="33">
        <v>0.9</v>
      </c>
      <c r="AG320" s="25" t="str">
        <f>_xlfn.XLOOKUP(F320,'TFS Details'!F:F,'TFS Details'!H:H)</f>
        <v>UAT In Test</v>
      </c>
      <c r="AH320" s="44">
        <v>14</v>
      </c>
      <c r="AI320" s="44">
        <v>0</v>
      </c>
      <c r="AJ320" s="44">
        <v>0</v>
      </c>
      <c r="AK320" s="176">
        <v>0</v>
      </c>
      <c r="AL320" s="40">
        <f t="shared" si="34"/>
        <v>14</v>
      </c>
      <c r="AM320" s="41">
        <f t="shared" si="30"/>
        <v>1</v>
      </c>
      <c r="AN320" s="41">
        <f t="shared" si="35"/>
        <v>1</v>
      </c>
      <c r="AO320" s="25"/>
      <c r="AP320" s="25" t="str">
        <f>_xlfn.XLOOKUP(F320,'TFS Details'!F:F,'TFS Details'!I:I)</f>
        <v>Ninjawarriors</v>
      </c>
      <c r="AQ320" s="25" t="str">
        <f>_xlfn.XLOOKUP(AP320,'TFS Details'!I:I,'TFS Details'!AE:AE)</f>
        <v>pandidurai.ks</v>
      </c>
    </row>
    <row r="321" spans="1:43">
      <c r="A321" s="24" t="str">
        <f>_xlfn.XLOOKUP(F321,'TFS Details'!F:F,'TFS Details'!D:D)</f>
        <v>DSP</v>
      </c>
      <c r="B321" s="24" t="str">
        <f>_xlfn.XLOOKUP(F321,'TFS Details'!F:F,'TFS Details'!A:A)</f>
        <v>DSP Core Solution Plan Enhancements</v>
      </c>
      <c r="C321" s="64">
        <f>_xlfn.XLOOKUP(F321,'TFS Details'!F:F,'TFS Details'!E:E)</f>
        <v>4373652</v>
      </c>
      <c r="D321" s="17" t="s">
        <v>49</v>
      </c>
      <c r="E321" s="73" t="s">
        <v>778</v>
      </c>
      <c r="F321" s="74">
        <v>4395034</v>
      </c>
      <c r="G321" s="73" t="s">
        <v>589</v>
      </c>
      <c r="H321" s="73" t="s">
        <v>590</v>
      </c>
      <c r="I321" s="73"/>
      <c r="J321" s="73" t="s">
        <v>591</v>
      </c>
      <c r="K321" s="97" t="s">
        <v>18</v>
      </c>
      <c r="L321" s="183" t="s">
        <v>779</v>
      </c>
      <c r="M321" s="16" t="s">
        <v>54</v>
      </c>
      <c r="N321" s="17"/>
      <c r="O321" s="134"/>
      <c r="Q321" s="176"/>
      <c r="R321" s="176"/>
      <c r="S321" s="176"/>
      <c r="T321" s="176"/>
      <c r="W321" s="17" t="s">
        <v>183</v>
      </c>
      <c r="X321" s="17" t="s">
        <v>183</v>
      </c>
      <c r="Y321" s="17" t="s">
        <v>183</v>
      </c>
      <c r="Z321" s="17" t="s">
        <v>183</v>
      </c>
      <c r="AA321" s="176">
        <v>28</v>
      </c>
      <c r="AB321" s="176">
        <v>16</v>
      </c>
      <c r="AC321" s="176">
        <v>13</v>
      </c>
      <c r="AD321" s="176">
        <v>13</v>
      </c>
      <c r="AE321" s="33">
        <v>1</v>
      </c>
      <c r="AF321" s="33">
        <v>0.7</v>
      </c>
      <c r="AG321" s="25" t="str">
        <f>_xlfn.XLOOKUP(F321,'TFS Details'!F:F,'TFS Details'!H:H)</f>
        <v>UAT In Test</v>
      </c>
      <c r="AH321" s="44">
        <v>13</v>
      </c>
      <c r="AI321" s="44">
        <v>0</v>
      </c>
      <c r="AJ321" s="44">
        <v>0</v>
      </c>
      <c r="AK321" s="44">
        <v>0</v>
      </c>
      <c r="AL321" s="40">
        <f t="shared" si="34"/>
        <v>13</v>
      </c>
      <c r="AM321" s="41">
        <f t="shared" si="30"/>
        <v>1</v>
      </c>
      <c r="AN321" s="41">
        <f t="shared" si="35"/>
        <v>1</v>
      </c>
      <c r="AO321" s="25" t="s">
        <v>780</v>
      </c>
      <c r="AP321" s="25" t="str">
        <f>_xlfn.XLOOKUP(F321,'TFS Details'!F:F,'TFS Details'!I:I)</f>
        <v>Pirates</v>
      </c>
      <c r="AQ321" s="25" t="str">
        <f>_xlfn.XLOOKUP(AP321,'TFS Details'!I:I,'TFS Details'!AE:AE)</f>
        <v>pandidurai.ks</v>
      </c>
    </row>
    <row r="322" spans="1:43">
      <c r="A322" s="24" t="str">
        <f>_xlfn.XLOOKUP(F322,'TFS Details'!F:F,'TFS Details'!D:D)</f>
        <v>DSP</v>
      </c>
      <c r="B322" s="24" t="str">
        <f>_xlfn.XLOOKUP(F322,'TFS Details'!F:F,'TFS Details'!A:A)</f>
        <v>DSP Core Solution Plan Enhancements</v>
      </c>
      <c r="C322" s="64">
        <f>_xlfn.XLOOKUP(F322,'TFS Details'!F:F,'TFS Details'!E:E)</f>
        <v>4373652</v>
      </c>
      <c r="D322" s="17" t="s">
        <v>49</v>
      </c>
      <c r="E322" s="73" t="s">
        <v>781</v>
      </c>
      <c r="F322" s="74">
        <v>4395040</v>
      </c>
      <c r="G322" s="202" t="s">
        <v>409</v>
      </c>
      <c r="H322" s="73"/>
      <c r="I322" s="73"/>
      <c r="J322" s="73" t="s">
        <v>115</v>
      </c>
      <c r="K322" s="17" t="s">
        <v>1</v>
      </c>
      <c r="L322" s="16"/>
      <c r="N322" s="17" t="s">
        <v>182</v>
      </c>
      <c r="O322" s="134">
        <v>1</v>
      </c>
      <c r="P322" s="33">
        <v>1</v>
      </c>
      <c r="Q322" s="176">
        <v>20</v>
      </c>
      <c r="R322" s="176">
        <v>1</v>
      </c>
      <c r="S322" s="176">
        <v>5</v>
      </c>
      <c r="T322" s="176">
        <v>1</v>
      </c>
      <c r="U322" s="33">
        <v>0.7</v>
      </c>
      <c r="V322" s="33">
        <v>0.7</v>
      </c>
      <c r="W322" s="17" t="s">
        <v>183</v>
      </c>
      <c r="X322" s="17" t="s">
        <v>183</v>
      </c>
      <c r="Y322" s="17" t="s">
        <v>183</v>
      </c>
      <c r="Z322" s="17" t="s">
        <v>183</v>
      </c>
      <c r="AA322" s="176">
        <v>20</v>
      </c>
      <c r="AB322" s="176">
        <v>8</v>
      </c>
      <c r="AC322" s="176">
        <v>5</v>
      </c>
      <c r="AD322" s="176">
        <v>9</v>
      </c>
      <c r="AE322" s="33">
        <v>0.75</v>
      </c>
      <c r="AF322" s="33">
        <v>0.9</v>
      </c>
      <c r="AG322" s="25" t="str">
        <f>_xlfn.XLOOKUP(F322,'TFS Details'!F:F,'TFS Details'!H:H)</f>
        <v>UAT In Test</v>
      </c>
      <c r="AH322" s="44">
        <v>5</v>
      </c>
      <c r="AI322" s="44">
        <v>0</v>
      </c>
      <c r="AJ322" s="44">
        <v>0</v>
      </c>
      <c r="AK322" s="44">
        <v>0</v>
      </c>
      <c r="AL322" s="40">
        <f t="shared" si="34"/>
        <v>5</v>
      </c>
      <c r="AM322" s="41">
        <f t="shared" ref="AM322:AM388" si="36">IF(AH322+AI322=0,0,SUM(AH322:AI322)/AL322)</f>
        <v>1</v>
      </c>
      <c r="AN322" s="41">
        <f t="shared" si="35"/>
        <v>1</v>
      </c>
      <c r="AO322" s="25"/>
      <c r="AP322" s="25" t="str">
        <f>_xlfn.XLOOKUP(F322,'TFS Details'!F:F,'TFS Details'!I:I)</f>
        <v>Pixel Pioneers</v>
      </c>
      <c r="AQ322" s="25" t="str">
        <f>_xlfn.XLOOKUP(AP322,'TFS Details'!I:I,'TFS Details'!AE:AE)</f>
        <v>pandidurai.ks</v>
      </c>
    </row>
    <row r="323" spans="1:43">
      <c r="A323" s="24" t="str">
        <f>_xlfn.XLOOKUP(F323,'TFS Details'!F:F,'TFS Details'!D:D)</f>
        <v>Solution Review Agent</v>
      </c>
      <c r="B323" s="24" t="str">
        <f>_xlfn.XLOOKUP(F323,'TFS Details'!F:F,'TFS Details'!A:A)</f>
        <v>[Gen AI - SRA] - UI changes in Review Agent</v>
      </c>
      <c r="C323" s="64">
        <f>_xlfn.XLOOKUP(F323,'TFS Details'!F:F,'TFS Details'!E:E)</f>
        <v>4392680</v>
      </c>
      <c r="D323" s="17" t="s">
        <v>36</v>
      </c>
      <c r="E323" s="73" t="s">
        <v>782</v>
      </c>
      <c r="F323" s="130">
        <v>4407571</v>
      </c>
      <c r="G323" s="183" t="s">
        <v>654</v>
      </c>
      <c r="H323" s="197"/>
      <c r="I323" s="197"/>
      <c r="J323" s="73" t="s">
        <v>60</v>
      </c>
      <c r="K323" s="129" t="s">
        <v>1</v>
      </c>
      <c r="L323" s="16"/>
      <c r="N323" s="17" t="s">
        <v>182</v>
      </c>
      <c r="O323" s="134">
        <v>1</v>
      </c>
      <c r="P323" s="33">
        <v>1</v>
      </c>
      <c r="Q323" s="176">
        <v>14</v>
      </c>
      <c r="R323" s="176">
        <v>3</v>
      </c>
      <c r="S323" s="176">
        <v>1</v>
      </c>
      <c r="T323" s="176">
        <v>1</v>
      </c>
      <c r="U323" s="33">
        <v>0.3</v>
      </c>
      <c r="V323" s="33">
        <v>0.3</v>
      </c>
      <c r="W323" s="17" t="s">
        <v>183</v>
      </c>
      <c r="X323" s="17" t="s">
        <v>183</v>
      </c>
      <c r="Y323" s="17" t="s">
        <v>183</v>
      </c>
      <c r="Z323" s="17" t="s">
        <v>183</v>
      </c>
      <c r="AA323" s="176">
        <v>20</v>
      </c>
      <c r="AB323" s="176">
        <v>20</v>
      </c>
      <c r="AC323" s="176">
        <v>0</v>
      </c>
      <c r="AD323" s="176">
        <v>20</v>
      </c>
      <c r="AE323" s="33">
        <v>1</v>
      </c>
      <c r="AF323" s="33">
        <v>1</v>
      </c>
      <c r="AG323" s="25" t="str">
        <f>_xlfn.XLOOKUP(F323,'TFS Details'!F:F,'TFS Details'!H:H)</f>
        <v>UAT In Test</v>
      </c>
      <c r="AH323" s="44">
        <v>20</v>
      </c>
      <c r="AI323" s="44">
        <v>0</v>
      </c>
      <c r="AJ323" s="44">
        <v>0</v>
      </c>
      <c r="AK323" s="44">
        <v>0</v>
      </c>
      <c r="AL323" s="40">
        <f t="shared" si="34"/>
        <v>20</v>
      </c>
      <c r="AM323" s="41">
        <f t="shared" si="36"/>
        <v>1</v>
      </c>
      <c r="AN323" s="41">
        <f t="shared" si="35"/>
        <v>1</v>
      </c>
      <c r="AO323" s="25" t="s">
        <v>434</v>
      </c>
      <c r="AP323" s="25" t="str">
        <f>_xlfn.XLOOKUP(F323,'TFS Details'!F:F,'TFS Details'!I:I)</f>
        <v>Gen AI - Solution Review Agent</v>
      </c>
      <c r="AQ323" s="25" t="str">
        <f>_xlfn.XLOOKUP(AP323,'TFS Details'!I:I,'TFS Details'!AE:AE)</f>
        <v>n.d.krishnakumar</v>
      </c>
    </row>
    <row r="324" spans="1:43">
      <c r="A324" s="24" t="str">
        <f>_xlfn.XLOOKUP(F324,'TFS Details'!F:F,'TFS Details'!D:D)</f>
        <v>Solution Super Agent</v>
      </c>
      <c r="B324" s="24" t="str">
        <f>_xlfn.XLOOKUP(F324,'TFS Details'!F:F,'TFS Details'!A:A)</f>
        <v>CR: [Gen AI - SSA] - Featuring SSA chat as part of the screen</v>
      </c>
      <c r="C324" s="64">
        <f>_xlfn.XLOOKUP(F324,'TFS Details'!F:F,'TFS Details'!E:E)</f>
        <v>4330816</v>
      </c>
      <c r="D324" s="17" t="s">
        <v>36</v>
      </c>
      <c r="E324" s="73" t="s">
        <v>783</v>
      </c>
      <c r="F324" s="130">
        <v>4409429</v>
      </c>
      <c r="G324" s="183" t="s">
        <v>526</v>
      </c>
      <c r="H324" s="197"/>
      <c r="I324" s="197"/>
      <c r="J324" s="73" t="s">
        <v>114</v>
      </c>
      <c r="K324" s="129" t="s">
        <v>1</v>
      </c>
      <c r="L324" s="16"/>
      <c r="N324" s="17" t="s">
        <v>182</v>
      </c>
      <c r="O324" s="134">
        <v>4</v>
      </c>
      <c r="P324" s="33">
        <v>1</v>
      </c>
      <c r="Q324" s="176">
        <v>4</v>
      </c>
      <c r="R324" s="176">
        <v>1</v>
      </c>
      <c r="S324" s="176">
        <v>1</v>
      </c>
      <c r="T324" s="176">
        <v>1</v>
      </c>
      <c r="U324" s="33">
        <v>0.7</v>
      </c>
      <c r="V324" s="33">
        <v>0.7</v>
      </c>
      <c r="W324" s="17" t="s">
        <v>183</v>
      </c>
      <c r="X324" s="17" t="s">
        <v>183</v>
      </c>
      <c r="Y324" s="17" t="s">
        <v>183</v>
      </c>
      <c r="Z324" s="17" t="s">
        <v>183</v>
      </c>
      <c r="AA324" s="176">
        <v>40</v>
      </c>
      <c r="AB324" s="176">
        <v>15</v>
      </c>
      <c r="AC324" s="176">
        <v>0</v>
      </c>
      <c r="AD324" s="176">
        <v>15</v>
      </c>
      <c r="AE324" s="33">
        <v>0.9</v>
      </c>
      <c r="AF324" s="33">
        <v>0.9</v>
      </c>
      <c r="AG324" s="25" t="str">
        <f>_xlfn.XLOOKUP(F324,'TFS Details'!F:F,'TFS Details'!H:H)</f>
        <v>UAT In Test</v>
      </c>
      <c r="AH324" s="44">
        <v>15</v>
      </c>
      <c r="AI324" s="44">
        <v>0</v>
      </c>
      <c r="AJ324" s="44">
        <v>0</v>
      </c>
      <c r="AK324" s="44">
        <v>0</v>
      </c>
      <c r="AL324" s="40">
        <f t="shared" si="34"/>
        <v>15</v>
      </c>
      <c r="AM324" s="41">
        <f t="shared" si="36"/>
        <v>1</v>
      </c>
      <c r="AN324" s="41">
        <f t="shared" si="35"/>
        <v>1</v>
      </c>
      <c r="AO324" s="25"/>
      <c r="AP324" s="25" t="str">
        <f>_xlfn.XLOOKUP(F324,'TFS Details'!F:F,'TFS Details'!I:I)</f>
        <v>GEN AI - Solution Super Agent</v>
      </c>
      <c r="AQ324" s="25" t="str">
        <f>_xlfn.XLOOKUP(AP324,'TFS Details'!I:I,'TFS Details'!AE:AE)</f>
        <v>pandidurai.ks</v>
      </c>
    </row>
    <row r="325" spans="1:43">
      <c r="A325" s="24" t="str">
        <f>_xlfn.XLOOKUP(F325,'TFS Details'!F:F,'TFS Details'!D:D)</f>
        <v>GEN AI</v>
      </c>
      <c r="B325" s="24" t="str">
        <f>_xlfn.XLOOKUP(F325,'TFS Details'!F:F,'TFS Details'!A:A)</f>
        <v>HSP March Release Enhancements</v>
      </c>
      <c r="C325" s="64">
        <f>_xlfn.XLOOKUP(F325,'TFS Details'!F:F,'TFS Details'!E:E)</f>
        <v>4387681</v>
      </c>
      <c r="D325" s="17" t="s">
        <v>36</v>
      </c>
      <c r="E325" s="73" t="s">
        <v>784</v>
      </c>
      <c r="F325" s="130">
        <v>4391961</v>
      </c>
      <c r="G325" s="110" t="s">
        <v>569</v>
      </c>
      <c r="H325" s="197" t="s">
        <v>722</v>
      </c>
      <c r="I325" s="197"/>
      <c r="J325" s="73"/>
      <c r="K325" s="129" t="s">
        <v>18</v>
      </c>
      <c r="L325" s="16" t="s">
        <v>785</v>
      </c>
      <c r="M325" s="90" t="s">
        <v>64</v>
      </c>
      <c r="N325" s="17"/>
      <c r="O325" s="134"/>
      <c r="Q325" s="176"/>
      <c r="R325" s="176"/>
      <c r="S325" s="176">
        <v>1</v>
      </c>
      <c r="T325" s="176"/>
      <c r="W325" s="17" t="s">
        <v>183</v>
      </c>
      <c r="X325" s="17" t="s">
        <v>183</v>
      </c>
      <c r="Y325" s="17" t="s">
        <v>183</v>
      </c>
      <c r="Z325" s="17" t="s">
        <v>183</v>
      </c>
      <c r="AA325" s="176">
        <v>20</v>
      </c>
      <c r="AB325" s="176">
        <v>0</v>
      </c>
      <c r="AC325" s="176">
        <v>7</v>
      </c>
      <c r="AD325" s="176">
        <v>7</v>
      </c>
      <c r="AE325" s="33">
        <v>0.3</v>
      </c>
      <c r="AF325" s="33">
        <v>0.3</v>
      </c>
      <c r="AG325" s="25" t="str">
        <f>_xlfn.XLOOKUP(F325,'TFS Details'!F:F,'TFS Details'!H:H)</f>
        <v>UAT In Test</v>
      </c>
      <c r="AH325" s="44">
        <v>7</v>
      </c>
      <c r="AI325" s="44">
        <v>0</v>
      </c>
      <c r="AJ325" s="44">
        <v>0</v>
      </c>
      <c r="AK325" s="44">
        <v>0</v>
      </c>
      <c r="AL325" s="40">
        <f t="shared" si="34"/>
        <v>7</v>
      </c>
      <c r="AM325" s="41">
        <f t="shared" si="36"/>
        <v>1</v>
      </c>
      <c r="AN325" s="41">
        <f t="shared" si="35"/>
        <v>1</v>
      </c>
      <c r="AO325" s="25"/>
      <c r="AP325" s="25" t="str">
        <f>_xlfn.XLOOKUP(F325,'TFS Details'!F:F,'TFS Details'!I:I)</f>
        <v>Harvesting solutionPlan</v>
      </c>
      <c r="AQ325" s="25" t="str">
        <f>_xlfn.XLOOKUP(AP325,'TFS Details'!I:I,'TFS Details'!AE:AE)</f>
        <v>pandidurai.ks</v>
      </c>
    </row>
    <row r="326" spans="1:43">
      <c r="A326" s="24" t="str">
        <f>_xlfn.XLOOKUP(F326,'TFS Details'!F:F,'TFS Details'!D:D)</f>
        <v>Gen AI</v>
      </c>
      <c r="B326" s="24" t="str">
        <f>_xlfn.XLOOKUP(F326,'TFS Details'!F:F,'TFS Details'!A:A)</f>
        <v>[Gen AI - SSA] - Enhancements of SSA Chat</v>
      </c>
      <c r="C326" s="64">
        <f>_xlfn.XLOOKUP(F326,'TFS Details'!F:F,'TFS Details'!E:E)</f>
        <v>4393292</v>
      </c>
      <c r="D326" s="17" t="s">
        <v>36</v>
      </c>
      <c r="E326" s="73" t="s">
        <v>786</v>
      </c>
      <c r="F326" s="130">
        <v>4341541</v>
      </c>
      <c r="G326" s="110" t="s">
        <v>589</v>
      </c>
      <c r="H326" s="73" t="s">
        <v>590</v>
      </c>
      <c r="I326" s="73"/>
      <c r="J326" s="73" t="s">
        <v>591</v>
      </c>
      <c r="K326" s="97" t="s">
        <v>18</v>
      </c>
      <c r="L326" s="16" t="s">
        <v>548</v>
      </c>
      <c r="M326" s="16" t="s">
        <v>21</v>
      </c>
      <c r="N326" s="17"/>
      <c r="O326" s="134"/>
      <c r="Q326" s="176"/>
      <c r="R326" s="176"/>
      <c r="S326" s="176"/>
      <c r="T326" s="176"/>
      <c r="W326" s="17" t="s">
        <v>183</v>
      </c>
      <c r="X326" s="17" t="s">
        <v>183</v>
      </c>
      <c r="Y326" s="17" t="s">
        <v>183</v>
      </c>
      <c r="Z326" s="17" t="s">
        <v>183</v>
      </c>
      <c r="AA326" s="176">
        <v>28</v>
      </c>
      <c r="AB326" s="176">
        <v>15</v>
      </c>
      <c r="AC326" s="176">
        <v>3</v>
      </c>
      <c r="AD326" s="176">
        <v>4</v>
      </c>
      <c r="AE326" s="33">
        <v>1</v>
      </c>
      <c r="AF326" s="33">
        <v>0.8</v>
      </c>
      <c r="AG326" s="25" t="str">
        <f>_xlfn.XLOOKUP(F326,'TFS Details'!F:F,'TFS Details'!H:H)</f>
        <v>UAT In Test</v>
      </c>
      <c r="AH326" s="44">
        <v>4</v>
      </c>
      <c r="AI326" s="44">
        <v>0</v>
      </c>
      <c r="AJ326" s="44">
        <v>0</v>
      </c>
      <c r="AK326" s="44">
        <v>0</v>
      </c>
      <c r="AL326" s="40">
        <f t="shared" si="34"/>
        <v>4</v>
      </c>
      <c r="AM326" s="41">
        <f t="shared" si="36"/>
        <v>1</v>
      </c>
      <c r="AN326" s="41">
        <f t="shared" si="35"/>
        <v>1</v>
      </c>
      <c r="AO326" s="25" t="s">
        <v>434</v>
      </c>
      <c r="AP326" s="25" t="str">
        <f>_xlfn.XLOOKUP(F326,'TFS Details'!F:F,'TFS Details'!I:I)</f>
        <v>GEN AI - Solution Super Agent</v>
      </c>
      <c r="AQ326" s="25" t="str">
        <f>_xlfn.XLOOKUP(AP326,'TFS Details'!I:I,'TFS Details'!AE:AE)</f>
        <v>pandidurai.ks</v>
      </c>
    </row>
    <row r="327" spans="1:43">
      <c r="A327" s="24" t="str">
        <f>_xlfn.XLOOKUP(F327,'TFS Details'!F:F,'TFS Details'!D:D)</f>
        <v>DSP</v>
      </c>
      <c r="B327" s="24" t="str">
        <f>_xlfn.XLOOKUP(F327,'TFS Details'!F:F,'TFS Details'!A:A)</f>
        <v>DSP Core Solution Plan Enhancements</v>
      </c>
      <c r="C327" s="64">
        <f>_xlfn.XLOOKUP(F327,'TFS Details'!F:F,'TFS Details'!E:E)</f>
        <v>4373652</v>
      </c>
      <c r="D327" s="17" t="s">
        <v>49</v>
      </c>
      <c r="E327" s="73" t="s">
        <v>787</v>
      </c>
      <c r="F327" s="130">
        <v>4421995</v>
      </c>
      <c r="G327" s="110" t="s">
        <v>589</v>
      </c>
      <c r="H327" s="73" t="s">
        <v>590</v>
      </c>
      <c r="I327" s="73"/>
      <c r="J327" s="73" t="s">
        <v>591</v>
      </c>
      <c r="K327" s="97" t="s">
        <v>18</v>
      </c>
      <c r="L327" s="16" t="s">
        <v>768</v>
      </c>
      <c r="M327" s="16" t="s">
        <v>54</v>
      </c>
      <c r="N327" s="17"/>
      <c r="O327" s="134"/>
      <c r="Q327" s="176"/>
      <c r="R327" s="176"/>
      <c r="S327" s="176"/>
      <c r="T327" s="176"/>
      <c r="W327" s="17" t="s">
        <v>183</v>
      </c>
      <c r="X327" s="17" t="s">
        <v>183</v>
      </c>
      <c r="Y327" s="17" t="s">
        <v>183</v>
      </c>
      <c r="Z327" s="17" t="s">
        <v>183</v>
      </c>
      <c r="AA327" s="176">
        <v>28</v>
      </c>
      <c r="AB327" s="176">
        <v>23</v>
      </c>
      <c r="AC327" s="176">
        <v>15</v>
      </c>
      <c r="AD327" s="176">
        <v>15</v>
      </c>
      <c r="AE327" s="33">
        <v>1</v>
      </c>
      <c r="AF327" s="33">
        <v>0.8</v>
      </c>
      <c r="AG327" s="25" t="str">
        <f>_xlfn.XLOOKUP(F327,'TFS Details'!F:F,'TFS Details'!H:H)</f>
        <v>UAT In Test</v>
      </c>
      <c r="AH327" s="44">
        <v>15</v>
      </c>
      <c r="AI327" s="44">
        <v>0</v>
      </c>
      <c r="AJ327" s="44">
        <v>0</v>
      </c>
      <c r="AK327" s="44">
        <v>0</v>
      </c>
      <c r="AL327" s="40">
        <f>SUM(AH327:AK327)</f>
        <v>15</v>
      </c>
      <c r="AM327" s="41">
        <f t="shared" si="36"/>
        <v>1</v>
      </c>
      <c r="AN327" s="41">
        <f>IF(AH327=0,0,AH327/(SUM(AH327:AJ327)))</f>
        <v>1</v>
      </c>
      <c r="AO327" s="25" t="s">
        <v>434</v>
      </c>
      <c r="AP327" s="25" t="str">
        <f>_xlfn.XLOOKUP(F327,'TFS Details'!F:F,'TFS Details'!I:I)</f>
        <v>Pixel Pioneers</v>
      </c>
      <c r="AQ327" s="25" t="str">
        <f>_xlfn.XLOOKUP(AP327,'TFS Details'!I:I,'TFS Details'!AE:AE)</f>
        <v>pandidurai.ks</v>
      </c>
    </row>
    <row r="328" spans="1:43">
      <c r="A328" s="24" t="str">
        <f>_xlfn.XLOOKUP(F328,'TFS Details'!F:F,'TFS Details'!D:D)</f>
        <v>DSP</v>
      </c>
      <c r="B328" s="24" t="str">
        <f>_xlfn.XLOOKUP(F328,'TFS Details'!F:F,'TFS Details'!A:A)</f>
        <v>DSP March 14th CRs</v>
      </c>
      <c r="C328" s="64">
        <f>_xlfn.XLOOKUP(F328,'TFS Details'!F:F,'TFS Details'!E:E)</f>
        <v>4390197</v>
      </c>
      <c r="D328" s="17" t="s">
        <v>36</v>
      </c>
      <c r="E328" s="73" t="s">
        <v>788</v>
      </c>
      <c r="F328" s="130">
        <v>4393585</v>
      </c>
      <c r="G328" s="110" t="s">
        <v>526</v>
      </c>
      <c r="H328" s="73"/>
      <c r="I328" s="73"/>
      <c r="J328" s="73"/>
      <c r="K328" s="97" t="s">
        <v>18</v>
      </c>
      <c r="L328" s="16" t="s">
        <v>789</v>
      </c>
      <c r="M328" s="16" t="s">
        <v>54</v>
      </c>
      <c r="N328" s="17" t="s">
        <v>182</v>
      </c>
      <c r="O328" s="134"/>
      <c r="Q328" s="176"/>
      <c r="R328" s="176"/>
      <c r="S328" s="176"/>
      <c r="T328" s="176"/>
      <c r="W328" s="17" t="s">
        <v>183</v>
      </c>
      <c r="X328" s="17" t="s">
        <v>183</v>
      </c>
      <c r="Y328" s="17" t="s">
        <v>183</v>
      </c>
      <c r="Z328" s="17" t="s">
        <v>183</v>
      </c>
      <c r="AA328" s="176">
        <v>12</v>
      </c>
      <c r="AB328" s="176">
        <v>12</v>
      </c>
      <c r="AC328" s="176">
        <v>0</v>
      </c>
      <c r="AD328" s="176">
        <v>12</v>
      </c>
      <c r="AE328" s="33">
        <v>0.9</v>
      </c>
      <c r="AF328" s="33">
        <v>0.9</v>
      </c>
      <c r="AG328" s="25" t="str">
        <f>_xlfn.XLOOKUP(F328,'TFS Details'!F:F,'TFS Details'!H:H)</f>
        <v>UAT In Test</v>
      </c>
      <c r="AH328" s="44">
        <v>12</v>
      </c>
      <c r="AI328" s="44">
        <v>0</v>
      </c>
      <c r="AJ328" s="44">
        <v>0</v>
      </c>
      <c r="AK328" s="44">
        <v>0</v>
      </c>
      <c r="AL328" s="40">
        <f>SUM(AH328:AK328)</f>
        <v>12</v>
      </c>
      <c r="AM328" s="41">
        <f t="shared" si="36"/>
        <v>1</v>
      </c>
      <c r="AN328" s="41">
        <f>IF(AH328=0,0,AH328/(SUM(AH328:AJ328)))</f>
        <v>1</v>
      </c>
      <c r="AO328" s="25"/>
      <c r="AP328" s="25" t="str">
        <f>_xlfn.XLOOKUP(F328,'TFS Details'!F:F,'TFS Details'!I:I)</f>
        <v>Ninjawarriors</v>
      </c>
      <c r="AQ328" s="25" t="str">
        <f>_xlfn.XLOOKUP(AP328,'TFS Details'!I:I,'TFS Details'!AE:AE)</f>
        <v>pandidurai.ks</v>
      </c>
    </row>
    <row r="329" spans="1:43" ht="12">
      <c r="A329" s="24" t="e">
        <f>_xlfn.XLOOKUP(F329,'TFS Details'!F:F,'TFS Details'!D:D)</f>
        <v>#N/A</v>
      </c>
      <c r="B329" s="24" t="e">
        <f>_xlfn.XLOOKUP(F329,'TFS Details'!F:F,'TFS Details'!A:A)</f>
        <v>#N/A</v>
      </c>
      <c r="C329" s="64" t="e">
        <f>_xlfn.XLOOKUP(F329,'TFS Details'!F:F,'TFS Details'!E:E)</f>
        <v>#N/A</v>
      </c>
      <c r="D329" s="17" t="s">
        <v>36</v>
      </c>
      <c r="E329" s="73" t="s">
        <v>790</v>
      </c>
      <c r="F329" s="130">
        <v>4433979</v>
      </c>
      <c r="G329" s="110" t="s">
        <v>527</v>
      </c>
      <c r="H329" s="73"/>
      <c r="I329" s="73"/>
      <c r="J329" s="73"/>
      <c r="K329" s="97" t="s">
        <v>18</v>
      </c>
      <c r="L329" s="16" t="s">
        <v>791</v>
      </c>
      <c r="M329" s="16" t="s">
        <v>75</v>
      </c>
      <c r="N329" s="17"/>
      <c r="O329" s="134"/>
      <c r="Q329" s="176"/>
      <c r="R329" s="176"/>
      <c r="S329" s="176"/>
      <c r="T329" s="176"/>
      <c r="W329" s="17" t="s">
        <v>183</v>
      </c>
      <c r="X329" s="17" t="s">
        <v>183</v>
      </c>
      <c r="Y329" s="17" t="s">
        <v>183</v>
      </c>
      <c r="Z329" s="17" t="s">
        <v>183</v>
      </c>
      <c r="AA329" s="176"/>
      <c r="AB329" s="176"/>
      <c r="AC329" s="176"/>
      <c r="AD329" s="176"/>
      <c r="AE329" s="33"/>
      <c r="AF329" s="33"/>
      <c r="AG329" s="25" t="e">
        <f>_xlfn.XLOOKUP(F329,'TFS Details'!F:F,'TFS Details'!H:H)</f>
        <v>#N/A</v>
      </c>
      <c r="AH329" s="44">
        <v>12</v>
      </c>
      <c r="AI329" s="44">
        <v>0</v>
      </c>
      <c r="AJ329" s="44">
        <v>0</v>
      </c>
      <c r="AK329" s="44">
        <v>0</v>
      </c>
      <c r="AL329" s="40">
        <f>SUM(AH329:AK329)</f>
        <v>12</v>
      </c>
      <c r="AM329" s="41">
        <f t="shared" si="36"/>
        <v>1</v>
      </c>
      <c r="AN329" s="41">
        <f>IF(AH329=0,0,AH329/(SUM(AH329:AJ329)))</f>
        <v>1</v>
      </c>
      <c r="AO329" s="25"/>
      <c r="AP329" s="25" t="e">
        <f>_xlfn.XLOOKUP(F329,'TFS Details'!F:F,'TFS Details'!I:I)</f>
        <v>#N/A</v>
      </c>
      <c r="AQ329" s="25" t="e">
        <f>_xlfn.XLOOKUP(AP329,'TFS Details'!I:I,'TFS Details'!AE:AE)</f>
        <v>#N/A</v>
      </c>
    </row>
    <row r="330" spans="1:43" ht="12">
      <c r="A330" s="24" t="e">
        <f>_xlfn.XLOOKUP(F330,'TFS Details'!F:F,'TFS Details'!D:D)</f>
        <v>#N/A</v>
      </c>
      <c r="B330" s="24" t="e">
        <f>_xlfn.XLOOKUP(F330,'TFS Details'!F:F,'TFS Details'!A:A)</f>
        <v>#N/A</v>
      </c>
      <c r="C330" s="64" t="e">
        <f>_xlfn.XLOOKUP(F330,'TFS Details'!F:F,'TFS Details'!E:E)</f>
        <v>#N/A</v>
      </c>
      <c r="D330" s="17" t="s">
        <v>36</v>
      </c>
      <c r="E330" s="73" t="s">
        <v>792</v>
      </c>
      <c r="F330" s="130">
        <v>4445978</v>
      </c>
      <c r="G330" s="110" t="s">
        <v>685</v>
      </c>
      <c r="H330" s="73"/>
      <c r="I330" s="73"/>
      <c r="J330" s="73"/>
      <c r="K330" s="97" t="s">
        <v>18</v>
      </c>
      <c r="L330" s="16"/>
      <c r="M330" s="90" t="s">
        <v>75</v>
      </c>
      <c r="N330" s="17"/>
      <c r="O330" s="134"/>
      <c r="Q330" s="176"/>
      <c r="R330" s="176"/>
      <c r="S330" s="176"/>
      <c r="T330" s="176"/>
      <c r="W330" s="17" t="s">
        <v>246</v>
      </c>
      <c r="X330" s="17" t="s">
        <v>246</v>
      </c>
      <c r="Y330" s="17" t="s">
        <v>246</v>
      </c>
      <c r="Z330" s="17" t="s">
        <v>246</v>
      </c>
      <c r="AA330" s="176"/>
      <c r="AB330" s="176"/>
      <c r="AC330" s="176"/>
      <c r="AD330" s="176"/>
      <c r="AE330" s="33"/>
      <c r="AF330" s="33"/>
      <c r="AG330" s="25" t="e">
        <f>_xlfn.XLOOKUP(F330,'TFS Details'!F:F,'TFS Details'!H:H)</f>
        <v>#N/A</v>
      </c>
      <c r="AH330" s="44">
        <v>0</v>
      </c>
      <c r="AI330" s="44">
        <v>0</v>
      </c>
      <c r="AJ330" s="44">
        <v>0</v>
      </c>
      <c r="AK330" s="44">
        <v>0</v>
      </c>
      <c r="AL330" s="40">
        <f>SUM(AH330:AK330)</f>
        <v>0</v>
      </c>
      <c r="AM330" s="41">
        <f>IF(AH330+AI330=0,0,SUM(AH330:AI330)/AL330)</f>
        <v>0</v>
      </c>
      <c r="AN330" s="41">
        <f>IF(AH330=0,0,AH330/(SUM(AH330:AJ330)))</f>
        <v>0</v>
      </c>
      <c r="AO330" s="25"/>
      <c r="AP330" s="25" t="e">
        <f>_xlfn.XLOOKUP(F330,'TFS Details'!F:F,'TFS Details'!I:I)</f>
        <v>#N/A</v>
      </c>
      <c r="AQ330" s="25" t="e">
        <f>_xlfn.XLOOKUP(AP330,'TFS Details'!I:I,'TFS Details'!AE:AE)</f>
        <v>#N/A</v>
      </c>
    </row>
    <row r="331" spans="1:43" ht="12">
      <c r="A331" s="24" t="e">
        <f>_xlfn.XLOOKUP(F331,'TFS Details'!F:F,'TFS Details'!D:D)</f>
        <v>#N/A</v>
      </c>
      <c r="B331" s="24" t="e">
        <f>_xlfn.XLOOKUP(F331,'TFS Details'!F:F,'TFS Details'!A:A)</f>
        <v>#N/A</v>
      </c>
      <c r="C331" s="64" t="e">
        <f>_xlfn.XLOOKUP(F331,'TFS Details'!F:F,'TFS Details'!E:E)</f>
        <v>#N/A</v>
      </c>
      <c r="D331" s="17" t="s">
        <v>36</v>
      </c>
      <c r="E331" s="73" t="s">
        <v>793</v>
      </c>
      <c r="F331" s="130">
        <v>4445982</v>
      </c>
      <c r="G331" s="110" t="s">
        <v>564</v>
      </c>
      <c r="H331" s="73"/>
      <c r="I331" s="73"/>
      <c r="J331" s="73"/>
      <c r="K331" s="97" t="s">
        <v>18</v>
      </c>
      <c r="L331" s="16"/>
      <c r="M331" s="90" t="s">
        <v>75</v>
      </c>
      <c r="N331" s="17"/>
      <c r="O331" s="134"/>
      <c r="Q331" s="176"/>
      <c r="R331" s="176"/>
      <c r="S331" s="176"/>
      <c r="T331" s="176"/>
      <c r="W331" s="17" t="s">
        <v>183</v>
      </c>
      <c r="X331" s="17" t="s">
        <v>183</v>
      </c>
      <c r="Y331" s="17" t="s">
        <v>183</v>
      </c>
      <c r="Z331" s="17" t="s">
        <v>183</v>
      </c>
      <c r="AA331" s="176"/>
      <c r="AB331" s="176"/>
      <c r="AC331" s="176"/>
      <c r="AD331" s="176"/>
      <c r="AE331" s="33"/>
      <c r="AF331" s="33"/>
      <c r="AG331" s="25" t="e">
        <f>_xlfn.XLOOKUP(F331,'TFS Details'!F:F,'TFS Details'!H:H)</f>
        <v>#N/A</v>
      </c>
      <c r="AH331" s="44">
        <v>12</v>
      </c>
      <c r="AI331" s="44">
        <v>0</v>
      </c>
      <c r="AJ331" s="44">
        <v>0</v>
      </c>
      <c r="AK331" s="44">
        <v>0</v>
      </c>
      <c r="AL331" s="40">
        <f>SUM(AH331:AK331)</f>
        <v>12</v>
      </c>
      <c r="AM331" s="41">
        <f>IF(AH331+AI331=0,0,SUM(AH331:AI331)/AL331)</f>
        <v>1</v>
      </c>
      <c r="AN331" s="41">
        <f>IF(AH331=0,0,AH331/(SUM(AH331:AJ331)))</f>
        <v>1</v>
      </c>
      <c r="AO331" s="25"/>
      <c r="AP331" s="25" t="e">
        <f>_xlfn.XLOOKUP(F331,'TFS Details'!F:F,'TFS Details'!I:I)</f>
        <v>#N/A</v>
      </c>
      <c r="AQ331" s="25" t="e">
        <f>_xlfn.XLOOKUP(AP331,'TFS Details'!I:I,'TFS Details'!AE:AE)</f>
        <v>#N/A</v>
      </c>
    </row>
    <row r="332" spans="1:43" ht="12">
      <c r="A332" s="24" t="e">
        <f>_xlfn.XLOOKUP(F332,'TFS Details'!F:F,'TFS Details'!D:D)</f>
        <v>#N/A</v>
      </c>
      <c r="B332" s="24" t="e">
        <f>_xlfn.XLOOKUP(F332,'TFS Details'!F:F,'TFS Details'!A:A)</f>
        <v>#N/A</v>
      </c>
      <c r="C332" s="64" t="e">
        <f>_xlfn.XLOOKUP(F332,'TFS Details'!F:F,'TFS Details'!E:E)</f>
        <v>#N/A</v>
      </c>
      <c r="D332" s="17" t="s">
        <v>36</v>
      </c>
      <c r="E332" s="73" t="s">
        <v>794</v>
      </c>
      <c r="F332" s="130">
        <v>4444288</v>
      </c>
      <c r="G332" s="110" t="s">
        <v>491</v>
      </c>
      <c r="H332" s="73"/>
      <c r="I332" s="73"/>
      <c r="J332" s="73"/>
      <c r="K332" s="97" t="s">
        <v>18</v>
      </c>
      <c r="L332" s="16"/>
      <c r="M332" s="90" t="s">
        <v>75</v>
      </c>
      <c r="N332" s="17"/>
      <c r="O332" s="134"/>
      <c r="Q332" s="176"/>
      <c r="R332" s="176"/>
      <c r="S332" s="176"/>
      <c r="T332" s="176"/>
      <c r="W332" s="17" t="s">
        <v>183</v>
      </c>
      <c r="X332" s="17" t="s">
        <v>183</v>
      </c>
      <c r="Y332" s="17" t="s">
        <v>183</v>
      </c>
      <c r="Z332" s="17" t="s">
        <v>183</v>
      </c>
      <c r="AA332" s="176"/>
      <c r="AB332" s="176"/>
      <c r="AC332" s="176"/>
      <c r="AD332" s="176"/>
      <c r="AE332" s="33"/>
      <c r="AF332" s="33"/>
      <c r="AG332" s="25" t="e">
        <f>_xlfn.XLOOKUP(F332,'TFS Details'!F:F,'TFS Details'!H:H)</f>
        <v>#N/A</v>
      </c>
      <c r="AH332" s="44">
        <v>9</v>
      </c>
      <c r="AI332" s="44">
        <v>0</v>
      </c>
      <c r="AJ332" s="44">
        <v>0</v>
      </c>
      <c r="AK332" s="44">
        <v>0</v>
      </c>
      <c r="AL332" s="40">
        <f>SUM(AH332:AK332)</f>
        <v>9</v>
      </c>
      <c r="AM332" s="41">
        <f>IF(AH332+AI332=0,0,SUM(AH332:AI332)/AL332)</f>
        <v>1</v>
      </c>
      <c r="AN332" s="41">
        <f>IF(AH332=0,0,AH332/(SUM(AH332:AJ332)))</f>
        <v>1</v>
      </c>
      <c r="AO332" s="25"/>
      <c r="AP332" s="25" t="e">
        <f>_xlfn.XLOOKUP(F332,'TFS Details'!F:F,'TFS Details'!I:I)</f>
        <v>#N/A</v>
      </c>
      <c r="AQ332" s="25" t="e">
        <f>_xlfn.XLOOKUP(AP332,'TFS Details'!I:I,'TFS Details'!AE:AE)</f>
        <v>#N/A</v>
      </c>
    </row>
    <row r="333" spans="1:43">
      <c r="A333" s="24" t="str">
        <f>_xlfn.XLOOKUP(F333,'TFS Details'!F:F,'TFS Details'!D:D)</f>
        <v>AMS</v>
      </c>
      <c r="B333" s="24" t="str">
        <f>_xlfn.XLOOKUP(F333,'TFS Details'!F:F,'TFS Details'!A:A)</f>
        <v>AMS - Staffing OU Across versions for AMS &amp; edit in File name</v>
      </c>
      <c r="C333" s="64">
        <f>_xlfn.XLOOKUP(F333,'TFS Details'!F:F,'TFS Details'!E:E)</f>
        <v>4269015</v>
      </c>
      <c r="D333" s="17" t="s">
        <v>46</v>
      </c>
      <c r="E333" s="203" t="s">
        <v>795</v>
      </c>
      <c r="F333" s="130">
        <v>4266989</v>
      </c>
      <c r="G333" s="69" t="s">
        <v>796</v>
      </c>
      <c r="H333" s="73" t="s">
        <v>797</v>
      </c>
      <c r="I333" s="73"/>
      <c r="J333" s="73"/>
      <c r="K333" s="97" t="s">
        <v>18</v>
      </c>
      <c r="L333" s="16" t="s">
        <v>798</v>
      </c>
      <c r="M333" s="97" t="s">
        <v>34</v>
      </c>
      <c r="N333" s="17"/>
      <c r="O333" s="134"/>
      <c r="Q333" s="176"/>
      <c r="R333" s="176"/>
      <c r="S333" s="176"/>
      <c r="T333" s="176"/>
      <c r="W333" s="17" t="s">
        <v>183</v>
      </c>
      <c r="X333" s="17" t="s">
        <v>183</v>
      </c>
      <c r="Y333" s="17" t="s">
        <v>183</v>
      </c>
      <c r="Z333" s="17" t="s">
        <v>201</v>
      </c>
      <c r="AA333" s="176">
        <v>31</v>
      </c>
      <c r="AB333" s="176">
        <v>28</v>
      </c>
      <c r="AC333" s="176">
        <v>3</v>
      </c>
      <c r="AD333" s="176">
        <v>31</v>
      </c>
      <c r="AE333" s="33">
        <f>AB333/AD333</f>
        <v>0.90322580645161288</v>
      </c>
      <c r="AF333" s="33">
        <v>0.9</v>
      </c>
      <c r="AG333" s="25" t="str">
        <f>_xlfn.XLOOKUP(F333,'TFS Details'!F:F,'TFS Details'!H:H)</f>
        <v>UAT In Test</v>
      </c>
      <c r="AH333" s="44">
        <v>30</v>
      </c>
      <c r="AI333" s="44">
        <v>1</v>
      </c>
      <c r="AJ333" s="44">
        <v>0</v>
      </c>
      <c r="AK333" s="44">
        <v>0</v>
      </c>
      <c r="AL333" s="40">
        <f t="shared" si="34"/>
        <v>31</v>
      </c>
      <c r="AM333" s="41">
        <f t="shared" si="36"/>
        <v>1</v>
      </c>
      <c r="AN333" s="41">
        <f t="shared" si="35"/>
        <v>0.967741935483871</v>
      </c>
      <c r="AO333" s="25" t="s">
        <v>799</v>
      </c>
      <c r="AP333" s="25" t="str">
        <f>_xlfn.XLOOKUP(F333,'TFS Details'!F:F,'TFS Details'!I:I)</f>
        <v>TechCoders</v>
      </c>
      <c r="AQ333" s="25" t="str">
        <f>_xlfn.XLOOKUP(AP333,'TFS Details'!I:I,'TFS Details'!AE:AE)</f>
        <v>Francis.Deepak</v>
      </c>
    </row>
    <row r="334" spans="1:43">
      <c r="A334" s="24" t="str">
        <f>_xlfn.XLOOKUP(F334,'TFS Details'!F:F,'TFS Details'!D:D)</f>
        <v>Pricing</v>
      </c>
      <c r="B334" s="24" t="str">
        <f>_xlfn.XLOOKUP(F334,'TFS Details'!F:F,'TFS Details'!A:A)</f>
        <v>Corrections in OCP/DCTA Resource Level Excel Export Reports</v>
      </c>
      <c r="C334" s="64">
        <f>_xlfn.XLOOKUP(F334,'TFS Details'!F:F,'TFS Details'!E:E)</f>
        <v>4352766</v>
      </c>
      <c r="D334" s="17" t="s">
        <v>46</v>
      </c>
      <c r="E334" s="73" t="s">
        <v>800</v>
      </c>
      <c r="F334" s="130">
        <v>4352776</v>
      </c>
      <c r="G334" s="17" t="s">
        <v>801</v>
      </c>
      <c r="H334" s="73" t="s">
        <v>802</v>
      </c>
      <c r="I334" s="73"/>
      <c r="J334" s="73"/>
      <c r="K334" s="97" t="s">
        <v>18</v>
      </c>
      <c r="L334" s="16" t="s">
        <v>803</v>
      </c>
      <c r="M334" s="97" t="s">
        <v>34</v>
      </c>
      <c r="N334" s="17"/>
      <c r="O334" s="134"/>
      <c r="Q334" s="176"/>
      <c r="R334" s="176"/>
      <c r="S334" s="176"/>
      <c r="T334" s="176"/>
      <c r="W334" s="17" t="s">
        <v>183</v>
      </c>
      <c r="X334" s="17" t="s">
        <v>183</v>
      </c>
      <c r="Y334" s="17" t="s">
        <v>183</v>
      </c>
      <c r="Z334" s="17" t="s">
        <v>183</v>
      </c>
      <c r="AA334" s="176">
        <v>40</v>
      </c>
      <c r="AB334" s="176">
        <v>25</v>
      </c>
      <c r="AC334" s="176">
        <v>0</v>
      </c>
      <c r="AD334" s="176">
        <v>25</v>
      </c>
      <c r="AE334" s="33">
        <v>0.63</v>
      </c>
      <c r="AF334" s="33">
        <v>0.9</v>
      </c>
      <c r="AG334" s="25" t="str">
        <f>_xlfn.XLOOKUP(F334,'TFS Details'!F:F,'TFS Details'!H:H)</f>
        <v>UAT In Test</v>
      </c>
      <c r="AH334" s="44">
        <v>25</v>
      </c>
      <c r="AI334" s="44">
        <v>0</v>
      </c>
      <c r="AJ334" s="44">
        <v>0</v>
      </c>
      <c r="AK334" s="44">
        <v>0</v>
      </c>
      <c r="AL334" s="40">
        <f t="shared" si="34"/>
        <v>25</v>
      </c>
      <c r="AM334" s="41">
        <f t="shared" si="36"/>
        <v>1</v>
      </c>
      <c r="AN334" s="41">
        <f t="shared" si="35"/>
        <v>1</v>
      </c>
      <c r="AO334" s="25" t="s">
        <v>434</v>
      </c>
      <c r="AP334" s="25" t="str">
        <f>_xlfn.XLOOKUP(F334,'TFS Details'!F:F,'TFS Details'!I:I)</f>
        <v>CreativeCoders</v>
      </c>
      <c r="AQ334" s="25" t="str">
        <f>_xlfn.XLOOKUP(AP334,'TFS Details'!I:I,'TFS Details'!AE:AE)</f>
        <v>K.devaraj</v>
      </c>
    </row>
    <row r="335" spans="1:43">
      <c r="A335" s="24" t="str">
        <f>_xlfn.XLOOKUP(F335,'TFS Details'!F:F,'TFS Details'!D:D)</f>
        <v>Pricing</v>
      </c>
      <c r="B335" s="24" t="str">
        <f>_xlfn.XLOOKUP(F335,'TFS Details'!F:F,'TFS Details'!A:A)</f>
        <v>OCP/DCTA - Updating the logic for Calculating productivity assessment values in Recommended Productivity section</v>
      </c>
      <c r="C335" s="64">
        <f>_xlfn.XLOOKUP(F335,'TFS Details'!F:F,'TFS Details'!E:E)</f>
        <v>4364026</v>
      </c>
      <c r="D335" s="17" t="s">
        <v>46</v>
      </c>
      <c r="E335" s="73" t="s">
        <v>804</v>
      </c>
      <c r="F335" s="130">
        <v>4364983</v>
      </c>
      <c r="G335" s="17" t="s">
        <v>801</v>
      </c>
      <c r="H335" s="73" t="s">
        <v>802</v>
      </c>
      <c r="I335" s="73"/>
      <c r="J335" s="73" t="s">
        <v>112</v>
      </c>
      <c r="K335" s="17" t="s">
        <v>1</v>
      </c>
      <c r="L335" s="16"/>
      <c r="N335" s="97" t="s">
        <v>191</v>
      </c>
      <c r="O335" s="134"/>
      <c r="P335" s="33">
        <v>1</v>
      </c>
      <c r="Q335" s="176">
        <v>23</v>
      </c>
      <c r="R335" s="176">
        <v>2</v>
      </c>
      <c r="S335" s="176">
        <v>0</v>
      </c>
      <c r="T335" s="176">
        <v>2</v>
      </c>
      <c r="U335" s="33">
        <v>1</v>
      </c>
      <c r="V335" s="33">
        <v>0.9</v>
      </c>
      <c r="W335" s="17" t="s">
        <v>183</v>
      </c>
      <c r="X335" s="17" t="s">
        <v>183</v>
      </c>
      <c r="Y335" s="17" t="s">
        <v>183</v>
      </c>
      <c r="Z335" s="17" t="s">
        <v>183</v>
      </c>
      <c r="AA335" s="176">
        <v>34</v>
      </c>
      <c r="AB335" s="176">
        <v>30</v>
      </c>
      <c r="AC335" s="176">
        <v>0</v>
      </c>
      <c r="AD335" s="176">
        <v>30</v>
      </c>
      <c r="AE335" s="33">
        <v>0.88</v>
      </c>
      <c r="AF335" s="33">
        <v>0.9</v>
      </c>
      <c r="AG335" s="25" t="str">
        <f>_xlfn.XLOOKUP(F335,'TFS Details'!F:F,'TFS Details'!H:H)</f>
        <v>UAT In Test</v>
      </c>
      <c r="AH335" s="44">
        <v>30</v>
      </c>
      <c r="AI335" s="44">
        <v>0</v>
      </c>
      <c r="AJ335" s="44">
        <v>0</v>
      </c>
      <c r="AK335" s="44">
        <v>0</v>
      </c>
      <c r="AL335" s="40">
        <f t="shared" si="34"/>
        <v>30</v>
      </c>
      <c r="AM335" s="41">
        <f t="shared" si="36"/>
        <v>1</v>
      </c>
      <c r="AN335" s="41">
        <f>IF(AH335=0,0,AH335/(SUM(AH335:AJ335)))</f>
        <v>1</v>
      </c>
      <c r="AO335" s="25" t="s">
        <v>510</v>
      </c>
      <c r="AP335" s="25" t="str">
        <f>_xlfn.XLOOKUP(F335,'TFS Details'!F:F,'TFS Details'!I:I)</f>
        <v>CreativeCoders</v>
      </c>
      <c r="AQ335" s="25" t="str">
        <f>_xlfn.XLOOKUP(AP335,'TFS Details'!I:I,'TFS Details'!AE:AE)</f>
        <v>K.devaraj</v>
      </c>
    </row>
    <row r="336" spans="1:43">
      <c r="A336" s="24" t="str">
        <f>_xlfn.XLOOKUP(F336,'TFS Details'!F:F,'TFS Details'!D:D)</f>
        <v>OCP/DCTA</v>
      </c>
      <c r="B336" s="24" t="str">
        <f>_xlfn.XLOOKUP(F336,'TFS Details'!F:F,'TFS Details'!A:A)</f>
        <v>OCP/DCTA - Updating the logic for Calculating productivity assessment values in Recommended Productivity section</v>
      </c>
      <c r="C336" s="64">
        <f>_xlfn.XLOOKUP(F336,'TFS Details'!F:F,'TFS Details'!E:E)</f>
        <v>4364026</v>
      </c>
      <c r="D336" s="17" t="s">
        <v>46</v>
      </c>
      <c r="E336" s="73" t="s">
        <v>805</v>
      </c>
      <c r="F336" s="130">
        <v>4364038</v>
      </c>
      <c r="G336" s="17" t="s">
        <v>801</v>
      </c>
      <c r="H336" s="73" t="s">
        <v>802</v>
      </c>
      <c r="I336" s="73"/>
      <c r="J336" s="73" t="s">
        <v>125</v>
      </c>
      <c r="K336" s="17" t="s">
        <v>1</v>
      </c>
      <c r="L336" s="16"/>
      <c r="N336" s="97" t="s">
        <v>191</v>
      </c>
      <c r="O336" s="134"/>
      <c r="P336" s="33">
        <v>0.9</v>
      </c>
      <c r="Q336" s="176">
        <v>25</v>
      </c>
      <c r="R336" s="176">
        <v>19</v>
      </c>
      <c r="S336" s="176">
        <v>0</v>
      </c>
      <c r="T336" s="176">
        <v>19</v>
      </c>
      <c r="U336" s="33">
        <v>1</v>
      </c>
      <c r="V336" s="33">
        <v>1</v>
      </c>
      <c r="W336" s="17" t="s">
        <v>183</v>
      </c>
      <c r="X336" s="17" t="s">
        <v>183</v>
      </c>
      <c r="Y336" s="17" t="s">
        <v>183</v>
      </c>
      <c r="Z336" s="17" t="s">
        <v>183</v>
      </c>
      <c r="AA336" s="176">
        <v>34</v>
      </c>
      <c r="AB336" s="176">
        <v>30</v>
      </c>
      <c r="AC336" s="176">
        <v>0</v>
      </c>
      <c r="AD336" s="176">
        <v>30</v>
      </c>
      <c r="AE336" s="33">
        <v>0.88</v>
      </c>
      <c r="AF336" s="33">
        <v>0.9</v>
      </c>
      <c r="AG336" s="25" t="str">
        <f>_xlfn.XLOOKUP(F336,'TFS Details'!F:F,'TFS Details'!H:H)</f>
        <v>UAT In Test</v>
      </c>
      <c r="AH336" s="44">
        <v>30</v>
      </c>
      <c r="AI336" s="44">
        <v>0</v>
      </c>
      <c r="AJ336" s="44">
        <v>0</v>
      </c>
      <c r="AK336" s="44">
        <v>0</v>
      </c>
      <c r="AL336" s="40">
        <f t="shared" si="34"/>
        <v>30</v>
      </c>
      <c r="AM336" s="41">
        <f t="shared" si="36"/>
        <v>1</v>
      </c>
      <c r="AN336" s="41">
        <f t="shared" si="35"/>
        <v>1</v>
      </c>
      <c r="AO336" s="25" t="s">
        <v>806</v>
      </c>
      <c r="AP336" s="25" t="str">
        <f>_xlfn.XLOOKUP(F336,'TFS Details'!F:F,'TFS Details'!I:I)</f>
        <v>CreativeCoders</v>
      </c>
      <c r="AQ336" s="25" t="str">
        <f>_xlfn.XLOOKUP(AP336,'TFS Details'!I:I,'TFS Details'!AE:AE)</f>
        <v>K.devaraj</v>
      </c>
    </row>
    <row r="337" spans="1:43">
      <c r="A337" s="24" t="str">
        <f>_xlfn.XLOOKUP(F337,'TFS Details'!F:F,'TFS Details'!D:D)</f>
        <v>AMS</v>
      </c>
      <c r="B337" s="24" t="str">
        <f>_xlfn.XLOOKUP(F337,'TFS Details'!F:F,'TFS Details'!A:A)</f>
        <v>Leadership Reporting Feedback</v>
      </c>
      <c r="C337" s="64">
        <f>_xlfn.XLOOKUP(F337,'TFS Details'!F:F,'TFS Details'!E:E)</f>
        <v>4110461</v>
      </c>
      <c r="D337" s="17" t="s">
        <v>46</v>
      </c>
      <c r="E337" s="236" t="s">
        <v>807</v>
      </c>
      <c r="F337" s="130">
        <v>4094562</v>
      </c>
      <c r="G337" s="17" t="s">
        <v>796</v>
      </c>
      <c r="H337" s="73" t="s">
        <v>797</v>
      </c>
      <c r="I337" s="201"/>
      <c r="J337" s="21" t="s">
        <v>107</v>
      </c>
      <c r="K337" s="17" t="s">
        <v>1</v>
      </c>
      <c r="L337" s="16"/>
      <c r="N337" s="97" t="s">
        <v>182</v>
      </c>
      <c r="O337" s="134"/>
      <c r="P337" s="33">
        <v>1</v>
      </c>
      <c r="Q337" s="176">
        <v>24</v>
      </c>
      <c r="R337" s="176">
        <v>15</v>
      </c>
      <c r="S337" s="176">
        <v>0</v>
      </c>
      <c r="T337" s="176">
        <v>15</v>
      </c>
      <c r="U337" s="33">
        <v>1</v>
      </c>
      <c r="V337" s="33">
        <v>0.9</v>
      </c>
      <c r="W337" s="17" t="s">
        <v>183</v>
      </c>
      <c r="X337" s="17" t="s">
        <v>183</v>
      </c>
      <c r="Y337" s="17" t="s">
        <v>183</v>
      </c>
      <c r="Z337" s="17" t="s">
        <v>183</v>
      </c>
      <c r="AA337" s="176">
        <v>50</v>
      </c>
      <c r="AB337" s="176">
        <v>24</v>
      </c>
      <c r="AC337" s="176">
        <v>4</v>
      </c>
      <c r="AD337" s="176">
        <v>28</v>
      </c>
      <c r="AE337" s="33">
        <v>0.6</v>
      </c>
      <c r="AF337" s="33">
        <v>0.6</v>
      </c>
      <c r="AG337" s="25" t="str">
        <f>_xlfn.XLOOKUP(F337,'TFS Details'!F:F,'TFS Details'!H:H)</f>
        <v>PT In Test</v>
      </c>
      <c r="AH337" s="44">
        <v>24</v>
      </c>
      <c r="AI337" s="44">
        <v>0</v>
      </c>
      <c r="AJ337" s="44">
        <v>0</v>
      </c>
      <c r="AK337" s="44">
        <v>0</v>
      </c>
      <c r="AL337" s="40">
        <f t="shared" si="34"/>
        <v>24</v>
      </c>
      <c r="AM337" s="41">
        <f t="shared" si="36"/>
        <v>1</v>
      </c>
      <c r="AN337" s="41">
        <f t="shared" si="35"/>
        <v>1</v>
      </c>
      <c r="AO337" s="25"/>
      <c r="AP337" s="25" t="str">
        <f>_xlfn.XLOOKUP(F337,'TFS Details'!F:F,'TFS Details'!I:I)</f>
        <v>TechMavericks</v>
      </c>
      <c r="AQ337" s="25" t="str">
        <f>_xlfn.XLOOKUP(AP337,'TFS Details'!I:I,'TFS Details'!AE:AE)</f>
        <v>Francis.Deepak</v>
      </c>
    </row>
    <row r="338" spans="1:43">
      <c r="A338" s="24" t="str">
        <f>_xlfn.XLOOKUP(F338,'TFS Details'!F:F,'TFS Details'!D:D)</f>
        <v>AMS, SI, DCTA</v>
      </c>
      <c r="B338" s="24" t="str">
        <f>_xlfn.XLOOKUP(F338,'TFS Details'!F:F,'TFS Details'!A:A)</f>
        <v>Updating the logic for populating the Deal Rag Status in KDA Variance Analysis Report</v>
      </c>
      <c r="C338" s="64">
        <f>_xlfn.XLOOKUP(F338,'TFS Details'!F:F,'TFS Details'!E:E)</f>
        <v>4316161</v>
      </c>
      <c r="D338" s="17" t="s">
        <v>46</v>
      </c>
      <c r="E338" s="73" t="s">
        <v>808</v>
      </c>
      <c r="F338" s="130">
        <v>4316299</v>
      </c>
      <c r="G338" s="17" t="s">
        <v>809</v>
      </c>
      <c r="H338" s="17" t="s">
        <v>797</v>
      </c>
      <c r="K338" s="97" t="s">
        <v>18</v>
      </c>
      <c r="L338" s="16" t="s">
        <v>810</v>
      </c>
      <c r="M338" s="16" t="s">
        <v>48</v>
      </c>
      <c r="N338" s="17"/>
      <c r="O338" s="134"/>
      <c r="Q338" s="176"/>
      <c r="R338" s="176"/>
      <c r="S338" s="176"/>
      <c r="T338" s="176"/>
      <c r="W338" s="17" t="s">
        <v>183</v>
      </c>
      <c r="X338" s="17" t="s">
        <v>183</v>
      </c>
      <c r="Y338" s="17" t="s">
        <v>183</v>
      </c>
      <c r="Z338" s="17" t="s">
        <v>183</v>
      </c>
      <c r="AA338" s="176">
        <v>21</v>
      </c>
      <c r="AB338" s="176">
        <v>15</v>
      </c>
      <c r="AC338" s="176">
        <v>0</v>
      </c>
      <c r="AD338" s="176">
        <v>15</v>
      </c>
      <c r="AE338" s="33">
        <v>0.9</v>
      </c>
      <c r="AF338" s="33">
        <v>1</v>
      </c>
      <c r="AG338" s="25" t="str">
        <f>_xlfn.XLOOKUP(F338,'TFS Details'!F:F,'TFS Details'!H:H)</f>
        <v>UAT In Test</v>
      </c>
      <c r="AH338" s="44">
        <v>15</v>
      </c>
      <c r="AI338" s="44">
        <v>0</v>
      </c>
      <c r="AJ338" s="44">
        <v>0</v>
      </c>
      <c r="AK338" s="44">
        <v>0</v>
      </c>
      <c r="AL338" s="40">
        <f t="shared" si="34"/>
        <v>15</v>
      </c>
      <c r="AM338" s="41">
        <f t="shared" si="36"/>
        <v>1</v>
      </c>
      <c r="AN338" s="41">
        <f t="shared" si="35"/>
        <v>1</v>
      </c>
      <c r="AO338" s="25"/>
      <c r="AP338" s="25" t="str">
        <f>_xlfn.XLOOKUP(F338,'TFS Details'!F:F,'TFS Details'!I:I)</f>
        <v>CodeCrafters</v>
      </c>
      <c r="AQ338" s="25" t="str">
        <f>_xlfn.XLOOKUP(AP338,'TFS Details'!I:I,'TFS Details'!AE:AE)</f>
        <v>sona.job</v>
      </c>
    </row>
    <row r="339" spans="1:43">
      <c r="A339" s="24" t="str">
        <f>_xlfn.XLOOKUP(F339,'TFS Details'!F:F,'TFS Details'!D:D)</f>
        <v>AMS, SI, OCP</v>
      </c>
      <c r="B339" s="24" t="str">
        <f>_xlfn.XLOOKUP(F339,'TFS Details'!F:F,'TFS Details'!A:A)</f>
        <v>Updating the logic for populating the Deal Rag Status in KDA Variance Analysis Report</v>
      </c>
      <c r="C339" s="64">
        <f>_xlfn.XLOOKUP(F339,'TFS Details'!F:F,'TFS Details'!E:E)</f>
        <v>4316161</v>
      </c>
      <c r="D339" s="17" t="s">
        <v>46</v>
      </c>
      <c r="E339" s="73" t="s">
        <v>811</v>
      </c>
      <c r="F339" s="130">
        <v>4316297</v>
      </c>
      <c r="G339" s="17" t="s">
        <v>809</v>
      </c>
      <c r="H339" s="17" t="s">
        <v>797</v>
      </c>
      <c r="K339" s="97" t="s">
        <v>18</v>
      </c>
      <c r="L339" s="16" t="s">
        <v>810</v>
      </c>
      <c r="M339" s="16" t="s">
        <v>48</v>
      </c>
      <c r="N339" s="17"/>
      <c r="O339" s="134"/>
      <c r="Q339" s="176"/>
      <c r="R339" s="176"/>
      <c r="S339" s="176"/>
      <c r="T339" s="176"/>
      <c r="W339" s="17" t="s">
        <v>183</v>
      </c>
      <c r="X339" s="17" t="s">
        <v>183</v>
      </c>
      <c r="Y339" s="17" t="s">
        <v>183</v>
      </c>
      <c r="Z339" s="17" t="s">
        <v>183</v>
      </c>
      <c r="AA339" s="176">
        <v>20</v>
      </c>
      <c r="AB339" s="176">
        <v>15</v>
      </c>
      <c r="AC339" s="176">
        <v>0</v>
      </c>
      <c r="AD339" s="176">
        <v>15</v>
      </c>
      <c r="AE339" s="33">
        <v>0.9</v>
      </c>
      <c r="AF339" s="33">
        <v>1</v>
      </c>
      <c r="AG339" s="25" t="str">
        <f>_xlfn.XLOOKUP(F339,'TFS Details'!F:F,'TFS Details'!H:H)</f>
        <v>UAT In Test</v>
      </c>
      <c r="AH339" s="44">
        <v>15</v>
      </c>
      <c r="AI339" s="44">
        <v>0</v>
      </c>
      <c r="AJ339" s="44">
        <v>0</v>
      </c>
      <c r="AK339" s="44">
        <v>0</v>
      </c>
      <c r="AL339" s="40">
        <f t="shared" si="34"/>
        <v>15</v>
      </c>
      <c r="AM339" s="41">
        <f t="shared" si="36"/>
        <v>1</v>
      </c>
      <c r="AN339" s="41">
        <f t="shared" si="35"/>
        <v>1</v>
      </c>
      <c r="AO339" s="25"/>
      <c r="AP339" s="25" t="str">
        <f>_xlfn.XLOOKUP(F339,'TFS Details'!F:F,'TFS Details'!I:I)</f>
        <v>CodeCrafters</v>
      </c>
      <c r="AQ339" s="25" t="str">
        <f>_xlfn.XLOOKUP(AP339,'TFS Details'!I:I,'TFS Details'!AE:AE)</f>
        <v>sona.job</v>
      </c>
    </row>
    <row r="340" spans="1:43">
      <c r="A340" s="24" t="str">
        <f>_xlfn.XLOOKUP(F340,'TFS Details'!F:F,'TFS Details'!D:D)</f>
        <v>AMS</v>
      </c>
      <c r="B340" s="24" t="str">
        <f>_xlfn.XLOOKUP(F340,'TFS Details'!F:F,'TFS Details'!A:A)</f>
        <v>Updating the Staffing  OU Import Export Validation logic based on Modified On column</v>
      </c>
      <c r="C340" s="64">
        <f>_xlfn.XLOOKUP(F340,'TFS Details'!F:F,'TFS Details'!E:E)</f>
        <v>4371812</v>
      </c>
      <c r="D340" s="17" t="s">
        <v>46</v>
      </c>
      <c r="E340" s="73" t="s">
        <v>812</v>
      </c>
      <c r="F340" s="130">
        <v>4371838</v>
      </c>
      <c r="G340" s="17" t="s">
        <v>796</v>
      </c>
      <c r="H340" s="73" t="s">
        <v>797</v>
      </c>
      <c r="I340" s="201"/>
      <c r="K340" s="97" t="s">
        <v>18</v>
      </c>
      <c r="L340" s="16" t="s">
        <v>798</v>
      </c>
      <c r="M340" s="97" t="s">
        <v>34</v>
      </c>
      <c r="N340" s="17"/>
      <c r="O340" s="134"/>
      <c r="Q340" s="176"/>
      <c r="R340" s="176"/>
      <c r="S340" s="176"/>
      <c r="T340" s="176"/>
      <c r="W340" s="17" t="s">
        <v>183</v>
      </c>
      <c r="X340" s="17" t="s">
        <v>183</v>
      </c>
      <c r="Y340" s="17" t="s">
        <v>183</v>
      </c>
      <c r="Z340" s="17" t="s">
        <v>183</v>
      </c>
      <c r="AA340" s="176">
        <v>18</v>
      </c>
      <c r="AB340" s="176">
        <v>12</v>
      </c>
      <c r="AC340" s="176">
        <v>6</v>
      </c>
      <c r="AD340" s="176">
        <v>18</v>
      </c>
      <c r="AE340" s="33">
        <v>0.8</v>
      </c>
      <c r="AF340" s="33">
        <v>0.8</v>
      </c>
      <c r="AG340" s="25" t="str">
        <f>_xlfn.XLOOKUP(F340,'TFS Details'!F:F,'TFS Details'!H:H)</f>
        <v>UAT In Test</v>
      </c>
      <c r="AH340" s="44">
        <v>16</v>
      </c>
      <c r="AI340" s="44">
        <v>0</v>
      </c>
      <c r="AJ340" s="44">
        <v>0</v>
      </c>
      <c r="AK340" s="44">
        <v>0</v>
      </c>
      <c r="AL340" s="40">
        <f t="shared" si="34"/>
        <v>16</v>
      </c>
      <c r="AM340" s="41">
        <f t="shared" si="36"/>
        <v>1</v>
      </c>
      <c r="AN340" s="41">
        <f t="shared" si="35"/>
        <v>1</v>
      </c>
      <c r="AO340" s="25"/>
      <c r="AP340" s="25" t="str">
        <f>_xlfn.XLOOKUP(F340,'TFS Details'!F:F,'TFS Details'!I:I)</f>
        <v>TechCoders</v>
      </c>
      <c r="AQ340" s="25" t="str">
        <f>_xlfn.XLOOKUP(AP340,'TFS Details'!I:I,'TFS Details'!AE:AE)</f>
        <v>Francis.Deepak</v>
      </c>
    </row>
    <row r="341" spans="1:43">
      <c r="A341" s="24" t="str">
        <f>_xlfn.XLOOKUP(F341,'TFS Details'!F:F,'TFS Details'!D:D)</f>
        <v>AMS</v>
      </c>
      <c r="B341" s="24" t="str">
        <f>_xlfn.XLOOKUP(F341,'TFS Details'!F:F,'TFS Details'!A:A)</f>
        <v>Updating the logic for calculating productivity assessment values</v>
      </c>
      <c r="C341" s="64">
        <f>_xlfn.XLOOKUP(F341,'TFS Details'!F:F,'TFS Details'!E:E)</f>
        <v>4373529</v>
      </c>
      <c r="D341" s="17" t="s">
        <v>46</v>
      </c>
      <c r="E341" s="259" t="s">
        <v>813</v>
      </c>
      <c r="F341" s="130">
        <v>4361790</v>
      </c>
      <c r="G341" s="73" t="s">
        <v>797</v>
      </c>
      <c r="H341" s="203" t="s">
        <v>796</v>
      </c>
      <c r="I341" s="201"/>
      <c r="K341" s="97" t="s">
        <v>18</v>
      </c>
      <c r="L341" s="16" t="s">
        <v>810</v>
      </c>
      <c r="M341" s="16" t="s">
        <v>48</v>
      </c>
      <c r="N341" s="17"/>
      <c r="O341" s="134"/>
      <c r="Q341" s="176"/>
      <c r="R341" s="176"/>
      <c r="S341" s="176"/>
      <c r="T341" s="176"/>
      <c r="W341" s="17" t="s">
        <v>183</v>
      </c>
      <c r="X341" s="17" t="s">
        <v>183</v>
      </c>
      <c r="Y341" s="17" t="s">
        <v>183</v>
      </c>
      <c r="Z341" s="17" t="s">
        <v>183</v>
      </c>
      <c r="AA341" s="176">
        <v>20</v>
      </c>
      <c r="AB341" s="176">
        <v>20</v>
      </c>
      <c r="AC341" s="176">
        <v>5</v>
      </c>
      <c r="AD341" s="176">
        <v>25</v>
      </c>
      <c r="AE341" s="33">
        <v>0.9</v>
      </c>
      <c r="AF341" s="33">
        <v>1</v>
      </c>
      <c r="AG341" s="25" t="str">
        <f>_xlfn.XLOOKUP(F341,'TFS Details'!F:F,'TFS Details'!H:H)</f>
        <v>UAT In Test</v>
      </c>
      <c r="AH341" s="44">
        <v>25</v>
      </c>
      <c r="AI341" s="44">
        <v>0</v>
      </c>
      <c r="AJ341" s="44">
        <v>0</v>
      </c>
      <c r="AK341" s="44">
        <v>0</v>
      </c>
      <c r="AL341" s="40">
        <f t="shared" si="34"/>
        <v>25</v>
      </c>
      <c r="AM341" s="41">
        <f t="shared" si="36"/>
        <v>1</v>
      </c>
      <c r="AN341" s="41">
        <f t="shared" si="35"/>
        <v>1</v>
      </c>
      <c r="AO341" s="25" t="s">
        <v>510</v>
      </c>
      <c r="AP341" s="25" t="str">
        <f>_xlfn.XLOOKUP(F341,'TFS Details'!F:F,'TFS Details'!I:I)</f>
        <v>TechCoders</v>
      </c>
      <c r="AQ341" s="25" t="str">
        <f>_xlfn.XLOOKUP(AP341,'TFS Details'!I:I,'TFS Details'!AE:AE)</f>
        <v>Francis.Deepak</v>
      </c>
    </row>
    <row r="342" spans="1:43">
      <c r="A342" s="24" t="str">
        <f>_xlfn.XLOOKUP(F342,'TFS Details'!F:F,'TFS Details'!D:D)</f>
        <v>Pricing</v>
      </c>
      <c r="B342" s="24" t="str">
        <f>_xlfn.XLOOKUP(F342,'TFS Details'!F:F,'TFS Details'!A:A)</f>
        <v>Price to Client after Negotiation Contingency calculation</v>
      </c>
      <c r="C342" s="64">
        <f>_xlfn.XLOOKUP(F342,'TFS Details'!F:F,'TFS Details'!E:E)</f>
        <v>4351343</v>
      </c>
      <c r="D342" s="17" t="s">
        <v>46</v>
      </c>
      <c r="E342" s="236" t="s">
        <v>814</v>
      </c>
      <c r="F342" s="114">
        <v>4359607</v>
      </c>
      <c r="G342" s="17" t="s">
        <v>815</v>
      </c>
      <c r="H342" s="73" t="s">
        <v>809</v>
      </c>
      <c r="I342" s="201"/>
      <c r="K342" s="97" t="s">
        <v>18</v>
      </c>
      <c r="L342" s="16" t="s">
        <v>816</v>
      </c>
      <c r="M342" s="97" t="s">
        <v>34</v>
      </c>
      <c r="N342" s="17"/>
      <c r="O342" s="134"/>
      <c r="Q342" s="176"/>
      <c r="R342" s="176"/>
      <c r="S342" s="176"/>
      <c r="T342" s="176"/>
      <c r="W342" s="17" t="s">
        <v>183</v>
      </c>
      <c r="X342" s="17" t="s">
        <v>183</v>
      </c>
      <c r="Y342" s="17" t="s">
        <v>183</v>
      </c>
      <c r="Z342" s="17" t="s">
        <v>183</v>
      </c>
      <c r="AA342" s="176">
        <v>33</v>
      </c>
      <c r="AB342" s="176">
        <v>22</v>
      </c>
      <c r="AC342" s="176">
        <v>1</v>
      </c>
      <c r="AD342" s="176">
        <v>22</v>
      </c>
      <c r="AE342" s="33">
        <v>0.95</v>
      </c>
      <c r="AF342" s="33">
        <v>1</v>
      </c>
      <c r="AG342" s="25" t="str">
        <f>_xlfn.XLOOKUP(F342,'TFS Details'!F:F,'TFS Details'!H:H)</f>
        <v>UAT In Test</v>
      </c>
      <c r="AH342" s="44">
        <v>22</v>
      </c>
      <c r="AI342" s="44">
        <v>0</v>
      </c>
      <c r="AJ342" s="44">
        <v>0</v>
      </c>
      <c r="AK342" s="44">
        <v>0</v>
      </c>
      <c r="AL342" s="40">
        <f t="shared" si="34"/>
        <v>22</v>
      </c>
      <c r="AM342" s="41">
        <f t="shared" si="36"/>
        <v>1</v>
      </c>
      <c r="AN342" s="41">
        <f t="shared" si="35"/>
        <v>1</v>
      </c>
      <c r="AO342" s="25" t="s">
        <v>817</v>
      </c>
      <c r="AP342" s="25" t="str">
        <f>_xlfn.XLOOKUP(F342,'TFS Details'!F:F,'TFS Details'!I:I)</f>
        <v>Simulators</v>
      </c>
      <c r="AQ342" s="25" t="str">
        <f>_xlfn.XLOOKUP(AP342,'TFS Details'!I:I,'TFS Details'!AE:AE)</f>
        <v>K.devaraj</v>
      </c>
    </row>
    <row r="343" spans="1:43">
      <c r="A343" s="24" t="str">
        <f>_xlfn.XLOOKUP(F343,'TFS Details'!F:F,'TFS Details'!D:D)</f>
        <v>IMS OCP</v>
      </c>
      <c r="B343" s="24" t="str">
        <f>_xlfn.XLOOKUP(F343,'TFS Details'!F:F,'TFS Details'!A:A)</f>
        <v>Sending Roles and Open for SA notes to MSDA along with Cost Description and Category</v>
      </c>
      <c r="C343" s="64">
        <f>_xlfn.XLOOKUP(F343,'TFS Details'!F:F,'TFS Details'!E:E)</f>
        <v>4371602</v>
      </c>
      <c r="D343" s="17" t="s">
        <v>46</v>
      </c>
      <c r="E343" s="236" t="s">
        <v>818</v>
      </c>
      <c r="F343" s="114">
        <v>4362959</v>
      </c>
      <c r="G343" s="17" t="s">
        <v>801</v>
      </c>
      <c r="H343" s="73" t="s">
        <v>802</v>
      </c>
      <c r="I343" s="201"/>
      <c r="K343" s="97" t="s">
        <v>18</v>
      </c>
      <c r="L343" s="16" t="s">
        <v>819</v>
      </c>
      <c r="M343" s="97" t="s">
        <v>34</v>
      </c>
      <c r="N343" s="17"/>
      <c r="O343" s="134"/>
      <c r="Q343" s="176"/>
      <c r="R343" s="176"/>
      <c r="S343" s="176"/>
      <c r="T343" s="176"/>
      <c r="W343" s="17" t="s">
        <v>183</v>
      </c>
      <c r="X343" s="17" t="s">
        <v>183</v>
      </c>
      <c r="Y343" s="17" t="s">
        <v>183</v>
      </c>
      <c r="Z343" s="17" t="s">
        <v>183</v>
      </c>
      <c r="AA343" s="176">
        <v>15</v>
      </c>
      <c r="AB343" s="176">
        <v>5</v>
      </c>
      <c r="AC343" s="176">
        <v>6</v>
      </c>
      <c r="AD343" s="176">
        <v>11</v>
      </c>
      <c r="AE343" s="33">
        <v>0.4</v>
      </c>
      <c r="AF343" s="33">
        <v>0.45</v>
      </c>
      <c r="AG343" s="25" t="str">
        <f>_xlfn.XLOOKUP(F343,'TFS Details'!F:F,'TFS Details'!H:H)</f>
        <v>Ready for UAT</v>
      </c>
      <c r="AH343" s="44">
        <v>11</v>
      </c>
      <c r="AI343" s="44">
        <v>0</v>
      </c>
      <c r="AJ343" s="44">
        <v>0</v>
      </c>
      <c r="AK343" s="44">
        <v>0</v>
      </c>
      <c r="AL343" s="40">
        <f t="shared" si="34"/>
        <v>11</v>
      </c>
      <c r="AM343" s="41">
        <f t="shared" si="36"/>
        <v>1</v>
      </c>
      <c r="AN343" s="41">
        <f t="shared" si="35"/>
        <v>1</v>
      </c>
      <c r="AO343" s="25" t="s">
        <v>606</v>
      </c>
      <c r="AP343" s="25" t="str">
        <f>_xlfn.XLOOKUP(F343,'TFS Details'!F:F,'TFS Details'!I:I)</f>
        <v>CreativeCoders</v>
      </c>
      <c r="AQ343" s="25" t="str">
        <f>_xlfn.XLOOKUP(AP343,'TFS Details'!I:I,'TFS Details'!AE:AE)</f>
        <v>K.devaraj</v>
      </c>
    </row>
    <row r="344" spans="1:43">
      <c r="A344" s="24" t="str">
        <f>_xlfn.XLOOKUP(F344,'TFS Details'!F:F,'TFS Details'!D:D)</f>
        <v>MMP-FFP</v>
      </c>
      <c r="B344" s="24" t="str">
        <f>_xlfn.XLOOKUP(F344,'TFS Details'!F:F,'TFS Details'!A:A)</f>
        <v>Sending metrices applicable for SI MMP-FFP, SI-DATA KDA and Solution Based KDA to MMD</v>
      </c>
      <c r="C344" s="64">
        <f>_xlfn.XLOOKUP(F344,'TFS Details'!F:F,'TFS Details'!E:E)</f>
        <v>4394114</v>
      </c>
      <c r="D344" s="17" t="s">
        <v>52</v>
      </c>
      <c r="E344" s="73" t="s">
        <v>820</v>
      </c>
      <c r="F344" s="114">
        <v>4381661</v>
      </c>
      <c r="G344" s="18" t="s">
        <v>821</v>
      </c>
      <c r="H344" s="17" t="s">
        <v>822</v>
      </c>
      <c r="K344" s="97" t="s">
        <v>18</v>
      </c>
      <c r="L344" s="16" t="s">
        <v>823</v>
      </c>
      <c r="M344" s="16" t="s">
        <v>48</v>
      </c>
      <c r="N344" s="17"/>
      <c r="O344" s="134"/>
      <c r="Q344" s="176"/>
      <c r="R344" s="176"/>
      <c r="S344" s="176"/>
      <c r="T344" s="176"/>
      <c r="W344" s="17" t="s">
        <v>183</v>
      </c>
      <c r="X344" s="17" t="s">
        <v>183</v>
      </c>
      <c r="Y344" s="17" t="s">
        <v>183</v>
      </c>
      <c r="Z344" s="17" t="s">
        <v>183</v>
      </c>
      <c r="AA344" s="176">
        <v>21</v>
      </c>
      <c r="AB344" s="176">
        <v>4</v>
      </c>
      <c r="AC344" s="176">
        <v>6</v>
      </c>
      <c r="AD344" s="176">
        <v>10</v>
      </c>
      <c r="AE344" s="33">
        <f>AB344/AD344</f>
        <v>0.4</v>
      </c>
      <c r="AF344" s="33">
        <v>0.4</v>
      </c>
      <c r="AG344" s="25" t="str">
        <f>_xlfn.XLOOKUP(F344,'TFS Details'!F:F,'TFS Details'!H:H)</f>
        <v>Test Complete</v>
      </c>
      <c r="AH344" s="44">
        <v>10</v>
      </c>
      <c r="AI344" s="44">
        <v>0</v>
      </c>
      <c r="AJ344" s="44">
        <v>0</v>
      </c>
      <c r="AK344" s="44">
        <v>0</v>
      </c>
      <c r="AL344" s="40">
        <f t="shared" si="34"/>
        <v>10</v>
      </c>
      <c r="AM344" s="41">
        <f t="shared" si="36"/>
        <v>1</v>
      </c>
      <c r="AN344" s="41">
        <f t="shared" si="35"/>
        <v>1</v>
      </c>
      <c r="AO344" s="25"/>
      <c r="AP344" s="25" t="str">
        <f>_xlfn.XLOOKUP(F344,'TFS Details'!F:F,'TFS Details'!I:I)</f>
        <v>Simulators</v>
      </c>
      <c r="AQ344" s="25" t="str">
        <f>_xlfn.XLOOKUP(AP344,'TFS Details'!I:I,'TFS Details'!AE:AE)</f>
        <v>K.devaraj</v>
      </c>
    </row>
    <row r="345" spans="1:43" ht="14.1">
      <c r="A345" s="24" t="str">
        <f>_xlfn.XLOOKUP(F345,'TFS Details'!F:F,'TFS Details'!D:D)</f>
        <v>SI OCP</v>
      </c>
      <c r="B345" s="24" t="str">
        <f>_xlfn.XLOOKUP(F345,'TFS Details'!F:F,'TFS Details'!A:A)</f>
        <v>Billable Expense as % of Price</v>
      </c>
      <c r="C345" s="64">
        <f>_xlfn.XLOOKUP(F345,'TFS Details'!F:F,'TFS Details'!E:E)</f>
        <v>4371610</v>
      </c>
      <c r="D345" s="17" t="s">
        <v>52</v>
      </c>
      <c r="E345" s="73" t="s">
        <v>824</v>
      </c>
      <c r="F345" s="114">
        <v>4367405</v>
      </c>
      <c r="G345" s="17" t="s">
        <v>825</v>
      </c>
      <c r="H345" s="73" t="s">
        <v>826</v>
      </c>
      <c r="I345" s="201"/>
      <c r="K345" s="97" t="s">
        <v>18</v>
      </c>
      <c r="L345" s="16" t="s">
        <v>827</v>
      </c>
      <c r="M345" s="97" t="s">
        <v>34</v>
      </c>
      <c r="N345" s="17"/>
      <c r="O345" s="134"/>
      <c r="Q345" s="176"/>
      <c r="R345" s="176"/>
      <c r="S345" s="176"/>
      <c r="T345" s="176"/>
      <c r="W345" s="17" t="s">
        <v>183</v>
      </c>
      <c r="X345" s="17" t="s">
        <v>183</v>
      </c>
      <c r="Y345" s="17" t="s">
        <v>183</v>
      </c>
      <c r="Z345" s="17" t="s">
        <v>183</v>
      </c>
      <c r="AA345" s="176">
        <v>29</v>
      </c>
      <c r="AB345" s="176">
        <v>23</v>
      </c>
      <c r="AC345" s="176">
        <v>0</v>
      </c>
      <c r="AD345" s="176">
        <v>23</v>
      </c>
      <c r="AE345" s="33">
        <f>AB345/AD345</f>
        <v>1</v>
      </c>
      <c r="AF345" s="33">
        <v>0.8</v>
      </c>
      <c r="AG345" s="25" t="str">
        <f>_xlfn.XLOOKUP(F345,'TFS Details'!F:F,'TFS Details'!H:H)</f>
        <v>UAT In Test</v>
      </c>
      <c r="AH345" s="44">
        <v>23</v>
      </c>
      <c r="AI345" s="44">
        <v>0</v>
      </c>
      <c r="AJ345" s="44">
        <v>0</v>
      </c>
      <c r="AK345" s="44">
        <v>0</v>
      </c>
      <c r="AL345" s="40">
        <f t="shared" si="34"/>
        <v>23</v>
      </c>
      <c r="AM345" s="41">
        <f t="shared" si="36"/>
        <v>1</v>
      </c>
      <c r="AN345" s="41">
        <f t="shared" si="35"/>
        <v>1</v>
      </c>
      <c r="AO345" s="235" t="s">
        <v>828</v>
      </c>
      <c r="AP345" s="25" t="str">
        <f>_xlfn.XLOOKUP(F345,'TFS Details'!F:F,'TFS Details'!I:I)</f>
        <v>CodingCrusaders</v>
      </c>
      <c r="AQ345" s="25" t="str">
        <f>_xlfn.XLOOKUP(AP345,'TFS Details'!I:I,'TFS Details'!AE:AE)</f>
        <v>K.devaraj</v>
      </c>
    </row>
    <row r="346" spans="1:43">
      <c r="A346" s="24" t="str">
        <f>_xlfn.XLOOKUP(F346,'TFS Details'!F:F,'TFS Details'!D:D)</f>
        <v>Skill Inventory</v>
      </c>
      <c r="B346" s="24" t="str">
        <f>_xlfn.XLOOKUP(F346,'TFS Details'!F:F,'TFS Details'!A:A)</f>
        <v>Skill Data Structure Migration -SI/AMS</v>
      </c>
      <c r="C346" s="64">
        <f>_xlfn.XLOOKUP(F346,'TFS Details'!F:F,'TFS Details'!E:E)</f>
        <v>4273057</v>
      </c>
      <c r="D346" s="17" t="s">
        <v>46</v>
      </c>
      <c r="E346" s="73" t="s">
        <v>829</v>
      </c>
      <c r="F346" s="114">
        <v>4288220</v>
      </c>
      <c r="G346" s="73" t="s">
        <v>797</v>
      </c>
      <c r="H346" s="203" t="s">
        <v>796</v>
      </c>
      <c r="I346" s="201"/>
      <c r="K346" s="97" t="s">
        <v>18</v>
      </c>
      <c r="L346" s="16" t="s">
        <v>810</v>
      </c>
      <c r="M346" s="16" t="s">
        <v>48</v>
      </c>
      <c r="N346" s="17"/>
      <c r="O346" s="134"/>
      <c r="Q346" s="176"/>
      <c r="R346" s="176"/>
      <c r="S346" s="176"/>
      <c r="T346" s="176"/>
      <c r="W346" s="17" t="s">
        <v>183</v>
      </c>
      <c r="X346" s="17" t="s">
        <v>183</v>
      </c>
      <c r="Y346" s="17" t="s">
        <v>183</v>
      </c>
      <c r="Z346" s="17" t="s">
        <v>183</v>
      </c>
      <c r="AA346" s="176">
        <v>42</v>
      </c>
      <c r="AB346" s="176">
        <v>37</v>
      </c>
      <c r="AC346" s="176">
        <v>2</v>
      </c>
      <c r="AD346" s="176">
        <v>39</v>
      </c>
      <c r="AE346" s="33">
        <v>0.85</v>
      </c>
      <c r="AF346" s="33">
        <v>1</v>
      </c>
      <c r="AG346" s="25" t="str">
        <f>_xlfn.XLOOKUP(F346,'TFS Details'!F:F,'TFS Details'!H:H)</f>
        <v>Blocked</v>
      </c>
      <c r="AH346" s="44">
        <v>39</v>
      </c>
      <c r="AI346" s="44">
        <v>0</v>
      </c>
      <c r="AJ346" s="44">
        <v>0</v>
      </c>
      <c r="AK346" s="44">
        <v>0</v>
      </c>
      <c r="AL346" s="40">
        <f t="shared" si="34"/>
        <v>39</v>
      </c>
      <c r="AM346" s="41">
        <f t="shared" si="36"/>
        <v>1</v>
      </c>
      <c r="AN346" s="41">
        <f>IF(AH346=0,0,AH346/(SUM(AH346:AJ346)))</f>
        <v>1</v>
      </c>
      <c r="AO346" s="25"/>
      <c r="AP346" s="25" t="str">
        <f>_xlfn.XLOOKUP(F346,'TFS Details'!F:F,'TFS Details'!I:I)</f>
        <v>TechMavericks</v>
      </c>
      <c r="AQ346" s="25" t="str">
        <f>_xlfn.XLOOKUP(AP346,'TFS Details'!I:I,'TFS Details'!AE:AE)</f>
        <v>Francis.Deepak</v>
      </c>
    </row>
    <row r="347" spans="1:43">
      <c r="A347" s="24" t="str">
        <f>_xlfn.XLOOKUP(F347,'TFS Details'!F:F,'TFS Details'!D:D)</f>
        <v>Pricing</v>
      </c>
      <c r="B347" s="24" t="str">
        <f>_xlfn.XLOOKUP(F347,'TFS Details'!F:F,'TFS Details'!A:A)</f>
        <v>Corrections in OCP/DCTA Resource Level Excel Export Reports</v>
      </c>
      <c r="C347" s="64">
        <f>_xlfn.XLOOKUP(F347,'TFS Details'!F:F,'TFS Details'!E:E)</f>
        <v>4352766</v>
      </c>
      <c r="D347" s="17" t="s">
        <v>46</v>
      </c>
      <c r="E347" s="236" t="s">
        <v>830</v>
      </c>
      <c r="F347" s="114">
        <v>4361245</v>
      </c>
      <c r="G347" s="17" t="s">
        <v>801</v>
      </c>
      <c r="H347" s="73" t="s">
        <v>802</v>
      </c>
      <c r="I347" s="201"/>
      <c r="K347" s="97" t="s">
        <v>18</v>
      </c>
      <c r="L347" s="16" t="s">
        <v>803</v>
      </c>
      <c r="M347" s="97" t="s">
        <v>34</v>
      </c>
      <c r="N347" s="17"/>
      <c r="O347" s="134"/>
      <c r="Q347" s="176"/>
      <c r="R347" s="176"/>
      <c r="S347" s="176"/>
      <c r="T347" s="176"/>
      <c r="W347" s="17" t="s">
        <v>183</v>
      </c>
      <c r="X347" s="17" t="s">
        <v>183</v>
      </c>
      <c r="Y347" s="17" t="s">
        <v>183</v>
      </c>
      <c r="Z347" s="17" t="s">
        <v>183</v>
      </c>
      <c r="AA347" s="176">
        <v>21</v>
      </c>
      <c r="AB347" s="176">
        <v>16</v>
      </c>
      <c r="AC347" s="176">
        <v>0</v>
      </c>
      <c r="AD347" s="176">
        <v>16</v>
      </c>
      <c r="AE347" s="33">
        <v>0.76190000000000002</v>
      </c>
      <c r="AF347" s="33">
        <v>0.9</v>
      </c>
      <c r="AG347" s="25" t="str">
        <f>_xlfn.XLOOKUP(F347,'TFS Details'!F:F,'TFS Details'!H:H)</f>
        <v>Test Complete</v>
      </c>
      <c r="AH347" s="44">
        <v>16</v>
      </c>
      <c r="AI347" s="44">
        <v>0</v>
      </c>
      <c r="AJ347" s="44">
        <v>0</v>
      </c>
      <c r="AK347" s="44">
        <v>0</v>
      </c>
      <c r="AL347" s="40">
        <f t="shared" si="34"/>
        <v>16</v>
      </c>
      <c r="AM347" s="41">
        <f t="shared" si="36"/>
        <v>1</v>
      </c>
      <c r="AN347" s="41">
        <f t="shared" si="35"/>
        <v>1</v>
      </c>
      <c r="AO347" s="25" t="s">
        <v>434</v>
      </c>
      <c r="AP347" s="25" t="str">
        <f>_xlfn.XLOOKUP(F347,'TFS Details'!F:F,'TFS Details'!I:I)</f>
        <v>CreativeCoders</v>
      </c>
      <c r="AQ347" s="25" t="str">
        <f>_xlfn.XLOOKUP(AP347,'TFS Details'!I:I,'TFS Details'!AE:AE)</f>
        <v>K.devaraj</v>
      </c>
    </row>
    <row r="348" spans="1:43">
      <c r="A348" s="24" t="str">
        <f>_xlfn.XLOOKUP(F348,'TFS Details'!F:F,'TFS Details'!D:D)</f>
        <v>BPMS</v>
      </c>
      <c r="B348" s="24" t="str">
        <f>_xlfn.XLOOKUP(F348,'TFS Details'!F:F,'TFS Details'!A:A)</f>
        <v>BPMS OCP: Cost/FTE/Year report</v>
      </c>
      <c r="C348" s="64">
        <f>_xlfn.XLOOKUP(F348,'TFS Details'!F:F,'TFS Details'!E:E)</f>
        <v>4272104</v>
      </c>
      <c r="D348" s="17" t="s">
        <v>46</v>
      </c>
      <c r="E348" s="236" t="s">
        <v>831</v>
      </c>
      <c r="F348" s="114">
        <v>4271903</v>
      </c>
      <c r="G348" s="73" t="s">
        <v>832</v>
      </c>
      <c r="H348" s="73" t="s">
        <v>801</v>
      </c>
      <c r="I348" s="201"/>
      <c r="K348" s="97" t="s">
        <v>18</v>
      </c>
      <c r="L348" s="16" t="s">
        <v>833</v>
      </c>
      <c r="M348" s="97" t="s">
        <v>57</v>
      </c>
      <c r="N348" s="17"/>
      <c r="O348" s="134"/>
      <c r="Q348" s="176"/>
      <c r="R348" s="176"/>
      <c r="S348" s="176"/>
      <c r="T348" s="176"/>
      <c r="W348" s="17" t="s">
        <v>183</v>
      </c>
      <c r="X348" s="17" t="s">
        <v>183</v>
      </c>
      <c r="Y348" s="17" t="s">
        <v>246</v>
      </c>
      <c r="Z348" s="17" t="s">
        <v>183</v>
      </c>
      <c r="AA348" s="176">
        <v>32</v>
      </c>
      <c r="AB348" s="176">
        <v>22</v>
      </c>
      <c r="AC348" s="176">
        <v>8</v>
      </c>
      <c r="AD348" s="176">
        <v>30</v>
      </c>
      <c r="AE348" s="33">
        <v>0.68</v>
      </c>
      <c r="AF348" s="33">
        <v>0.7</v>
      </c>
      <c r="AG348" s="25" t="str">
        <f>_xlfn.XLOOKUP(F348,'TFS Details'!F:F,'TFS Details'!H:H)</f>
        <v>UAT In Test</v>
      </c>
      <c r="AH348" s="44">
        <v>30</v>
      </c>
      <c r="AI348" s="44">
        <v>0</v>
      </c>
      <c r="AJ348" s="44">
        <v>0</v>
      </c>
      <c r="AK348" s="44">
        <v>0</v>
      </c>
      <c r="AL348" s="40">
        <v>30</v>
      </c>
      <c r="AM348" s="41">
        <f t="shared" si="36"/>
        <v>1</v>
      </c>
      <c r="AN348" s="41">
        <f t="shared" si="35"/>
        <v>1</v>
      </c>
      <c r="AO348" s="25"/>
      <c r="AP348" s="25" t="str">
        <f>_xlfn.XLOOKUP(F348,'TFS Details'!F:F,'TFS Details'!I:I)</f>
        <v>CodingCrusaders</v>
      </c>
      <c r="AQ348" s="25" t="str">
        <f>_xlfn.XLOOKUP(AP348,'TFS Details'!I:I,'TFS Details'!AE:AE)</f>
        <v>K.devaraj</v>
      </c>
    </row>
    <row r="349" spans="1:43">
      <c r="A349" s="24" t="str">
        <f>_xlfn.XLOOKUP(F349,'TFS Details'!F:F,'TFS Details'!D:D)</f>
        <v>Pricing</v>
      </c>
      <c r="B349" s="24" t="str">
        <f>_xlfn.XLOOKUP(F349,'TFS Details'!F:F,'TFS Details'!A:A)</f>
        <v>Including Client Volume Discount for BPMS OCP</v>
      </c>
      <c r="C349" s="64">
        <f>_xlfn.XLOOKUP(F349,'TFS Details'!F:F,'TFS Details'!E:E)</f>
        <v>4378855</v>
      </c>
      <c r="D349" s="17" t="s">
        <v>46</v>
      </c>
      <c r="E349" s="236" t="s">
        <v>834</v>
      </c>
      <c r="F349" s="114">
        <v>4378856</v>
      </c>
      <c r="G349" s="17" t="s">
        <v>801</v>
      </c>
      <c r="H349" s="73" t="s">
        <v>802</v>
      </c>
      <c r="I349" s="201"/>
      <c r="K349" s="97" t="s">
        <v>18</v>
      </c>
      <c r="L349" s="16" t="s">
        <v>835</v>
      </c>
      <c r="M349" s="97" t="s">
        <v>34</v>
      </c>
      <c r="N349" s="17"/>
      <c r="O349" s="134"/>
      <c r="Q349" s="176"/>
      <c r="R349" s="176"/>
      <c r="S349" s="176"/>
      <c r="T349" s="176"/>
      <c r="W349" s="17" t="s">
        <v>183</v>
      </c>
      <c r="X349" s="17" t="s">
        <v>183</v>
      </c>
      <c r="Y349" s="17" t="s">
        <v>183</v>
      </c>
      <c r="Z349" s="17" t="s">
        <v>183</v>
      </c>
      <c r="AA349" s="176">
        <v>36</v>
      </c>
      <c r="AB349" s="176">
        <v>20</v>
      </c>
      <c r="AC349" s="176">
        <v>1</v>
      </c>
      <c r="AD349" s="176">
        <v>21</v>
      </c>
      <c r="AE349" s="33">
        <v>0.59</v>
      </c>
      <c r="AF349" s="33">
        <v>0.6</v>
      </c>
      <c r="AG349" s="25" t="str">
        <f>_xlfn.XLOOKUP(F349,'TFS Details'!F:F,'TFS Details'!H:H)</f>
        <v>Test Complete</v>
      </c>
      <c r="AH349" s="44">
        <v>21</v>
      </c>
      <c r="AI349" s="44">
        <v>0</v>
      </c>
      <c r="AJ349" s="44">
        <v>0</v>
      </c>
      <c r="AK349" s="44">
        <v>0</v>
      </c>
      <c r="AL349" s="40">
        <f t="shared" si="34"/>
        <v>21</v>
      </c>
      <c r="AM349" s="41">
        <f t="shared" si="36"/>
        <v>1</v>
      </c>
      <c r="AN349" s="41">
        <f t="shared" si="35"/>
        <v>1</v>
      </c>
      <c r="AO349" s="25" t="s">
        <v>606</v>
      </c>
      <c r="AP349" s="25" t="str">
        <f>_xlfn.XLOOKUP(F349,'TFS Details'!F:F,'TFS Details'!I:I)</f>
        <v>CreativeCoders</v>
      </c>
      <c r="AQ349" s="25" t="str">
        <f>_xlfn.XLOOKUP(AP349,'TFS Details'!I:I,'TFS Details'!AE:AE)</f>
        <v>K.devaraj</v>
      </c>
    </row>
    <row r="350" spans="1:43">
      <c r="A350" s="24" t="str">
        <f>_xlfn.XLOOKUP(F350,'TFS Details'!F:F,'TFS Details'!D:D)</f>
        <v>Pricing</v>
      </c>
      <c r="B350" s="24" t="str">
        <f>_xlfn.XLOOKUP(F350,'TFS Details'!F:F,'TFS Details'!A:A)</f>
        <v>Corrections in OCP/DCTA Resource Level Excel Export Reports</v>
      </c>
      <c r="C350" s="64">
        <f>_xlfn.XLOOKUP(F350,'TFS Details'!F:F,'TFS Details'!E:E)</f>
        <v>4352766</v>
      </c>
      <c r="D350" s="17" t="s">
        <v>46</v>
      </c>
      <c r="E350" s="236" t="s">
        <v>836</v>
      </c>
      <c r="F350" s="114">
        <v>4361171</v>
      </c>
      <c r="G350" s="17" t="s">
        <v>801</v>
      </c>
      <c r="H350" s="73" t="s">
        <v>802</v>
      </c>
      <c r="I350" s="201"/>
      <c r="K350" s="97" t="s">
        <v>18</v>
      </c>
      <c r="L350" s="16" t="s">
        <v>803</v>
      </c>
      <c r="M350" s="97" t="s">
        <v>34</v>
      </c>
      <c r="N350" s="17"/>
      <c r="O350" s="134"/>
      <c r="Q350" s="176"/>
      <c r="R350" s="176"/>
      <c r="S350" s="176"/>
      <c r="T350" s="176"/>
      <c r="W350" s="17" t="s">
        <v>183</v>
      </c>
      <c r="X350" s="17" t="s">
        <v>183</v>
      </c>
      <c r="Y350" s="17" t="s">
        <v>183</v>
      </c>
      <c r="Z350" s="17" t="s">
        <v>183</v>
      </c>
      <c r="AA350" s="176">
        <v>40</v>
      </c>
      <c r="AB350" s="176">
        <v>25</v>
      </c>
      <c r="AC350" s="176">
        <v>0</v>
      </c>
      <c r="AD350" s="176">
        <v>25</v>
      </c>
      <c r="AE350" s="33">
        <v>0.625</v>
      </c>
      <c r="AF350" s="33">
        <v>0.9</v>
      </c>
      <c r="AG350" s="25" t="str">
        <f>_xlfn.XLOOKUP(F350,'TFS Details'!F:F,'TFS Details'!H:H)</f>
        <v>UAT In Test</v>
      </c>
      <c r="AH350" s="44">
        <v>25</v>
      </c>
      <c r="AI350" s="44">
        <v>0</v>
      </c>
      <c r="AJ350" s="44">
        <v>0</v>
      </c>
      <c r="AK350" s="44">
        <v>0</v>
      </c>
      <c r="AL350" s="40">
        <f t="shared" si="34"/>
        <v>25</v>
      </c>
      <c r="AM350" s="41">
        <f t="shared" si="36"/>
        <v>1</v>
      </c>
      <c r="AN350" s="41">
        <f t="shared" si="35"/>
        <v>1</v>
      </c>
      <c r="AO350" s="25" t="s">
        <v>434</v>
      </c>
      <c r="AP350" s="25" t="str">
        <f>_xlfn.XLOOKUP(F350,'TFS Details'!F:F,'TFS Details'!I:I)</f>
        <v>CreativeCoders</v>
      </c>
      <c r="AQ350" s="25" t="str">
        <f>_xlfn.XLOOKUP(AP350,'TFS Details'!I:I,'TFS Details'!AE:AE)</f>
        <v>K.devaraj</v>
      </c>
    </row>
    <row r="351" spans="1:43">
      <c r="A351" s="24" t="str">
        <f>_xlfn.XLOOKUP(F351,'TFS Details'!F:F,'TFS Details'!D:D)</f>
        <v>IMS MMP</v>
      </c>
      <c r="B351" s="24" t="str">
        <f>_xlfn.XLOOKUP(F351,'TFS Details'!F:F,'TFS Details'!A:A)</f>
        <v>Price to Client after Negotiation Contingency calculation</v>
      </c>
      <c r="C351" s="64">
        <f>_xlfn.XLOOKUP(F351,'TFS Details'!F:F,'TFS Details'!E:E)</f>
        <v>4351343</v>
      </c>
      <c r="D351" s="17" t="s">
        <v>46</v>
      </c>
      <c r="E351" s="236" t="s">
        <v>837</v>
      </c>
      <c r="F351" s="114">
        <v>4351345</v>
      </c>
      <c r="G351" s="17" t="s">
        <v>809</v>
      </c>
      <c r="H351" s="17" t="s">
        <v>815</v>
      </c>
      <c r="K351" s="97" t="s">
        <v>18</v>
      </c>
      <c r="L351" s="16" t="s">
        <v>816</v>
      </c>
      <c r="M351" s="97" t="s">
        <v>34</v>
      </c>
      <c r="N351" s="17"/>
      <c r="O351" s="134"/>
      <c r="Q351" s="176"/>
      <c r="R351" s="176"/>
      <c r="S351" s="176"/>
      <c r="T351" s="176"/>
      <c r="W351" s="17" t="s">
        <v>183</v>
      </c>
      <c r="X351" s="17" t="s">
        <v>183</v>
      </c>
      <c r="Y351" s="17" t="s">
        <v>183</v>
      </c>
      <c r="Z351" s="17" t="s">
        <v>183</v>
      </c>
      <c r="AA351" s="176">
        <v>33</v>
      </c>
      <c r="AB351" s="176">
        <v>22</v>
      </c>
      <c r="AC351" s="176">
        <v>1</v>
      </c>
      <c r="AD351" s="176">
        <v>22</v>
      </c>
      <c r="AE351" s="33">
        <v>0.95</v>
      </c>
      <c r="AF351" s="33">
        <v>1</v>
      </c>
      <c r="AG351" s="25" t="str">
        <f>_xlfn.XLOOKUP(F351,'TFS Details'!F:F,'TFS Details'!H:H)</f>
        <v>UAT In Test</v>
      </c>
      <c r="AH351" s="44">
        <v>22</v>
      </c>
      <c r="AI351" s="44">
        <v>0</v>
      </c>
      <c r="AJ351" s="44">
        <v>0</v>
      </c>
      <c r="AK351" s="44">
        <v>0</v>
      </c>
      <c r="AL351" s="40">
        <f t="shared" si="34"/>
        <v>22</v>
      </c>
      <c r="AM351" s="41">
        <f t="shared" si="36"/>
        <v>1</v>
      </c>
      <c r="AN351" s="41">
        <f t="shared" si="35"/>
        <v>1</v>
      </c>
      <c r="AO351" s="25" t="s">
        <v>838</v>
      </c>
      <c r="AP351" s="25" t="str">
        <f>_xlfn.XLOOKUP(F351,'TFS Details'!F:F,'TFS Details'!I:I)</f>
        <v>Simulators</v>
      </c>
      <c r="AQ351" s="25" t="str">
        <f>_xlfn.XLOOKUP(AP351,'TFS Details'!I:I,'TFS Details'!AE:AE)</f>
        <v>K.devaraj</v>
      </c>
    </row>
    <row r="352" spans="1:43" s="68" customFormat="1">
      <c r="A352" s="24" t="str">
        <f>_xlfn.XLOOKUP(F352,'TFS Details'!F:F,'TFS Details'!D:D)</f>
        <v>IMS OCP</v>
      </c>
      <c r="B352" s="24" t="str">
        <f>_xlfn.XLOOKUP(F352,'TFS Details'!F:F,'TFS Details'!A:A)</f>
        <v>Price to Client after Negotiation Contingency calculation</v>
      </c>
      <c r="C352" s="64">
        <f>_xlfn.XLOOKUP(F352,'TFS Details'!F:F,'TFS Details'!E:E)</f>
        <v>4351343</v>
      </c>
      <c r="D352" s="68" t="s">
        <v>46</v>
      </c>
      <c r="E352" s="245" t="s">
        <v>839</v>
      </c>
      <c r="F352" s="114">
        <v>4344835</v>
      </c>
      <c r="G352" s="202" t="s">
        <v>832</v>
      </c>
      <c r="H352" s="68" t="s">
        <v>801</v>
      </c>
      <c r="J352" s="67"/>
      <c r="K352" s="181" t="s">
        <v>18</v>
      </c>
      <c r="L352" s="152" t="s">
        <v>803</v>
      </c>
      <c r="M352" s="97" t="s">
        <v>34</v>
      </c>
      <c r="O352" s="204"/>
      <c r="P352" s="153"/>
      <c r="Q352" s="182"/>
      <c r="R352" s="182"/>
      <c r="S352" s="182"/>
      <c r="T352" s="182"/>
      <c r="U352" s="153"/>
      <c r="V352" s="153"/>
      <c r="W352" s="68" t="s">
        <v>183</v>
      </c>
      <c r="X352" s="68" t="s">
        <v>183</v>
      </c>
      <c r="Y352" s="68" t="s">
        <v>183</v>
      </c>
      <c r="Z352" s="68" t="s">
        <v>183</v>
      </c>
      <c r="AA352" s="182">
        <v>33</v>
      </c>
      <c r="AB352" s="182">
        <v>22</v>
      </c>
      <c r="AC352" s="182">
        <v>1</v>
      </c>
      <c r="AD352" s="182">
        <v>22</v>
      </c>
      <c r="AE352" s="153">
        <v>1</v>
      </c>
      <c r="AF352" s="153">
        <v>1</v>
      </c>
      <c r="AG352" s="25" t="str">
        <f>_xlfn.XLOOKUP(F352,'TFS Details'!F:F,'TFS Details'!H:H)</f>
        <v>UAT In Test</v>
      </c>
      <c r="AH352" s="98">
        <v>22</v>
      </c>
      <c r="AI352" s="98">
        <v>0</v>
      </c>
      <c r="AJ352" s="98">
        <v>0</v>
      </c>
      <c r="AK352" s="98">
        <v>0</v>
      </c>
      <c r="AL352" s="155">
        <f t="shared" si="34"/>
        <v>22</v>
      </c>
      <c r="AM352" s="156">
        <f t="shared" si="36"/>
        <v>1</v>
      </c>
      <c r="AN352" s="156">
        <f t="shared" si="35"/>
        <v>1</v>
      </c>
      <c r="AO352" s="154"/>
      <c r="AP352" s="154" t="str">
        <f>_xlfn.XLOOKUP(F352,'TFS Details'!F:F,'TFS Details'!I:I)</f>
        <v>CodingCrusaders</v>
      </c>
      <c r="AQ352" s="154" t="str">
        <f>_xlfn.XLOOKUP(AP352,'TFS Details'!I:I,'TFS Details'!AE:AE)</f>
        <v>K.devaraj</v>
      </c>
    </row>
    <row r="353" spans="1:43">
      <c r="A353" s="24" t="str">
        <f>_xlfn.XLOOKUP(F353,'TFS Details'!F:F,'TFS Details'!D:D)</f>
        <v>DFD-myISP</v>
      </c>
      <c r="B353" s="24" t="str">
        <f>_xlfn.XLOOKUP(F353,'TFS Details'!F:F,'TFS Details'!A:A)</f>
        <v>Song Deals Compliant Logic Update</v>
      </c>
      <c r="C353" s="64">
        <f>_xlfn.XLOOKUP(F353,'TFS Details'!F:F,'TFS Details'!E:E)</f>
        <v>4317244</v>
      </c>
      <c r="D353" s="17" t="s">
        <v>46</v>
      </c>
      <c r="E353" s="183" t="s">
        <v>840</v>
      </c>
      <c r="F353" s="114">
        <v>4416088</v>
      </c>
      <c r="G353" s="183" t="s">
        <v>796</v>
      </c>
      <c r="I353" s="237"/>
      <c r="J353" s="73" t="s">
        <v>103</v>
      </c>
      <c r="K353" s="183" t="s">
        <v>1</v>
      </c>
      <c r="L353" s="16"/>
      <c r="N353" s="17" t="s">
        <v>191</v>
      </c>
      <c r="O353" s="134"/>
      <c r="P353" s="33">
        <v>1</v>
      </c>
      <c r="Q353" s="124">
        <v>1</v>
      </c>
      <c r="R353" s="124">
        <v>1</v>
      </c>
      <c r="S353" s="124">
        <v>0</v>
      </c>
      <c r="T353" s="124">
        <v>1</v>
      </c>
      <c r="U353" s="33">
        <v>0.9</v>
      </c>
      <c r="V353" s="33">
        <v>1</v>
      </c>
      <c r="W353" s="17" t="s">
        <v>183</v>
      </c>
      <c r="X353" s="17" t="s">
        <v>183</v>
      </c>
      <c r="Y353" s="17" t="s">
        <v>183</v>
      </c>
      <c r="Z353" s="17" t="s">
        <v>183</v>
      </c>
      <c r="AA353" s="124">
        <v>38</v>
      </c>
      <c r="AB353" s="124">
        <v>30</v>
      </c>
      <c r="AC353" s="124">
        <v>0</v>
      </c>
      <c r="AD353" s="124">
        <v>30</v>
      </c>
      <c r="AE353" s="33">
        <v>1</v>
      </c>
      <c r="AF353" s="33">
        <v>1</v>
      </c>
      <c r="AG353" s="25" t="str">
        <f>_xlfn.XLOOKUP(F353,'TFS Details'!F:F,'TFS Details'!H:H)</f>
        <v>UAT In Test</v>
      </c>
      <c r="AH353" s="44">
        <v>24</v>
      </c>
      <c r="AI353" s="44">
        <v>0</v>
      </c>
      <c r="AJ353" s="44">
        <v>0</v>
      </c>
      <c r="AK353" s="99">
        <v>0</v>
      </c>
      <c r="AL353" s="40">
        <f>SUM(AH353:AK353)</f>
        <v>24</v>
      </c>
      <c r="AM353" s="41">
        <f t="shared" si="36"/>
        <v>1</v>
      </c>
      <c r="AN353" s="41">
        <f>IF(AH353=0,0,AH353/(SUM(AH353:AJ353)))</f>
        <v>1</v>
      </c>
    </row>
    <row r="354" spans="1:43">
      <c r="A354" s="24" t="str">
        <f>_xlfn.XLOOKUP(F354,'TFS Details'!F:F,'TFS Details'!D:D)</f>
        <v>Value Shaping</v>
      </c>
      <c r="B354" s="24" t="str">
        <f>_xlfn.XLOOKUP(F354,'TFS Details'!F:F,'TFS Details'!A:A)</f>
        <v>Value Shaping –Enhancements</v>
      </c>
      <c r="C354" s="64">
        <f>_xlfn.XLOOKUP(F354,'TFS Details'!F:F,'TFS Details'!E:E)</f>
        <v>4330994</v>
      </c>
      <c r="D354" s="17" t="s">
        <v>46</v>
      </c>
      <c r="E354" s="183" t="s">
        <v>841</v>
      </c>
      <c r="F354" s="246">
        <v>4416161</v>
      </c>
      <c r="G354" s="183" t="s">
        <v>796</v>
      </c>
      <c r="J354" s="21" t="s">
        <v>47</v>
      </c>
      <c r="K354" s="183" t="s">
        <v>1</v>
      </c>
      <c r="L354" s="16"/>
      <c r="N354" s="17" t="s">
        <v>182</v>
      </c>
      <c r="O354" s="134"/>
      <c r="P354" s="33">
        <v>1</v>
      </c>
      <c r="Q354" s="124">
        <v>1</v>
      </c>
      <c r="R354" s="124">
        <v>1</v>
      </c>
      <c r="S354" s="124">
        <v>0</v>
      </c>
      <c r="T354" s="124">
        <v>1</v>
      </c>
      <c r="U354" s="33">
        <v>0.9</v>
      </c>
      <c r="V354" s="33">
        <v>1</v>
      </c>
      <c r="W354" s="17" t="s">
        <v>183</v>
      </c>
      <c r="X354" s="17" t="s">
        <v>183</v>
      </c>
      <c r="Y354" s="17" t="s">
        <v>183</v>
      </c>
      <c r="Z354" s="17" t="s">
        <v>183</v>
      </c>
      <c r="AA354" s="124">
        <v>39</v>
      </c>
      <c r="AB354" s="124">
        <v>30</v>
      </c>
      <c r="AC354" s="124">
        <v>0</v>
      </c>
      <c r="AD354" s="124">
        <v>30</v>
      </c>
      <c r="AE354" s="33">
        <v>1</v>
      </c>
      <c r="AF354" s="33">
        <v>1</v>
      </c>
      <c r="AG354" s="25" t="str">
        <f>_xlfn.XLOOKUP(F354,'TFS Details'!F:F,'TFS Details'!H:H)</f>
        <v>UAT In Test</v>
      </c>
      <c r="AH354" s="44">
        <v>17</v>
      </c>
      <c r="AI354" s="44">
        <v>0</v>
      </c>
      <c r="AJ354" s="44">
        <v>0</v>
      </c>
      <c r="AK354" s="99">
        <v>0</v>
      </c>
      <c r="AL354" s="40">
        <f>SUM(AH354:AK354)</f>
        <v>17</v>
      </c>
      <c r="AM354" s="41">
        <f t="shared" si="36"/>
        <v>1</v>
      </c>
      <c r="AN354" s="41">
        <f>IF(AH354=0,0,AH354/(SUM(AH354:AJ354)))</f>
        <v>1</v>
      </c>
      <c r="AO354" s="17" t="s">
        <v>842</v>
      </c>
    </row>
    <row r="355" spans="1:43" s="69" customFormat="1">
      <c r="A355" s="24" t="str">
        <f>_xlfn.XLOOKUP(F355,'TFS Details'!F:F,'TFS Details'!D:D)</f>
        <v xml:space="preserve">Advisory SA - Song </v>
      </c>
      <c r="B355" s="24" t="str">
        <f>_xlfn.XLOOKUP(F355,'TFS Details'!F:F,'TFS Details'!A:A)</f>
        <v>PLD - Advisory SA Role</v>
      </c>
      <c r="C355" s="64">
        <f>_xlfn.XLOOKUP(F355,'TFS Details'!F:F,'TFS Details'!E:E)</f>
        <v>4386527</v>
      </c>
      <c r="D355" s="83" t="s">
        <v>46</v>
      </c>
      <c r="E355" s="110" t="s">
        <v>843</v>
      </c>
      <c r="F355" s="246">
        <v>4391655</v>
      </c>
      <c r="G355" s="69" t="s">
        <v>801</v>
      </c>
      <c r="H355" s="73" t="s">
        <v>802</v>
      </c>
      <c r="I355" s="201"/>
      <c r="J355" s="166" t="s">
        <v>79</v>
      </c>
      <c r="K355" s="69" t="s">
        <v>1</v>
      </c>
      <c r="L355" s="72"/>
      <c r="M355" s="72"/>
      <c r="N355" s="97" t="s">
        <v>182</v>
      </c>
      <c r="O355" s="190"/>
      <c r="P355" s="91">
        <v>1</v>
      </c>
      <c r="Q355" s="176">
        <v>14</v>
      </c>
      <c r="R355" s="176">
        <v>14</v>
      </c>
      <c r="S355" s="176">
        <v>0</v>
      </c>
      <c r="T355" s="176">
        <v>14</v>
      </c>
      <c r="U355" s="91">
        <v>1</v>
      </c>
      <c r="V355" s="91">
        <v>1</v>
      </c>
      <c r="W355" s="69" t="s">
        <v>183</v>
      </c>
      <c r="X355" s="69" t="s">
        <v>183</v>
      </c>
      <c r="Y355" s="69" t="s">
        <v>183</v>
      </c>
      <c r="Z355" s="69" t="s">
        <v>183</v>
      </c>
      <c r="AA355" s="176">
        <v>39</v>
      </c>
      <c r="AB355" s="176">
        <v>14</v>
      </c>
      <c r="AC355" s="176">
        <v>0</v>
      </c>
      <c r="AD355" s="176">
        <v>14</v>
      </c>
      <c r="AE355" s="91">
        <v>1</v>
      </c>
      <c r="AF355" s="91">
        <v>1</v>
      </c>
      <c r="AG355" s="25" t="str">
        <f>_xlfn.XLOOKUP(F355,'TFS Details'!F:F,'TFS Details'!H:H)</f>
        <v>UAT In Test</v>
      </c>
      <c r="AH355" s="100">
        <v>14</v>
      </c>
      <c r="AI355" s="100">
        <v>0</v>
      </c>
      <c r="AJ355" s="100">
        <v>0</v>
      </c>
      <c r="AK355" s="100">
        <v>0</v>
      </c>
      <c r="AL355" s="158">
        <f t="shared" ref="AL355:AL367" si="37">SUM(AH355:AK355)</f>
        <v>14</v>
      </c>
      <c r="AM355" s="159">
        <f t="shared" si="36"/>
        <v>1</v>
      </c>
      <c r="AN355" s="159">
        <f t="shared" ref="AN355:AN384" si="38">IF(AH355=0,0,AH355/(SUM(AH355:AJ355)))</f>
        <v>1</v>
      </c>
      <c r="AO355" s="157"/>
      <c r="AP355" s="157" t="str">
        <f>_xlfn.XLOOKUP(F355,'TFS Details'!F:F,'TFS Details'!I:I)</f>
        <v>CreativeCoders</v>
      </c>
      <c r="AQ355" s="157" t="str">
        <f>_xlfn.XLOOKUP(AP355,'TFS Details'!I:I,'TFS Details'!AE:AE)</f>
        <v>K.devaraj</v>
      </c>
    </row>
    <row r="356" spans="1:43">
      <c r="A356" s="24" t="str">
        <f>_xlfn.XLOOKUP(F356,'TFS Details'!F:F,'TFS Details'!D:D)</f>
        <v>IPC Calculator</v>
      </c>
      <c r="B356" s="24" t="str">
        <f>_xlfn.XLOOKUP(F356,'TFS Details'!F:F,'TFS Details'!A:A)</f>
        <v>IPC Calculator | Updated RAG logic for IPC Delivery Toolkit and IPC Lead PMO</v>
      </c>
      <c r="C356" s="64">
        <f>_xlfn.XLOOKUP(F356,'TFS Details'!F:F,'TFS Details'!E:E)</f>
        <v>4341338</v>
      </c>
      <c r="D356" s="17" t="s">
        <v>32</v>
      </c>
      <c r="E356" s="248" t="s">
        <v>844</v>
      </c>
      <c r="F356" s="92">
        <v>4343705</v>
      </c>
      <c r="G356" s="200" t="s">
        <v>845</v>
      </c>
      <c r="H356" s="200" t="s">
        <v>846</v>
      </c>
      <c r="I356" s="200"/>
      <c r="K356" s="97" t="s">
        <v>18</v>
      </c>
      <c r="L356" s="200" t="s">
        <v>617</v>
      </c>
      <c r="M356" s="16" t="s">
        <v>43</v>
      </c>
      <c r="N356" s="17"/>
      <c r="O356" s="134"/>
      <c r="Q356" s="176"/>
      <c r="R356" s="176"/>
      <c r="S356" s="176"/>
      <c r="T356" s="176"/>
      <c r="W356" s="17" t="s">
        <v>183</v>
      </c>
      <c r="X356" s="17" t="s">
        <v>183</v>
      </c>
      <c r="Y356" s="17" t="s">
        <v>183</v>
      </c>
      <c r="Z356" s="17" t="s">
        <v>183</v>
      </c>
      <c r="AA356" s="176">
        <v>8</v>
      </c>
      <c r="AB356" s="176">
        <v>7</v>
      </c>
      <c r="AC356" s="176">
        <v>0</v>
      </c>
      <c r="AD356" s="176">
        <v>7</v>
      </c>
      <c r="AE356" s="33">
        <v>1</v>
      </c>
      <c r="AF356" s="33">
        <v>1</v>
      </c>
      <c r="AG356" s="25" t="str">
        <f>_xlfn.XLOOKUP(F356,'TFS Details'!F:F,'TFS Details'!H:H)</f>
        <v>Test Complete</v>
      </c>
      <c r="AH356" s="44">
        <v>7</v>
      </c>
      <c r="AI356" s="44">
        <v>0</v>
      </c>
      <c r="AJ356" s="44">
        <v>0</v>
      </c>
      <c r="AK356" s="44">
        <v>0</v>
      </c>
      <c r="AL356" s="40">
        <f t="shared" si="37"/>
        <v>7</v>
      </c>
      <c r="AM356" s="41">
        <f t="shared" si="36"/>
        <v>1</v>
      </c>
      <c r="AN356" s="41">
        <f t="shared" si="38"/>
        <v>1</v>
      </c>
      <c r="AO356" s="25"/>
      <c r="AP356" s="25" t="str">
        <f>_xlfn.XLOOKUP(F356,'TFS Details'!F:F,'TFS Details'!I:I)</f>
        <v>Cognilytics</v>
      </c>
      <c r="AQ356" s="25" t="str">
        <f>_xlfn.XLOOKUP(AP356,'TFS Details'!I:I,'TFS Details'!AE:AE)</f>
        <v>anil.kadiri</v>
      </c>
    </row>
    <row r="357" spans="1:43">
      <c r="A357" s="24" t="str">
        <f>_xlfn.XLOOKUP(F357,'TFS Details'!F:F,'TFS Details'!D:D)</f>
        <v>Analytics</v>
      </c>
      <c r="B357" s="24" t="str">
        <f>_xlfn.XLOOKUP(F357,'TFS Details'!F:F,'TFS Details'!A:A)</f>
        <v>March Release Analytics Enhancements</v>
      </c>
      <c r="C357" s="64">
        <f>_xlfn.XLOOKUP(F357,'TFS Details'!F:F,'TFS Details'!E:E)</f>
        <v>4365879</v>
      </c>
      <c r="D357" s="17" t="s">
        <v>32</v>
      </c>
      <c r="E357" s="15" t="s">
        <v>847</v>
      </c>
      <c r="F357" s="92">
        <v>4358784</v>
      </c>
      <c r="G357" s="200" t="s">
        <v>848</v>
      </c>
      <c r="H357" s="200" t="s">
        <v>846</v>
      </c>
      <c r="I357" s="200"/>
      <c r="K357" s="97" t="s">
        <v>18</v>
      </c>
      <c r="L357" s="200" t="s">
        <v>617</v>
      </c>
      <c r="M357" s="16" t="s">
        <v>43</v>
      </c>
      <c r="N357" s="17"/>
      <c r="O357" s="134"/>
      <c r="Q357" s="176"/>
      <c r="R357" s="176"/>
      <c r="S357" s="176"/>
      <c r="T357" s="176"/>
      <c r="W357" s="17" t="s">
        <v>183</v>
      </c>
      <c r="X357" s="17" t="s">
        <v>183</v>
      </c>
      <c r="Y357" s="17" t="s">
        <v>183</v>
      </c>
      <c r="Z357" s="17" t="s">
        <v>183</v>
      </c>
      <c r="AA357" s="176">
        <v>59</v>
      </c>
      <c r="AB357" s="176">
        <v>25</v>
      </c>
      <c r="AC357" s="176">
        <v>0</v>
      </c>
      <c r="AD357" s="176">
        <v>25</v>
      </c>
      <c r="AE357" s="33">
        <v>1</v>
      </c>
      <c r="AF357" s="33">
        <v>1</v>
      </c>
      <c r="AG357" s="25" t="str">
        <f>_xlfn.XLOOKUP(F357,'TFS Details'!F:F,'TFS Details'!H:H)</f>
        <v>UAT In Test</v>
      </c>
      <c r="AH357" s="44">
        <v>25</v>
      </c>
      <c r="AI357" s="44">
        <v>0</v>
      </c>
      <c r="AJ357" s="44">
        <v>0</v>
      </c>
      <c r="AK357" s="44">
        <v>0</v>
      </c>
      <c r="AL357" s="40">
        <f t="shared" si="37"/>
        <v>25</v>
      </c>
      <c r="AM357" s="41">
        <f t="shared" si="36"/>
        <v>1</v>
      </c>
      <c r="AN357" s="41">
        <f t="shared" si="38"/>
        <v>1</v>
      </c>
      <c r="AO357" s="25"/>
      <c r="AP357" s="25" t="str">
        <f>_xlfn.XLOOKUP(F357,'TFS Details'!F:F,'TFS Details'!I:I)</f>
        <v>Cognilytics</v>
      </c>
      <c r="AQ357" s="25" t="str">
        <f>_xlfn.XLOOKUP(AP357,'TFS Details'!I:I,'TFS Details'!AE:AE)</f>
        <v>anil.kadiri</v>
      </c>
    </row>
    <row r="358" spans="1:43">
      <c r="A358" s="24" t="str">
        <f>_xlfn.XLOOKUP(F358,'TFS Details'!F:F,'TFS Details'!D:D)</f>
        <v>Analytics</v>
      </c>
      <c r="B358" s="24" t="str">
        <f>_xlfn.XLOOKUP(F358,'TFS Details'!F:F,'TFS Details'!A:A)</f>
        <v>March Release Analytics Enhancements</v>
      </c>
      <c r="C358" s="64">
        <f>_xlfn.XLOOKUP(F358,'TFS Details'!F:F,'TFS Details'!E:E)</f>
        <v>4365879</v>
      </c>
      <c r="D358" s="17" t="s">
        <v>32</v>
      </c>
      <c r="E358" s="15" t="s">
        <v>849</v>
      </c>
      <c r="F358" s="92">
        <v>4366137</v>
      </c>
      <c r="G358" s="200" t="s">
        <v>850</v>
      </c>
      <c r="H358" s="200" t="s">
        <v>845</v>
      </c>
      <c r="I358" s="200"/>
      <c r="K358" s="97" t="s">
        <v>18</v>
      </c>
      <c r="L358" s="200" t="s">
        <v>617</v>
      </c>
      <c r="M358" s="16" t="s">
        <v>43</v>
      </c>
      <c r="N358" s="17"/>
      <c r="O358" s="134"/>
      <c r="Q358" s="176"/>
      <c r="R358" s="176"/>
      <c r="S358" s="176"/>
      <c r="T358" s="176"/>
      <c r="W358" s="17" t="s">
        <v>183</v>
      </c>
      <c r="X358" s="17" t="s">
        <v>183</v>
      </c>
      <c r="Y358" s="17" t="s">
        <v>183</v>
      </c>
      <c r="Z358" s="17" t="s">
        <v>183</v>
      </c>
      <c r="AA358" s="176">
        <v>47</v>
      </c>
      <c r="AB358" s="176">
        <v>10</v>
      </c>
      <c r="AC358" s="176">
        <v>0</v>
      </c>
      <c r="AD358" s="176">
        <v>10</v>
      </c>
      <c r="AE358" s="33">
        <v>1</v>
      </c>
      <c r="AF358" s="33">
        <v>1</v>
      </c>
      <c r="AG358" s="25" t="str">
        <f>_xlfn.XLOOKUP(F358,'TFS Details'!F:F,'TFS Details'!H:H)</f>
        <v>Test Complete</v>
      </c>
      <c r="AH358" s="44">
        <v>10</v>
      </c>
      <c r="AI358" s="44">
        <v>0</v>
      </c>
      <c r="AJ358" s="44">
        <v>0</v>
      </c>
      <c r="AK358" s="44">
        <v>0</v>
      </c>
      <c r="AL358" s="40">
        <f t="shared" si="37"/>
        <v>10</v>
      </c>
      <c r="AM358" s="41">
        <f t="shared" si="36"/>
        <v>1</v>
      </c>
      <c r="AN358" s="41">
        <f t="shared" si="38"/>
        <v>1</v>
      </c>
      <c r="AO358" s="25"/>
      <c r="AP358" s="25" t="str">
        <f>_xlfn.XLOOKUP(F358,'TFS Details'!F:F,'TFS Details'!I:I)</f>
        <v>Cognilytics</v>
      </c>
      <c r="AQ358" s="25" t="str">
        <f>_xlfn.XLOOKUP(AP358,'TFS Details'!I:I,'TFS Details'!AE:AE)</f>
        <v>anil.kadiri</v>
      </c>
    </row>
    <row r="359" spans="1:43">
      <c r="A359" s="24" t="str">
        <f>_xlfn.XLOOKUP(F359,'TFS Details'!F:F,'TFS Details'!D:D)</f>
        <v>BPMS Onboarding</v>
      </c>
      <c r="B359" s="24" t="str">
        <f>_xlfn.XLOOKUP(F359,'TFS Details'!F:F,'TFS Details'!A:A)</f>
        <v>Generative AI productivity calculation by Year on Year productivity % in separate columns</v>
      </c>
      <c r="C359" s="64">
        <f>_xlfn.XLOOKUP(F359,'TFS Details'!F:F,'TFS Details'!E:E)</f>
        <v>4385941</v>
      </c>
      <c r="D359" s="17" t="s">
        <v>32</v>
      </c>
      <c r="E359" s="15" t="s">
        <v>851</v>
      </c>
      <c r="F359" s="92">
        <v>4367327</v>
      </c>
      <c r="G359" s="200" t="s">
        <v>850</v>
      </c>
      <c r="H359" s="200" t="s">
        <v>845</v>
      </c>
      <c r="I359" s="200"/>
      <c r="K359" s="97" t="s">
        <v>18</v>
      </c>
      <c r="L359" s="200" t="s">
        <v>617</v>
      </c>
      <c r="M359" s="16" t="s">
        <v>43</v>
      </c>
      <c r="N359" s="17"/>
      <c r="O359" s="134"/>
      <c r="Q359" s="176"/>
      <c r="R359" s="176"/>
      <c r="S359" s="176"/>
      <c r="T359" s="176"/>
      <c r="W359" s="17" t="s">
        <v>183</v>
      </c>
      <c r="X359" s="17" t="s">
        <v>183</v>
      </c>
      <c r="Y359" s="17" t="s">
        <v>183</v>
      </c>
      <c r="Z359" s="17" t="s">
        <v>183</v>
      </c>
      <c r="AA359" s="176">
        <v>56</v>
      </c>
      <c r="AB359" s="176">
        <v>11</v>
      </c>
      <c r="AC359" s="176">
        <v>1</v>
      </c>
      <c r="AD359" s="176">
        <v>12</v>
      </c>
      <c r="AE359" s="33">
        <v>0.95</v>
      </c>
      <c r="AF359" s="33">
        <v>0.95</v>
      </c>
      <c r="AG359" s="25" t="str">
        <f>_xlfn.XLOOKUP(F359,'TFS Details'!F:F,'TFS Details'!H:H)</f>
        <v>Test Complete</v>
      </c>
      <c r="AH359" s="44">
        <v>12</v>
      </c>
      <c r="AI359" s="44">
        <v>0</v>
      </c>
      <c r="AJ359" s="44">
        <v>0</v>
      </c>
      <c r="AK359" s="44">
        <v>0</v>
      </c>
      <c r="AL359" s="40">
        <f t="shared" si="37"/>
        <v>12</v>
      </c>
      <c r="AM359" s="41">
        <f t="shared" si="36"/>
        <v>1</v>
      </c>
      <c r="AN359" s="41">
        <f t="shared" si="38"/>
        <v>1</v>
      </c>
      <c r="AO359" s="25"/>
      <c r="AP359" s="25" t="str">
        <f>_xlfn.XLOOKUP(F359,'TFS Details'!F:F,'TFS Details'!I:I)</f>
        <v>Cognilytics</v>
      </c>
      <c r="AQ359" s="25" t="str">
        <f>_xlfn.XLOOKUP(AP359,'TFS Details'!I:I,'TFS Details'!AE:AE)</f>
        <v>anil.kadiri</v>
      </c>
    </row>
    <row r="360" spans="1:43">
      <c r="A360" s="24" t="str">
        <f>_xlfn.XLOOKUP(F360,'TFS Details'!F:F,'TFS Details'!D:D)</f>
        <v>BPMS Onboarding</v>
      </c>
      <c r="B360" s="24" t="str">
        <f>_xlfn.XLOOKUP(F360,'TFS Details'!F:F,'TFS Details'!A:A)</f>
        <v>Client name should be mapped to MasterCustomerNM in Mob architect , CXTA email &amp; Reporting Layer</v>
      </c>
      <c r="C360" s="64">
        <f>_xlfn.XLOOKUP(F360,'TFS Details'!F:F,'TFS Details'!E:E)</f>
        <v>4371914</v>
      </c>
      <c r="D360" s="17" t="s">
        <v>32</v>
      </c>
      <c r="E360" s="15" t="s">
        <v>852</v>
      </c>
      <c r="F360" s="92">
        <v>4371950</v>
      </c>
      <c r="G360" s="200" t="s">
        <v>845</v>
      </c>
      <c r="H360" s="200" t="s">
        <v>846</v>
      </c>
      <c r="I360" s="200"/>
      <c r="K360" s="97" t="s">
        <v>18</v>
      </c>
      <c r="L360" s="200" t="s">
        <v>617</v>
      </c>
      <c r="M360" s="16" t="s">
        <v>43</v>
      </c>
      <c r="N360" s="17"/>
      <c r="O360" s="134"/>
      <c r="Q360" s="176"/>
      <c r="R360" s="176"/>
      <c r="S360" s="176"/>
      <c r="T360" s="176"/>
      <c r="W360" s="17" t="s">
        <v>183</v>
      </c>
      <c r="X360" s="17" t="s">
        <v>183</v>
      </c>
      <c r="Y360" s="17" t="s">
        <v>183</v>
      </c>
      <c r="Z360" s="17" t="s">
        <v>183</v>
      </c>
      <c r="AA360" s="176">
        <v>7</v>
      </c>
      <c r="AB360" s="176">
        <v>4</v>
      </c>
      <c r="AC360" s="176">
        <v>0</v>
      </c>
      <c r="AD360" s="176">
        <v>4</v>
      </c>
      <c r="AE360" s="33">
        <v>1</v>
      </c>
      <c r="AF360" s="33">
        <v>1</v>
      </c>
      <c r="AG360" s="25" t="str">
        <f>_xlfn.XLOOKUP(F360,'TFS Details'!F:F,'TFS Details'!H:H)</f>
        <v>Test Complete</v>
      </c>
      <c r="AH360" s="44">
        <v>4</v>
      </c>
      <c r="AI360" s="44">
        <v>0</v>
      </c>
      <c r="AJ360" s="44">
        <v>0</v>
      </c>
      <c r="AK360" s="44">
        <v>0</v>
      </c>
      <c r="AL360" s="40">
        <f t="shared" si="37"/>
        <v>4</v>
      </c>
      <c r="AM360" s="41">
        <f t="shared" si="36"/>
        <v>1</v>
      </c>
      <c r="AN360" s="41">
        <f t="shared" si="38"/>
        <v>1</v>
      </c>
      <c r="AO360" s="25"/>
      <c r="AP360" s="25" t="str">
        <f>_xlfn.XLOOKUP(F360,'TFS Details'!F:F,'TFS Details'!I:I)</f>
        <v>Cognilytics</v>
      </c>
      <c r="AQ360" s="25" t="str">
        <f>_xlfn.XLOOKUP(AP360,'TFS Details'!I:I,'TFS Details'!AE:AE)</f>
        <v>anil.kadiri</v>
      </c>
    </row>
    <row r="361" spans="1:43">
      <c r="A361" s="24" t="str">
        <f>_xlfn.XLOOKUP(F361,'TFS Details'!F:F,'TFS Details'!D:D)</f>
        <v>BPMS Onboarding</v>
      </c>
      <c r="B361" s="24" t="str">
        <f>_xlfn.XLOOKUP(F361,'TFS Details'!F:F,'TFS Details'!A:A)</f>
        <v>Benchmark Report - Add a column for Lead SA - Operations</v>
      </c>
      <c r="C361" s="64">
        <f>_xlfn.XLOOKUP(F361,'TFS Details'!F:F,'TFS Details'!E:E)</f>
        <v>4371834</v>
      </c>
      <c r="D361" s="17" t="s">
        <v>32</v>
      </c>
      <c r="E361" s="15" t="s">
        <v>853</v>
      </c>
      <c r="F361" s="92">
        <v>4371951</v>
      </c>
      <c r="G361" s="200" t="s">
        <v>848</v>
      </c>
      <c r="H361" s="200" t="s">
        <v>845</v>
      </c>
      <c r="I361" s="200"/>
      <c r="K361" s="97" t="s">
        <v>18</v>
      </c>
      <c r="L361" s="200" t="s">
        <v>617</v>
      </c>
      <c r="M361" s="16" t="s">
        <v>43</v>
      </c>
      <c r="N361" s="17"/>
      <c r="O361" s="134"/>
      <c r="Q361" s="176"/>
      <c r="R361" s="176"/>
      <c r="S361" s="176"/>
      <c r="T361" s="176"/>
      <c r="W361" s="17" t="s">
        <v>183</v>
      </c>
      <c r="X361" s="17" t="s">
        <v>183</v>
      </c>
      <c r="Y361" s="17" t="s">
        <v>183</v>
      </c>
      <c r="Z361" s="17" t="s">
        <v>183</v>
      </c>
      <c r="AA361" s="176">
        <v>10</v>
      </c>
      <c r="AB361" s="176">
        <v>8</v>
      </c>
      <c r="AC361" s="176">
        <v>0</v>
      </c>
      <c r="AD361" s="176">
        <v>8</v>
      </c>
      <c r="AE361" s="33">
        <v>1</v>
      </c>
      <c r="AF361" s="33">
        <v>1</v>
      </c>
      <c r="AG361" s="25" t="str">
        <f>_xlfn.XLOOKUP(F361,'TFS Details'!F:F,'TFS Details'!H:H)</f>
        <v>Test Complete</v>
      </c>
      <c r="AH361" s="44">
        <v>8</v>
      </c>
      <c r="AI361" s="44">
        <v>0</v>
      </c>
      <c r="AJ361" s="44">
        <v>0</v>
      </c>
      <c r="AK361" s="44">
        <v>0</v>
      </c>
      <c r="AL361" s="40">
        <f t="shared" si="37"/>
        <v>8</v>
      </c>
      <c r="AM361" s="41">
        <f t="shared" si="36"/>
        <v>1</v>
      </c>
      <c r="AN361" s="41">
        <f t="shared" si="38"/>
        <v>1</v>
      </c>
      <c r="AO361" s="25"/>
      <c r="AP361" s="25" t="str">
        <f>_xlfn.XLOOKUP(F361,'TFS Details'!F:F,'TFS Details'!I:I)</f>
        <v>Cognilytics</v>
      </c>
      <c r="AQ361" s="25" t="str">
        <f>_xlfn.XLOOKUP(AP361,'TFS Details'!I:I,'TFS Details'!AE:AE)</f>
        <v>anil.kadiri</v>
      </c>
    </row>
    <row r="362" spans="1:43">
      <c r="A362" s="24" t="str">
        <f>_xlfn.XLOOKUP(F362,'TFS Details'!F:F,'TFS Details'!D:D)</f>
        <v>BPMS Onboarding</v>
      </c>
      <c r="B362" s="24" t="str">
        <f>_xlfn.XLOOKUP(F362,'TFS Details'!F:F,'TFS Details'!A:A)</f>
        <v>Reporting Layer: CXTA Fields to be added</v>
      </c>
      <c r="C362" s="64">
        <f>_xlfn.XLOOKUP(F362,'TFS Details'!F:F,'TFS Details'!E:E)</f>
        <v>4371836</v>
      </c>
      <c r="D362" s="17" t="s">
        <v>32</v>
      </c>
      <c r="E362" s="15" t="s">
        <v>854</v>
      </c>
      <c r="F362" s="92">
        <v>4371954</v>
      </c>
      <c r="G362" s="200" t="s">
        <v>848</v>
      </c>
      <c r="H362" s="200" t="s">
        <v>850</v>
      </c>
      <c r="I362" s="200"/>
      <c r="K362" s="97" t="s">
        <v>18</v>
      </c>
      <c r="L362" s="200" t="s">
        <v>617</v>
      </c>
      <c r="M362" s="16" t="s">
        <v>43</v>
      </c>
      <c r="N362" s="17"/>
      <c r="O362" s="134"/>
      <c r="Q362" s="176"/>
      <c r="R362" s="176"/>
      <c r="S362" s="176"/>
      <c r="T362" s="176"/>
      <c r="W362" s="17" t="s">
        <v>183</v>
      </c>
      <c r="X362" s="17" t="s">
        <v>183</v>
      </c>
      <c r="Y362" s="17" t="s">
        <v>183</v>
      </c>
      <c r="Z362" s="17" t="s">
        <v>183</v>
      </c>
      <c r="AA362" s="176">
        <v>10</v>
      </c>
      <c r="AB362" s="176">
        <v>10</v>
      </c>
      <c r="AC362" s="176">
        <v>0</v>
      </c>
      <c r="AD362" s="176">
        <v>10</v>
      </c>
      <c r="AE362" s="33">
        <v>1</v>
      </c>
      <c r="AF362" s="33">
        <v>1</v>
      </c>
      <c r="AG362" s="25" t="str">
        <f>_xlfn.XLOOKUP(F362,'TFS Details'!F:F,'TFS Details'!H:H)</f>
        <v>Test Complete</v>
      </c>
      <c r="AH362" s="44">
        <v>10</v>
      </c>
      <c r="AI362" s="44">
        <v>0</v>
      </c>
      <c r="AJ362" s="44">
        <v>0</v>
      </c>
      <c r="AK362" s="44">
        <v>0</v>
      </c>
      <c r="AL362" s="40">
        <f t="shared" si="37"/>
        <v>10</v>
      </c>
      <c r="AM362" s="41">
        <f t="shared" si="36"/>
        <v>1</v>
      </c>
      <c r="AN362" s="41">
        <f t="shared" si="38"/>
        <v>1</v>
      </c>
      <c r="AO362" s="25"/>
      <c r="AP362" s="25" t="str">
        <f>_xlfn.XLOOKUP(F362,'TFS Details'!F:F,'TFS Details'!I:I)</f>
        <v>Cognilytics</v>
      </c>
      <c r="AQ362" s="25" t="str">
        <f>_xlfn.XLOOKUP(AP362,'TFS Details'!I:I,'TFS Details'!AE:AE)</f>
        <v>anil.kadiri</v>
      </c>
    </row>
    <row r="363" spans="1:43">
      <c r="A363" s="24" t="str">
        <f>_xlfn.XLOOKUP(F363,'TFS Details'!F:F,'TFS Details'!D:D)</f>
        <v>BPMS Onboarding</v>
      </c>
      <c r="B363" s="24" t="str">
        <f>_xlfn.XLOOKUP(F363,'TFS Details'!F:F,'TFS Details'!A:A)</f>
        <v>Client name should be mapped to MasterCustomerNM in Mob architect , CXTA email &amp; Reporting Layer</v>
      </c>
      <c r="C363" s="64">
        <f>_xlfn.XLOOKUP(F363,'TFS Details'!F:F,'TFS Details'!E:E)</f>
        <v>4371914</v>
      </c>
      <c r="D363" s="17" t="s">
        <v>32</v>
      </c>
      <c r="E363" s="15" t="s">
        <v>855</v>
      </c>
      <c r="F363" s="92">
        <v>4371955</v>
      </c>
      <c r="G363" s="200" t="s">
        <v>845</v>
      </c>
      <c r="H363" s="200" t="s">
        <v>848</v>
      </c>
      <c r="I363" s="200"/>
      <c r="K363" s="97" t="s">
        <v>18</v>
      </c>
      <c r="L363" s="200" t="s">
        <v>617</v>
      </c>
      <c r="M363" s="16" t="s">
        <v>43</v>
      </c>
      <c r="N363" s="17"/>
      <c r="O363" s="134"/>
      <c r="Q363" s="176"/>
      <c r="R363" s="176"/>
      <c r="S363" s="176"/>
      <c r="T363" s="176"/>
      <c r="W363" s="17" t="s">
        <v>183</v>
      </c>
      <c r="X363" s="17" t="s">
        <v>183</v>
      </c>
      <c r="Y363" s="17" t="s">
        <v>183</v>
      </c>
      <c r="Z363" s="17" t="s">
        <v>183</v>
      </c>
      <c r="AA363" s="176">
        <v>7</v>
      </c>
      <c r="AB363" s="176">
        <v>7</v>
      </c>
      <c r="AC363" s="176">
        <v>0</v>
      </c>
      <c r="AD363" s="176">
        <v>7</v>
      </c>
      <c r="AE363" s="33">
        <v>1</v>
      </c>
      <c r="AF363" s="33">
        <v>1</v>
      </c>
      <c r="AG363" s="25" t="str">
        <f>_xlfn.XLOOKUP(F363,'TFS Details'!F:F,'TFS Details'!H:H)</f>
        <v>Test Complete</v>
      </c>
      <c r="AH363" s="44">
        <v>7</v>
      </c>
      <c r="AI363" s="44">
        <v>0</v>
      </c>
      <c r="AJ363" s="44">
        <v>0</v>
      </c>
      <c r="AK363" s="44">
        <v>0</v>
      </c>
      <c r="AL363" s="40">
        <f t="shared" si="37"/>
        <v>7</v>
      </c>
      <c r="AM363" s="41">
        <f t="shared" si="36"/>
        <v>1</v>
      </c>
      <c r="AN363" s="41">
        <f t="shared" si="38"/>
        <v>1</v>
      </c>
      <c r="AO363" s="201"/>
      <c r="AP363" s="25" t="str">
        <f>_xlfn.XLOOKUP(F363,'TFS Details'!F:F,'TFS Details'!I:I)</f>
        <v>Cognilytics</v>
      </c>
      <c r="AQ363" s="25" t="str">
        <f>_xlfn.XLOOKUP(AP363,'TFS Details'!I:I,'TFS Details'!AE:AE)</f>
        <v>anil.kadiri</v>
      </c>
    </row>
    <row r="364" spans="1:43">
      <c r="A364" s="24" t="str">
        <f>_xlfn.XLOOKUP(F364,'TFS Details'!F:F,'TFS Details'!D:D)</f>
        <v>Analytics</v>
      </c>
      <c r="B364" s="24" t="str">
        <f>_xlfn.XLOOKUP(F364,'TFS Details'!F:F,'TFS Details'!A:A)</f>
        <v>Advisory SA Role Sync in DFD, PLD, Define Team</v>
      </c>
      <c r="C364" s="64">
        <f>_xlfn.XLOOKUP(F364,'TFS Details'!F:F,'TFS Details'!E:E)</f>
        <v>4366466</v>
      </c>
      <c r="D364" s="17" t="s">
        <v>32</v>
      </c>
      <c r="E364" s="15" t="s">
        <v>856</v>
      </c>
      <c r="F364" s="92">
        <v>4369456</v>
      </c>
      <c r="G364" s="200" t="s">
        <v>845</v>
      </c>
      <c r="H364" s="200" t="s">
        <v>846</v>
      </c>
      <c r="I364" s="200"/>
      <c r="K364" s="97" t="s">
        <v>18</v>
      </c>
      <c r="L364" s="200" t="s">
        <v>617</v>
      </c>
      <c r="M364" s="16" t="s">
        <v>43</v>
      </c>
      <c r="N364" s="17"/>
      <c r="O364" s="134"/>
      <c r="Q364" s="176"/>
      <c r="R364" s="176"/>
      <c r="S364" s="176"/>
      <c r="T364" s="176"/>
      <c r="W364" s="17" t="s">
        <v>183</v>
      </c>
      <c r="X364" s="17" t="s">
        <v>183</v>
      </c>
      <c r="Y364" s="17" t="s">
        <v>183</v>
      </c>
      <c r="Z364" s="17" t="s">
        <v>183</v>
      </c>
      <c r="AA364" s="176">
        <v>7</v>
      </c>
      <c r="AB364" s="176">
        <v>7</v>
      </c>
      <c r="AC364" s="176">
        <v>0</v>
      </c>
      <c r="AD364" s="176">
        <v>7</v>
      </c>
      <c r="AE364" s="33">
        <v>1</v>
      </c>
      <c r="AF364" s="33">
        <v>1</v>
      </c>
      <c r="AG364" s="25" t="str">
        <f>_xlfn.XLOOKUP(F364,'TFS Details'!F:F,'TFS Details'!H:H)</f>
        <v>UAT In Test</v>
      </c>
      <c r="AH364" s="44">
        <v>7</v>
      </c>
      <c r="AI364" s="44">
        <v>0</v>
      </c>
      <c r="AJ364" s="44">
        <v>0</v>
      </c>
      <c r="AK364" s="44">
        <v>0</v>
      </c>
      <c r="AL364" s="40">
        <f t="shared" si="37"/>
        <v>7</v>
      </c>
      <c r="AM364" s="41">
        <f t="shared" si="36"/>
        <v>1</v>
      </c>
      <c r="AN364" s="41">
        <f t="shared" si="38"/>
        <v>1</v>
      </c>
      <c r="AO364" s="25"/>
      <c r="AP364" s="25" t="str">
        <f>_xlfn.XLOOKUP(F364,'TFS Details'!F:F,'TFS Details'!I:I)</f>
        <v>Cognilytics</v>
      </c>
      <c r="AQ364" s="25" t="str">
        <f>_xlfn.XLOOKUP(AP364,'TFS Details'!I:I,'TFS Details'!AE:AE)</f>
        <v>anil.kadiri</v>
      </c>
    </row>
    <row r="365" spans="1:43">
      <c r="A365" s="24" t="str">
        <f>_xlfn.XLOOKUP(F365,'TFS Details'!F:F,'TFS Details'!D:D)</f>
        <v>ESA to Market Maker ESA</v>
      </c>
      <c r="B365" s="24" t="str">
        <f>_xlfn.XLOOKUP(F365,'TFS Details'!F:F,'TFS Details'!A:A)</f>
        <v>March Release Analytics Enhancements</v>
      </c>
      <c r="C365" s="64">
        <f>_xlfn.XLOOKUP(F365,'TFS Details'!F:F,'TFS Details'!E:E)</f>
        <v>4365879</v>
      </c>
      <c r="D365" s="17" t="s">
        <v>32</v>
      </c>
      <c r="E365" s="15" t="s">
        <v>857</v>
      </c>
      <c r="F365" s="92">
        <v>4369602</v>
      </c>
      <c r="G365" s="200" t="s">
        <v>848</v>
      </c>
      <c r="H365" s="200" t="s">
        <v>846</v>
      </c>
      <c r="I365" s="200"/>
      <c r="K365" s="97" t="s">
        <v>18</v>
      </c>
      <c r="L365" s="200" t="s">
        <v>617</v>
      </c>
      <c r="M365" s="16" t="s">
        <v>43</v>
      </c>
      <c r="N365" s="17"/>
      <c r="O365" s="134"/>
      <c r="Q365" s="176"/>
      <c r="R365" s="176"/>
      <c r="S365" s="176"/>
      <c r="T365" s="176"/>
      <c r="W365" s="17" t="s">
        <v>183</v>
      </c>
      <c r="X365" s="17" t="s">
        <v>183</v>
      </c>
      <c r="Y365" s="17" t="s">
        <v>183</v>
      </c>
      <c r="Z365" s="17" t="s">
        <v>183</v>
      </c>
      <c r="AA365" s="176">
        <v>70</v>
      </c>
      <c r="AB365" s="176">
        <v>8</v>
      </c>
      <c r="AC365" s="176">
        <v>0</v>
      </c>
      <c r="AD365" s="176">
        <v>8</v>
      </c>
      <c r="AE365" s="33">
        <v>0.95</v>
      </c>
      <c r="AF365" s="33">
        <v>0.95</v>
      </c>
      <c r="AG365" s="25" t="str">
        <f>_xlfn.XLOOKUP(F365,'TFS Details'!F:F,'TFS Details'!H:H)</f>
        <v>Test Complete</v>
      </c>
      <c r="AH365" s="44">
        <v>8</v>
      </c>
      <c r="AI365" s="44">
        <v>0</v>
      </c>
      <c r="AJ365" s="44">
        <v>0</v>
      </c>
      <c r="AK365" s="44">
        <v>0</v>
      </c>
      <c r="AL365" s="40">
        <f t="shared" si="37"/>
        <v>8</v>
      </c>
      <c r="AM365" s="41">
        <f t="shared" si="36"/>
        <v>1</v>
      </c>
      <c r="AN365" s="41">
        <f t="shared" si="38"/>
        <v>1</v>
      </c>
      <c r="AO365" s="25"/>
      <c r="AP365" s="25" t="str">
        <f>_xlfn.XLOOKUP(F365,'TFS Details'!F:F,'TFS Details'!I:I)</f>
        <v>Cognilytics</v>
      </c>
      <c r="AQ365" s="25" t="str">
        <f>_xlfn.XLOOKUP(AP365,'TFS Details'!I:I,'TFS Details'!AE:AE)</f>
        <v>anil.kadiri</v>
      </c>
    </row>
    <row r="366" spans="1:43">
      <c r="A366" s="24" t="str">
        <f>_xlfn.XLOOKUP(F366,'TFS Details'!F:F,'TFS Details'!D:D)</f>
        <v>DATA Refresh</v>
      </c>
      <c r="B366" s="24" t="str">
        <f>_xlfn.XLOOKUP(F366,'TFS Details'!F:F,'TFS Details'!A:A)</f>
        <v>Omdia Mapping data FY2025 - for the platform</v>
      </c>
      <c r="C366" s="64">
        <f>_xlfn.XLOOKUP(F366,'TFS Details'!F:F,'TFS Details'!E:E)</f>
        <v>4359602</v>
      </c>
      <c r="D366" s="17" t="s">
        <v>32</v>
      </c>
      <c r="E366" s="15" t="s">
        <v>858</v>
      </c>
      <c r="F366" s="92">
        <v>4360851</v>
      </c>
      <c r="G366" s="200" t="s">
        <v>845</v>
      </c>
      <c r="H366" s="200" t="s">
        <v>848</v>
      </c>
      <c r="I366" s="200"/>
      <c r="K366" s="97" t="s">
        <v>18</v>
      </c>
      <c r="L366" s="200" t="s">
        <v>617</v>
      </c>
      <c r="M366" s="16" t="s">
        <v>43</v>
      </c>
      <c r="N366" s="17"/>
      <c r="O366" s="134"/>
      <c r="Q366" s="176"/>
      <c r="R366" s="176"/>
      <c r="S366" s="176"/>
      <c r="T366" s="176"/>
      <c r="W366" s="17" t="s">
        <v>183</v>
      </c>
      <c r="X366" s="17" t="s">
        <v>183</v>
      </c>
      <c r="Y366" s="17" t="s">
        <v>183</v>
      </c>
      <c r="Z366" s="17" t="s">
        <v>183</v>
      </c>
      <c r="AA366" s="176">
        <v>7</v>
      </c>
      <c r="AB366" s="176">
        <v>7</v>
      </c>
      <c r="AC366" s="176">
        <v>0</v>
      </c>
      <c r="AD366" s="176">
        <v>7</v>
      </c>
      <c r="AE366" s="33">
        <v>1</v>
      </c>
      <c r="AF366" s="33">
        <v>1</v>
      </c>
      <c r="AG366" s="25" t="str">
        <f>_xlfn.XLOOKUP(F366,'TFS Details'!F:F,'TFS Details'!H:H)</f>
        <v>Test Complete</v>
      </c>
      <c r="AH366" s="44">
        <v>7</v>
      </c>
      <c r="AI366" s="44">
        <v>0</v>
      </c>
      <c r="AJ366" s="44">
        <v>0</v>
      </c>
      <c r="AK366" s="44">
        <v>0</v>
      </c>
      <c r="AL366" s="40">
        <f t="shared" si="37"/>
        <v>7</v>
      </c>
      <c r="AM366" s="41">
        <f t="shared" si="36"/>
        <v>1</v>
      </c>
      <c r="AN366" s="41">
        <f t="shared" si="38"/>
        <v>1</v>
      </c>
      <c r="AO366" s="25"/>
      <c r="AP366" s="25" t="str">
        <f>_xlfn.XLOOKUP(F366,'TFS Details'!F:F,'TFS Details'!I:I)</f>
        <v>DataSupport</v>
      </c>
      <c r="AQ366" s="25" t="str">
        <f>_xlfn.XLOOKUP(AP366,'TFS Details'!I:I,'TFS Details'!AE:AE)</f>
        <v>karthi.madheshwaran</v>
      </c>
    </row>
    <row r="367" spans="1:43">
      <c r="A367" s="24" t="str">
        <f>_xlfn.XLOOKUP(F367,'TFS Details'!F:F,'TFS Details'!D:D)</f>
        <v>MDA</v>
      </c>
      <c r="B367" s="24" t="str">
        <f>_xlfn.XLOOKUP(F367,'TFS Details'!F:F,'TFS Details'!A:A)</f>
        <v>MDA IMS Personalization - March Release</v>
      </c>
      <c r="C367" s="64">
        <f>_xlfn.XLOOKUP(F367,'TFS Details'!F:F,'TFS Details'!E:E)</f>
        <v>4356899</v>
      </c>
      <c r="D367" s="17" t="s">
        <v>32</v>
      </c>
      <c r="E367" s="15" t="s">
        <v>859</v>
      </c>
      <c r="F367" s="92">
        <v>4362567</v>
      </c>
      <c r="G367" s="200" t="s">
        <v>860</v>
      </c>
      <c r="H367" s="200" t="s">
        <v>861</v>
      </c>
      <c r="I367" s="200"/>
      <c r="K367" s="97" t="s">
        <v>18</v>
      </c>
      <c r="L367" s="200" t="s">
        <v>862</v>
      </c>
      <c r="M367" s="97" t="s">
        <v>34</v>
      </c>
      <c r="N367" s="17"/>
      <c r="O367" s="134"/>
      <c r="Q367" s="176"/>
      <c r="R367" s="176"/>
      <c r="S367" s="176"/>
      <c r="T367" s="176"/>
      <c r="U367" s="125"/>
      <c r="W367" s="17" t="s">
        <v>183</v>
      </c>
      <c r="X367" s="17" t="s">
        <v>183</v>
      </c>
      <c r="Y367" s="17" t="s">
        <v>183</v>
      </c>
      <c r="Z367" s="17" t="s">
        <v>183</v>
      </c>
      <c r="AA367" s="176">
        <v>42</v>
      </c>
      <c r="AB367" s="176">
        <v>3</v>
      </c>
      <c r="AC367" s="176">
        <v>6</v>
      </c>
      <c r="AD367" s="176">
        <v>9</v>
      </c>
      <c r="AE367" s="33">
        <v>0.3</v>
      </c>
      <c r="AF367" s="33">
        <v>0.3</v>
      </c>
      <c r="AG367" s="25" t="str">
        <f>_xlfn.XLOOKUP(F367,'TFS Details'!F:F,'TFS Details'!H:H)</f>
        <v>Test Complete</v>
      </c>
      <c r="AH367" s="44">
        <v>9</v>
      </c>
      <c r="AI367" s="44">
        <v>0</v>
      </c>
      <c r="AJ367" s="44">
        <v>0</v>
      </c>
      <c r="AK367" s="44">
        <v>0</v>
      </c>
      <c r="AL367" s="40">
        <f t="shared" si="37"/>
        <v>9</v>
      </c>
      <c r="AM367" s="41">
        <f t="shared" si="36"/>
        <v>1</v>
      </c>
      <c r="AN367" s="41">
        <f t="shared" si="38"/>
        <v>1</v>
      </c>
      <c r="AO367" s="25" t="s">
        <v>863</v>
      </c>
      <c r="AP367" s="25" t="str">
        <f>_xlfn.XLOOKUP(F367,'TFS Details'!F:F,'TFS Details'!I:I)</f>
        <v>SolutionDataLake</v>
      </c>
      <c r="AQ367" s="25" t="str">
        <f>_xlfn.XLOOKUP(AP367,'TFS Details'!I:I,'TFS Details'!AE:AE)</f>
        <v>vishal.v.nadpurohit</v>
      </c>
    </row>
    <row r="368" spans="1:43">
      <c r="A368" s="24" t="str">
        <f>_xlfn.XLOOKUP(F368,'TFS Details'!F:F,'TFS Details'!D:D)</f>
        <v>IPC Calculator</v>
      </c>
      <c r="B368" s="24" t="str">
        <f>_xlfn.XLOOKUP(F368,'TFS Details'!F:F,'TFS Details'!A:A)</f>
        <v>IPC Calculator | Updated RAG logic for IPC Delivery Toolkit and IPC Lead PMO</v>
      </c>
      <c r="C368" s="64">
        <f>_xlfn.XLOOKUP(F368,'TFS Details'!F:F,'TFS Details'!E:E)</f>
        <v>4341338</v>
      </c>
      <c r="D368" s="17" t="s">
        <v>32</v>
      </c>
      <c r="E368" s="15" t="s">
        <v>864</v>
      </c>
      <c r="F368" s="92">
        <v>4346705</v>
      </c>
      <c r="G368" s="200" t="s">
        <v>865</v>
      </c>
      <c r="H368" s="200" t="s">
        <v>861</v>
      </c>
      <c r="I368" s="200"/>
      <c r="K368" s="97" t="s">
        <v>18</v>
      </c>
      <c r="L368" s="200" t="s">
        <v>617</v>
      </c>
      <c r="M368" s="16" t="s">
        <v>43</v>
      </c>
      <c r="N368" s="17"/>
      <c r="O368" s="134"/>
      <c r="Q368" s="176"/>
      <c r="R368" s="176"/>
      <c r="S368" s="176"/>
      <c r="T368" s="176"/>
      <c r="W368" s="17" t="s">
        <v>183</v>
      </c>
      <c r="X368" s="17" t="s">
        <v>183</v>
      </c>
      <c r="Y368" s="17" t="s">
        <v>183</v>
      </c>
      <c r="Z368" s="17" t="s">
        <v>183</v>
      </c>
      <c r="AA368" s="176">
        <v>32</v>
      </c>
      <c r="AB368" s="176">
        <v>3</v>
      </c>
      <c r="AC368" s="176">
        <v>17</v>
      </c>
      <c r="AD368" s="176">
        <v>20</v>
      </c>
      <c r="AE368" s="33">
        <v>0.09</v>
      </c>
      <c r="AF368" s="33">
        <v>0.05</v>
      </c>
      <c r="AG368" s="25" t="s">
        <v>866</v>
      </c>
      <c r="AH368" s="44">
        <v>20</v>
      </c>
      <c r="AI368" s="44">
        <v>0</v>
      </c>
      <c r="AJ368" s="44">
        <v>0</v>
      </c>
      <c r="AK368" s="44">
        <v>0</v>
      </c>
      <c r="AL368" s="40">
        <v>20</v>
      </c>
      <c r="AM368" s="41">
        <f t="shared" si="36"/>
        <v>1</v>
      </c>
      <c r="AN368" s="41">
        <f t="shared" si="38"/>
        <v>1</v>
      </c>
      <c r="AO368" s="25" t="s">
        <v>867</v>
      </c>
      <c r="AP368" s="25" t="str">
        <f>_xlfn.XLOOKUP(F368,'TFS Details'!F:F,'TFS Details'!I:I)</f>
        <v>SolutionDataLake</v>
      </c>
      <c r="AQ368" s="25" t="str">
        <f>_xlfn.XLOOKUP(AP368,'TFS Details'!I:I,'TFS Details'!AE:AE)</f>
        <v>vishal.v.nadpurohit</v>
      </c>
    </row>
    <row r="369" spans="1:43">
      <c r="A369" s="24" t="str">
        <f>_xlfn.XLOOKUP(F369,'TFS Details'!F:F,'TFS Details'!D:D)</f>
        <v>MDA</v>
      </c>
      <c r="B369" s="24" t="str">
        <f>_xlfn.XLOOKUP(F369,'TFS Details'!F:F,'TFS Details'!A:A)</f>
        <v>MDA IMS Personalization - March Release</v>
      </c>
      <c r="C369" s="64">
        <f>_xlfn.XLOOKUP(F369,'TFS Details'!F:F,'TFS Details'!E:E)</f>
        <v>4356899</v>
      </c>
      <c r="D369" s="17" t="s">
        <v>32</v>
      </c>
      <c r="E369" s="15" t="s">
        <v>868</v>
      </c>
      <c r="F369" s="92">
        <v>4308725</v>
      </c>
      <c r="G369" s="200" t="s">
        <v>865</v>
      </c>
      <c r="H369" s="200" t="s">
        <v>860</v>
      </c>
      <c r="I369" s="200"/>
      <c r="K369" s="97" t="s">
        <v>18</v>
      </c>
      <c r="L369" s="200" t="s">
        <v>617</v>
      </c>
      <c r="M369" s="16" t="s">
        <v>43</v>
      </c>
      <c r="N369" s="17"/>
      <c r="O369" s="134"/>
      <c r="Q369" s="176"/>
      <c r="R369" s="176"/>
      <c r="S369" s="176"/>
      <c r="T369" s="176"/>
      <c r="W369" s="17" t="s">
        <v>183</v>
      </c>
      <c r="X369" s="17" t="s">
        <v>183</v>
      </c>
      <c r="Y369" s="17" t="s">
        <v>183</v>
      </c>
      <c r="Z369" s="17" t="s">
        <v>183</v>
      </c>
      <c r="AA369" s="176">
        <v>34</v>
      </c>
      <c r="AB369" s="176">
        <v>11</v>
      </c>
      <c r="AC369" s="176">
        <v>25</v>
      </c>
      <c r="AD369" s="176">
        <v>36</v>
      </c>
      <c r="AE369" s="33">
        <v>0.32</v>
      </c>
      <c r="AF369" s="33">
        <v>0.1</v>
      </c>
      <c r="AG369" s="25" t="s">
        <v>218</v>
      </c>
      <c r="AH369" s="44">
        <v>36</v>
      </c>
      <c r="AI369" s="44">
        <v>0</v>
      </c>
      <c r="AJ369" s="44">
        <v>0</v>
      </c>
      <c r="AK369" s="44">
        <v>0</v>
      </c>
      <c r="AL369" s="40">
        <v>36</v>
      </c>
      <c r="AM369" s="41">
        <f t="shared" si="36"/>
        <v>1</v>
      </c>
      <c r="AN369" s="41">
        <f t="shared" si="38"/>
        <v>1</v>
      </c>
      <c r="AO369" s="25" t="s">
        <v>869</v>
      </c>
      <c r="AP369" s="25" t="str">
        <f>_xlfn.XLOOKUP(F369,'TFS Details'!F:F,'TFS Details'!I:I)</f>
        <v>SolutionDataLake</v>
      </c>
      <c r="AQ369" s="25" t="str">
        <f>_xlfn.XLOOKUP(AP369,'TFS Details'!I:I,'TFS Details'!AE:AE)</f>
        <v>vishal.v.nadpurohit</v>
      </c>
    </row>
    <row r="370" spans="1:43" ht="27.95">
      <c r="A370" s="24" t="str">
        <f>_xlfn.XLOOKUP(F370,'TFS Details'!F:F,'TFS Details'!D:D)</f>
        <v>MDA</v>
      </c>
      <c r="B370" s="24" t="str">
        <f>_xlfn.XLOOKUP(F370,'TFS Details'!F:F,'TFS Details'!A:A)</f>
        <v>[MDA-AMS]: View Group-wise Data Across Headcount &amp; Pyramid Reports for Both OCP &amp; MMP routes for Both OCP &amp; MMP Route</v>
      </c>
      <c r="C370" s="64">
        <f>_xlfn.XLOOKUP(F370,'TFS Details'!F:F,'TFS Details'!E:E)</f>
        <v>4368157</v>
      </c>
      <c r="D370" s="17" t="s">
        <v>32</v>
      </c>
      <c r="E370" s="15" t="s">
        <v>870</v>
      </c>
      <c r="F370" s="92">
        <v>4368141</v>
      </c>
      <c r="G370" s="200" t="s">
        <v>871</v>
      </c>
      <c r="H370" s="200" t="s">
        <v>861</v>
      </c>
      <c r="I370" s="200"/>
      <c r="K370" s="97" t="s">
        <v>18</v>
      </c>
      <c r="L370" s="200" t="s">
        <v>617</v>
      </c>
      <c r="M370" s="16" t="s">
        <v>43</v>
      </c>
      <c r="N370" s="17"/>
      <c r="O370" s="134"/>
      <c r="Q370" s="176"/>
      <c r="R370" s="176"/>
      <c r="S370" s="176"/>
      <c r="T370" s="176"/>
      <c r="W370" s="17" t="s">
        <v>183</v>
      </c>
      <c r="X370" s="17" t="s">
        <v>183</v>
      </c>
      <c r="Y370" s="17" t="s">
        <v>183</v>
      </c>
      <c r="Z370" s="17" t="s">
        <v>183</v>
      </c>
      <c r="AA370" s="176">
        <v>26</v>
      </c>
      <c r="AB370" s="176">
        <v>22</v>
      </c>
      <c r="AC370" s="176">
        <v>6</v>
      </c>
      <c r="AD370" s="176">
        <v>28</v>
      </c>
      <c r="AE370" s="33">
        <v>0.56999999999999995</v>
      </c>
      <c r="AF370" s="33">
        <v>0.45</v>
      </c>
      <c r="AG370" s="25" t="str">
        <f>_xlfn.XLOOKUP(F370,'TFS Details'!F:F,'TFS Details'!H:H)</f>
        <v>Test Complete</v>
      </c>
      <c r="AH370" s="44">
        <v>28</v>
      </c>
      <c r="AI370" s="44">
        <v>0</v>
      </c>
      <c r="AJ370" s="44">
        <v>0</v>
      </c>
      <c r="AK370" s="44">
        <v>0</v>
      </c>
      <c r="AL370" s="40">
        <f t="shared" ref="AL370:AL398" si="39">SUM(AH370:AK370)</f>
        <v>28</v>
      </c>
      <c r="AM370" s="41">
        <f t="shared" si="36"/>
        <v>1</v>
      </c>
      <c r="AN370" s="41">
        <f t="shared" si="38"/>
        <v>1</v>
      </c>
      <c r="AO370" s="126" t="s">
        <v>872</v>
      </c>
      <c r="AP370" s="25" t="str">
        <f>_xlfn.XLOOKUP(F370,'TFS Details'!F:F,'TFS Details'!I:I)</f>
        <v>SolutionDataLake</v>
      </c>
      <c r="AQ370" s="25" t="str">
        <f>_xlfn.XLOOKUP(AP370,'TFS Details'!I:I,'TFS Details'!AE:AE)</f>
        <v>vishal.v.nadpurohit</v>
      </c>
    </row>
    <row r="371" spans="1:43" ht="27.95">
      <c r="A371" s="24" t="str">
        <f>_xlfn.XLOOKUP(F371,'TFS Details'!F:F,'TFS Details'!D:D)</f>
        <v>MDA</v>
      </c>
      <c r="B371" s="24" t="str">
        <f>_xlfn.XLOOKUP(F371,'TFS Details'!F:F,'TFS Details'!A:A)</f>
        <v>[MDA-AMS]: View Group-wise Data Across Headcount &amp; Pyramid Reports for Both OCP &amp; MMP routes for Both OCP &amp; MMP Route</v>
      </c>
      <c r="C371" s="64">
        <f>_xlfn.XLOOKUP(F371,'TFS Details'!F:F,'TFS Details'!E:E)</f>
        <v>4368157</v>
      </c>
      <c r="D371" s="17" t="s">
        <v>32</v>
      </c>
      <c r="E371" s="15" t="s">
        <v>873</v>
      </c>
      <c r="F371" s="92">
        <v>4368158</v>
      </c>
      <c r="G371" s="200" t="s">
        <v>861</v>
      </c>
      <c r="H371" s="200" t="s">
        <v>865</v>
      </c>
      <c r="I371" s="200"/>
      <c r="K371" s="97" t="s">
        <v>18</v>
      </c>
      <c r="L371" s="200" t="s">
        <v>617</v>
      </c>
      <c r="M371" s="16" t="s">
        <v>43</v>
      </c>
      <c r="N371" s="17"/>
      <c r="O371" s="134"/>
      <c r="Q371" s="176"/>
      <c r="R371" s="176"/>
      <c r="S371" s="176"/>
      <c r="T371" s="176"/>
      <c r="W371" s="17" t="s">
        <v>183</v>
      </c>
      <c r="X371" s="17" t="s">
        <v>183</v>
      </c>
      <c r="Y371" s="17" t="s">
        <v>183</v>
      </c>
      <c r="Z371" s="17" t="s">
        <v>183</v>
      </c>
      <c r="AA371" s="176" t="s">
        <v>874</v>
      </c>
      <c r="AB371" s="176" t="s">
        <v>875</v>
      </c>
      <c r="AC371" s="176">
        <v>6</v>
      </c>
      <c r="AD371" s="176">
        <v>27</v>
      </c>
      <c r="AE371" s="33">
        <v>0.65</v>
      </c>
      <c r="AF371" s="33">
        <v>0.65</v>
      </c>
      <c r="AG371" s="25" t="s">
        <v>218</v>
      </c>
      <c r="AH371" s="44">
        <v>27</v>
      </c>
      <c r="AI371" s="44">
        <v>0</v>
      </c>
      <c r="AJ371" s="44">
        <v>0</v>
      </c>
      <c r="AK371" s="44">
        <v>0</v>
      </c>
      <c r="AL371" s="40">
        <f t="shared" si="39"/>
        <v>27</v>
      </c>
      <c r="AM371" s="41">
        <f t="shared" si="36"/>
        <v>1</v>
      </c>
      <c r="AN371" s="41">
        <f t="shared" si="38"/>
        <v>1</v>
      </c>
      <c r="AO371" s="126" t="s">
        <v>876</v>
      </c>
      <c r="AP371" s="25" t="str">
        <f>_xlfn.XLOOKUP(F371,'TFS Details'!F:F,'TFS Details'!I:I)</f>
        <v>SolutionDataLake</v>
      </c>
      <c r="AQ371" s="25" t="str">
        <f>_xlfn.XLOOKUP(AP371,'TFS Details'!I:I,'TFS Details'!AE:AE)</f>
        <v>vishal.v.nadpurohit</v>
      </c>
    </row>
    <row r="372" spans="1:43" ht="27.95">
      <c r="A372" s="24" t="str">
        <f>_xlfn.XLOOKUP(F372,'TFS Details'!F:F,'TFS Details'!D:D)</f>
        <v>MDA</v>
      </c>
      <c r="B372" s="24" t="str">
        <f>_xlfn.XLOOKUP(F372,'TFS Details'!F:F,'TFS Details'!A:A)</f>
        <v>[MDA-AMS]: View Group-wise Data Across Headcount &amp; Pyramid Reports for Both OCP &amp; MMP routes for Both OCP &amp; MMP Route</v>
      </c>
      <c r="C372" s="64">
        <f>_xlfn.XLOOKUP(F372,'TFS Details'!F:F,'TFS Details'!E:E)</f>
        <v>4368157</v>
      </c>
      <c r="D372" s="17" t="s">
        <v>32</v>
      </c>
      <c r="E372" s="15" t="s">
        <v>877</v>
      </c>
      <c r="F372" s="92">
        <v>4368160</v>
      </c>
      <c r="G372" s="200" t="s">
        <v>871</v>
      </c>
      <c r="H372" s="200" t="s">
        <v>865</v>
      </c>
      <c r="I372" s="200"/>
      <c r="K372" s="97" t="s">
        <v>18</v>
      </c>
      <c r="L372" s="200" t="s">
        <v>617</v>
      </c>
      <c r="M372" s="16" t="s">
        <v>43</v>
      </c>
      <c r="N372" s="17"/>
      <c r="O372" s="134"/>
      <c r="Q372" s="176"/>
      <c r="R372" s="176"/>
      <c r="S372" s="176"/>
      <c r="T372" s="176"/>
      <c r="W372" s="17" t="s">
        <v>183</v>
      </c>
      <c r="X372" s="17" t="s">
        <v>183</v>
      </c>
      <c r="Y372" s="17" t="s">
        <v>183</v>
      </c>
      <c r="Z372" s="17" t="s">
        <v>183</v>
      </c>
      <c r="AA372" s="176">
        <v>26</v>
      </c>
      <c r="AB372" s="176">
        <v>22</v>
      </c>
      <c r="AC372" s="176">
        <v>6</v>
      </c>
      <c r="AD372" s="176">
        <v>28</v>
      </c>
      <c r="AE372" s="33">
        <v>0.56999999999999995</v>
      </c>
      <c r="AF372" s="33">
        <v>0.45</v>
      </c>
      <c r="AG372" s="25" t="str">
        <f>_xlfn.XLOOKUP(F372,'TFS Details'!F:F,'TFS Details'!H:H)</f>
        <v>Blocked in UAT</v>
      </c>
      <c r="AH372" s="44">
        <v>28</v>
      </c>
      <c r="AI372" s="44">
        <v>0</v>
      </c>
      <c r="AJ372" s="44">
        <v>0</v>
      </c>
      <c r="AK372" s="44">
        <v>0</v>
      </c>
      <c r="AL372" s="40">
        <f t="shared" si="39"/>
        <v>28</v>
      </c>
      <c r="AM372" s="41">
        <f t="shared" si="36"/>
        <v>1</v>
      </c>
      <c r="AN372" s="41">
        <f t="shared" si="38"/>
        <v>1</v>
      </c>
      <c r="AO372" s="126" t="s">
        <v>878</v>
      </c>
      <c r="AP372" s="25" t="str">
        <f>_xlfn.XLOOKUP(F372,'TFS Details'!F:F,'TFS Details'!I:I)</f>
        <v>SolutionDataLake</v>
      </c>
      <c r="AQ372" s="25" t="str">
        <f>_xlfn.XLOOKUP(AP372,'TFS Details'!I:I,'TFS Details'!AE:AE)</f>
        <v>vishal.v.nadpurohit</v>
      </c>
    </row>
    <row r="373" spans="1:43" ht="27.95">
      <c r="A373" s="24" t="str">
        <f>_xlfn.XLOOKUP(F373,'TFS Details'!F:F,'TFS Details'!D:D)</f>
        <v>MDA</v>
      </c>
      <c r="B373" s="24" t="str">
        <f>_xlfn.XLOOKUP(F373,'TFS Details'!F:F,'TFS Details'!A:A)</f>
        <v>[MDA-AMS]: View Group-wise Data Across Headcount &amp; Pyramid Reports for Both OCP &amp; MMP routes for Both OCP &amp; MMP Route</v>
      </c>
      <c r="C373" s="64">
        <f>_xlfn.XLOOKUP(F373,'TFS Details'!F:F,'TFS Details'!E:E)</f>
        <v>4368157</v>
      </c>
      <c r="D373" s="17" t="s">
        <v>32</v>
      </c>
      <c r="E373" s="15" t="s">
        <v>879</v>
      </c>
      <c r="F373" s="92">
        <v>4368163</v>
      </c>
      <c r="G373" s="200" t="s">
        <v>861</v>
      </c>
      <c r="H373" s="200" t="s">
        <v>880</v>
      </c>
      <c r="I373" s="200"/>
      <c r="K373" s="97" t="s">
        <v>18</v>
      </c>
      <c r="L373" s="200" t="s">
        <v>617</v>
      </c>
      <c r="M373" s="16" t="s">
        <v>43</v>
      </c>
      <c r="N373" s="17"/>
      <c r="O373" s="134"/>
      <c r="Q373" s="176"/>
      <c r="R373" s="176"/>
      <c r="S373" s="176"/>
      <c r="T373" s="176"/>
      <c r="W373" s="17" t="s">
        <v>183</v>
      </c>
      <c r="X373" s="17" t="s">
        <v>183</v>
      </c>
      <c r="Y373" s="17" t="s">
        <v>183</v>
      </c>
      <c r="Z373" s="17" t="s">
        <v>183</v>
      </c>
      <c r="AA373" s="176" t="s">
        <v>881</v>
      </c>
      <c r="AB373" s="176" t="s">
        <v>875</v>
      </c>
      <c r="AC373" s="176">
        <v>6</v>
      </c>
      <c r="AD373" s="176">
        <v>27</v>
      </c>
      <c r="AE373" s="33">
        <v>0.65</v>
      </c>
      <c r="AF373" s="33">
        <v>0.65</v>
      </c>
      <c r="AG373" s="25" t="s">
        <v>218</v>
      </c>
      <c r="AH373" s="44">
        <v>27</v>
      </c>
      <c r="AI373" s="44">
        <v>0</v>
      </c>
      <c r="AJ373" s="44">
        <v>0</v>
      </c>
      <c r="AK373" s="44">
        <v>0</v>
      </c>
      <c r="AL373" s="40">
        <f t="shared" si="39"/>
        <v>27</v>
      </c>
      <c r="AM373" s="41">
        <f t="shared" si="36"/>
        <v>1</v>
      </c>
      <c r="AN373" s="41">
        <f t="shared" si="38"/>
        <v>1</v>
      </c>
      <c r="AO373" s="126" t="s">
        <v>882</v>
      </c>
      <c r="AP373" s="25" t="str">
        <f>_xlfn.XLOOKUP(F373,'TFS Details'!F:F,'TFS Details'!I:I)</f>
        <v>SolutionDataLake</v>
      </c>
      <c r="AQ373" s="25" t="str">
        <f>_xlfn.XLOOKUP(AP373,'TFS Details'!I:I,'TFS Details'!AE:AE)</f>
        <v>vishal.v.nadpurohit</v>
      </c>
    </row>
    <row r="374" spans="1:43">
      <c r="A374" s="24" t="str">
        <f>_xlfn.XLOOKUP(F374,'TFS Details'!F:F,'TFS Details'!D:D)</f>
        <v>MDA</v>
      </c>
      <c r="B374" s="24" t="str">
        <f>_xlfn.XLOOKUP(F374,'TFS Details'!F:F,'TFS Details'!A:A)</f>
        <v>Change Request for MDA PBI reports- March Release</v>
      </c>
      <c r="C374" s="64">
        <f>_xlfn.XLOOKUP(F374,'TFS Details'!F:F,'TFS Details'!E:E)</f>
        <v>4368212</v>
      </c>
      <c r="D374" s="17" t="s">
        <v>32</v>
      </c>
      <c r="E374" s="15" t="s">
        <v>883</v>
      </c>
      <c r="F374" s="92">
        <v>4368210</v>
      </c>
      <c r="G374" s="200" t="s">
        <v>865</v>
      </c>
      <c r="H374" s="200" t="s">
        <v>880</v>
      </c>
      <c r="I374" s="200"/>
      <c r="K374" s="97" t="s">
        <v>18</v>
      </c>
      <c r="L374" s="200" t="s">
        <v>617</v>
      </c>
      <c r="M374" s="16" t="s">
        <v>43</v>
      </c>
      <c r="N374" s="17"/>
      <c r="O374" s="134"/>
      <c r="Q374" s="176"/>
      <c r="R374" s="176"/>
      <c r="S374" s="176"/>
      <c r="T374" s="176"/>
      <c r="W374" s="17" t="s">
        <v>183</v>
      </c>
      <c r="X374" s="17" t="s">
        <v>183</v>
      </c>
      <c r="Y374" s="17" t="s">
        <v>183</v>
      </c>
      <c r="Z374" s="17" t="s">
        <v>183</v>
      </c>
      <c r="AA374" s="176">
        <v>34</v>
      </c>
      <c r="AB374" s="176">
        <v>7</v>
      </c>
      <c r="AC374" s="176">
        <v>16</v>
      </c>
      <c r="AD374" s="176">
        <v>23</v>
      </c>
      <c r="AE374" s="33">
        <v>0.2</v>
      </c>
      <c r="AF374" s="33">
        <v>0.05</v>
      </c>
      <c r="AG374" s="25" t="s">
        <v>218</v>
      </c>
      <c r="AH374" s="44">
        <v>23</v>
      </c>
      <c r="AI374" s="44">
        <v>0</v>
      </c>
      <c r="AJ374" s="44">
        <v>0</v>
      </c>
      <c r="AK374" s="44">
        <v>0</v>
      </c>
      <c r="AL374" s="40">
        <f t="shared" si="39"/>
        <v>23</v>
      </c>
      <c r="AM374" s="41">
        <f t="shared" si="36"/>
        <v>1</v>
      </c>
      <c r="AN374" s="41">
        <f t="shared" si="38"/>
        <v>1</v>
      </c>
      <c r="AO374" s="25" t="s">
        <v>744</v>
      </c>
      <c r="AP374" s="25" t="str">
        <f>_xlfn.XLOOKUP(F374,'TFS Details'!F:F,'TFS Details'!I:I)</f>
        <v>SolutionDataLake</v>
      </c>
      <c r="AQ374" s="25" t="str">
        <f>_xlfn.XLOOKUP(AP374,'TFS Details'!I:I,'TFS Details'!AE:AE)</f>
        <v>vishal.v.nadpurohit</v>
      </c>
    </row>
    <row r="375" spans="1:43">
      <c r="A375" s="24" t="str">
        <f>_xlfn.XLOOKUP(F375,'TFS Details'!F:F,'TFS Details'!D:D)</f>
        <v>MDA</v>
      </c>
      <c r="B375" s="24" t="str">
        <f>_xlfn.XLOOKUP(F375,'TFS Details'!F:F,'TFS Details'!A:A)</f>
        <v>Change Request for MDA PBI reports- March Release</v>
      </c>
      <c r="C375" s="64">
        <f>_xlfn.XLOOKUP(F375,'TFS Details'!F:F,'TFS Details'!E:E)</f>
        <v>4368212</v>
      </c>
      <c r="D375" s="17" t="s">
        <v>32</v>
      </c>
      <c r="E375" s="15" t="s">
        <v>883</v>
      </c>
      <c r="F375" s="92">
        <v>4368211</v>
      </c>
      <c r="G375" s="200" t="s">
        <v>865</v>
      </c>
      <c r="H375" s="200" t="s">
        <v>880</v>
      </c>
      <c r="I375" s="200"/>
      <c r="K375" s="97" t="s">
        <v>18</v>
      </c>
      <c r="L375" s="200" t="s">
        <v>617</v>
      </c>
      <c r="M375" s="16" t="s">
        <v>43</v>
      </c>
      <c r="N375" s="17"/>
      <c r="O375" s="134"/>
      <c r="Q375" s="176"/>
      <c r="R375" s="176"/>
      <c r="S375" s="176"/>
      <c r="T375" s="176"/>
      <c r="W375" s="17" t="s">
        <v>183</v>
      </c>
      <c r="X375" s="17" t="s">
        <v>183</v>
      </c>
      <c r="Y375" s="17" t="s">
        <v>183</v>
      </c>
      <c r="Z375" s="17" t="s">
        <v>183</v>
      </c>
      <c r="AA375" s="176">
        <v>36</v>
      </c>
      <c r="AB375" s="176">
        <v>19</v>
      </c>
      <c r="AC375" s="176">
        <v>2</v>
      </c>
      <c r="AD375" s="176">
        <v>21</v>
      </c>
      <c r="AE375" s="33">
        <v>0.7</v>
      </c>
      <c r="AF375" s="33">
        <v>0.9</v>
      </c>
      <c r="AG375" s="25" t="s">
        <v>218</v>
      </c>
      <c r="AH375" s="44">
        <v>21</v>
      </c>
      <c r="AI375" s="44">
        <v>0</v>
      </c>
      <c r="AJ375" s="44">
        <v>0</v>
      </c>
      <c r="AK375" s="44">
        <v>0</v>
      </c>
      <c r="AL375" s="40">
        <f t="shared" si="39"/>
        <v>21</v>
      </c>
      <c r="AM375" s="41">
        <f t="shared" si="36"/>
        <v>1</v>
      </c>
      <c r="AN375" s="41">
        <f t="shared" si="38"/>
        <v>1</v>
      </c>
      <c r="AO375" s="25" t="s">
        <v>744</v>
      </c>
      <c r="AP375" s="25" t="str">
        <f>_xlfn.XLOOKUP(F375,'TFS Details'!F:F,'TFS Details'!I:I)</f>
        <v>SolutionDataLake</v>
      </c>
      <c r="AQ375" s="25" t="str">
        <f>_xlfn.XLOOKUP(AP375,'TFS Details'!I:I,'TFS Details'!AE:AE)</f>
        <v>vishal.v.nadpurohit</v>
      </c>
    </row>
    <row r="376" spans="1:43" ht="27.95">
      <c r="A376" s="24" t="str">
        <f>_xlfn.XLOOKUP(F376,'TFS Details'!F:F,'TFS Details'!D:D)</f>
        <v>MDA</v>
      </c>
      <c r="B376" s="24" t="str">
        <f>_xlfn.XLOOKUP(F376,'TFS Details'!F:F,'TFS Details'!A:A)</f>
        <v>MDA IMS Personalization - March Release</v>
      </c>
      <c r="C376" s="64">
        <f>_xlfn.XLOOKUP(F376,'TFS Details'!F:F,'TFS Details'!E:E)</f>
        <v>4356899</v>
      </c>
      <c r="D376" s="17" t="s">
        <v>32</v>
      </c>
      <c r="E376" s="15" t="s">
        <v>884</v>
      </c>
      <c r="F376" s="92">
        <v>4371933</v>
      </c>
      <c r="G376" s="200" t="s">
        <v>861</v>
      </c>
      <c r="H376" s="200" t="s">
        <v>860</v>
      </c>
      <c r="I376" s="200"/>
      <c r="K376" s="97" t="s">
        <v>18</v>
      </c>
      <c r="L376" s="200" t="s">
        <v>617</v>
      </c>
      <c r="M376" s="16" t="s">
        <v>43</v>
      </c>
      <c r="N376" s="17"/>
      <c r="O376" s="134"/>
      <c r="Q376" s="176"/>
      <c r="R376" s="176"/>
      <c r="S376" s="176"/>
      <c r="T376" s="176"/>
      <c r="W376" s="17" t="s">
        <v>183</v>
      </c>
      <c r="X376" s="17" t="s">
        <v>183</v>
      </c>
      <c r="Y376" s="17" t="s">
        <v>183</v>
      </c>
      <c r="Z376" s="17" t="s">
        <v>183</v>
      </c>
      <c r="AA376" s="176" t="s">
        <v>521</v>
      </c>
      <c r="AB376" s="176" t="s">
        <v>885</v>
      </c>
      <c r="AC376" s="176">
        <v>0</v>
      </c>
      <c r="AD376" s="176">
        <v>11</v>
      </c>
      <c r="AE376" s="33">
        <v>1</v>
      </c>
      <c r="AF376" s="33">
        <v>1</v>
      </c>
      <c r="AG376" s="25" t="str">
        <f>_xlfn.XLOOKUP(F376,'TFS Details'!F:F,'TFS Details'!H:H)</f>
        <v>Test Complete</v>
      </c>
      <c r="AH376" s="44">
        <v>11</v>
      </c>
      <c r="AI376" s="44">
        <v>0</v>
      </c>
      <c r="AJ376" s="44">
        <v>0</v>
      </c>
      <c r="AK376" s="44">
        <v>0</v>
      </c>
      <c r="AL376" s="40">
        <f t="shared" si="39"/>
        <v>11</v>
      </c>
      <c r="AM376" s="41">
        <f t="shared" si="36"/>
        <v>1</v>
      </c>
      <c r="AN376" s="41">
        <f t="shared" si="38"/>
        <v>1</v>
      </c>
      <c r="AO376" s="126" t="s">
        <v>886</v>
      </c>
      <c r="AP376" s="25" t="str">
        <f>_xlfn.XLOOKUP(F376,'TFS Details'!F:F,'TFS Details'!I:I)</f>
        <v>SolutionDataLake</v>
      </c>
      <c r="AQ376" s="25" t="str">
        <f>_xlfn.XLOOKUP(AP376,'TFS Details'!I:I,'TFS Details'!AE:AE)</f>
        <v>vishal.v.nadpurohit</v>
      </c>
    </row>
    <row r="377" spans="1:43" ht="27.95">
      <c r="A377" s="24" t="str">
        <f>_xlfn.XLOOKUP(F377,'TFS Details'!F:F,'TFS Details'!D:D)</f>
        <v>MDA</v>
      </c>
      <c r="B377" s="24" t="str">
        <f>_xlfn.XLOOKUP(F377,'TFS Details'!F:F,'TFS Details'!A:A)</f>
        <v>Change Request for MDA PBI reports- March Release</v>
      </c>
      <c r="C377" s="64">
        <f>_xlfn.XLOOKUP(F377,'TFS Details'!F:F,'TFS Details'!E:E)</f>
        <v>4368212</v>
      </c>
      <c r="D377" s="17" t="s">
        <v>32</v>
      </c>
      <c r="E377" s="15" t="s">
        <v>887</v>
      </c>
      <c r="F377" s="92">
        <v>4389863</v>
      </c>
      <c r="G377" s="200" t="s">
        <v>860</v>
      </c>
      <c r="H377" s="200" t="s">
        <v>871</v>
      </c>
      <c r="I377" s="200"/>
      <c r="K377" s="97" t="s">
        <v>18</v>
      </c>
      <c r="L377" s="200" t="s">
        <v>617</v>
      </c>
      <c r="M377" s="16" t="s">
        <v>43</v>
      </c>
      <c r="N377" s="17"/>
      <c r="O377" s="134"/>
      <c r="Q377" s="176"/>
      <c r="R377" s="176"/>
      <c r="S377" s="176"/>
      <c r="T377" s="176"/>
      <c r="U377" s="125"/>
      <c r="W377" s="17" t="s">
        <v>183</v>
      </c>
      <c r="X377" s="17" t="s">
        <v>183</v>
      </c>
      <c r="Y377" s="17" t="s">
        <v>183</v>
      </c>
      <c r="Z377" s="17" t="s">
        <v>183</v>
      </c>
      <c r="AA377" s="176">
        <v>47</v>
      </c>
      <c r="AB377" s="176">
        <v>17</v>
      </c>
      <c r="AC377" s="176">
        <v>0</v>
      </c>
      <c r="AD377" s="176">
        <v>17</v>
      </c>
      <c r="AE377" s="33">
        <v>1</v>
      </c>
      <c r="AF377" s="33">
        <v>1</v>
      </c>
      <c r="AG377" s="25" t="str">
        <f>_xlfn.XLOOKUP(F377,'TFS Details'!F:F,'TFS Details'!H:H)</f>
        <v>Test Complete</v>
      </c>
      <c r="AH377" s="44">
        <v>17</v>
      </c>
      <c r="AI377" s="44">
        <v>0</v>
      </c>
      <c r="AJ377" s="44">
        <v>0</v>
      </c>
      <c r="AK377" s="44">
        <v>0</v>
      </c>
      <c r="AL377" s="40">
        <f t="shared" si="39"/>
        <v>17</v>
      </c>
      <c r="AM377" s="41">
        <f t="shared" si="36"/>
        <v>1</v>
      </c>
      <c r="AN377" s="41">
        <f t="shared" si="38"/>
        <v>1</v>
      </c>
      <c r="AO377" s="225" t="s">
        <v>888</v>
      </c>
      <c r="AP377" s="25" t="str">
        <f>_xlfn.XLOOKUP(F377,'TFS Details'!F:F,'TFS Details'!I:I)</f>
        <v>SolutionDataLake</v>
      </c>
      <c r="AQ377" s="25" t="str">
        <f>_xlfn.XLOOKUP(AP377,'TFS Details'!I:I,'TFS Details'!AE:AE)</f>
        <v>vishal.v.nadpurohit</v>
      </c>
    </row>
    <row r="378" spans="1:43">
      <c r="A378" s="24" t="str">
        <f>_xlfn.XLOOKUP(F378,'TFS Details'!F:F,'TFS Details'!D:D)</f>
        <v>MDA</v>
      </c>
      <c r="B378" s="24" t="str">
        <f>_xlfn.XLOOKUP(F378,'TFS Details'!F:F,'TFS Details'!A:A)</f>
        <v>MDA‑Common: Enable Lead Solution Architects to Create MSDA Deal Versions</v>
      </c>
      <c r="C378" s="64">
        <f>_xlfn.XLOOKUP(F378,'TFS Details'!F:F,'TFS Details'!E:E)</f>
        <v>4390100</v>
      </c>
      <c r="D378" s="17" t="s">
        <v>32</v>
      </c>
      <c r="E378" s="15" t="s">
        <v>889</v>
      </c>
      <c r="F378" s="92">
        <v>4390101</v>
      </c>
      <c r="G378" s="200" t="s">
        <v>871</v>
      </c>
      <c r="H378" s="200" t="s">
        <v>880</v>
      </c>
      <c r="I378" s="200"/>
      <c r="K378" s="97" t="s">
        <v>18</v>
      </c>
      <c r="L378" s="200" t="s">
        <v>617</v>
      </c>
      <c r="M378" s="16" t="s">
        <v>43</v>
      </c>
      <c r="N378" s="17"/>
      <c r="O378" s="134"/>
      <c r="Q378" s="176"/>
      <c r="R378" s="176"/>
      <c r="S378" s="176"/>
      <c r="T378" s="176"/>
      <c r="W378" s="17" t="s">
        <v>183</v>
      </c>
      <c r="X378" s="17" t="s">
        <v>183</v>
      </c>
      <c r="Y378" s="17" t="s">
        <v>183</v>
      </c>
      <c r="Z378" s="17" t="s">
        <v>183</v>
      </c>
      <c r="AA378" s="176">
        <v>24</v>
      </c>
      <c r="AB378" s="176">
        <v>10</v>
      </c>
      <c r="AC378" s="176">
        <v>4</v>
      </c>
      <c r="AD378" s="176">
        <v>14</v>
      </c>
      <c r="AE378" s="33">
        <v>0.48</v>
      </c>
      <c r="AF378" s="33">
        <v>0.4</v>
      </c>
      <c r="AG378" s="25" t="str">
        <f>_xlfn.XLOOKUP(F378,'TFS Details'!F:F,'TFS Details'!H:H)</f>
        <v>Test Complete</v>
      </c>
      <c r="AH378" s="44">
        <v>14</v>
      </c>
      <c r="AI378" s="44">
        <v>0</v>
      </c>
      <c r="AJ378" s="44">
        <v>0</v>
      </c>
      <c r="AK378" s="44">
        <v>0</v>
      </c>
      <c r="AL378" s="40">
        <f t="shared" si="39"/>
        <v>14</v>
      </c>
      <c r="AM378" s="41">
        <f t="shared" si="36"/>
        <v>1</v>
      </c>
      <c r="AN378" s="41">
        <f t="shared" si="38"/>
        <v>1</v>
      </c>
      <c r="AO378" s="25" t="s">
        <v>744</v>
      </c>
      <c r="AP378" s="25" t="str">
        <f>_xlfn.XLOOKUP(F378,'TFS Details'!F:F,'TFS Details'!I:I)</f>
        <v>SolutionDataLake</v>
      </c>
      <c r="AQ378" s="25" t="str">
        <f>_xlfn.XLOOKUP(AP378,'TFS Details'!I:I,'TFS Details'!AE:AE)</f>
        <v>vishal.v.nadpurohit</v>
      </c>
    </row>
    <row r="379" spans="1:43">
      <c r="A379" s="24" t="str">
        <f>_xlfn.XLOOKUP(F379,'TFS Details'!F:F,'TFS Details'!D:D)</f>
        <v>MDA</v>
      </c>
      <c r="B379" s="24" t="str">
        <f>_xlfn.XLOOKUP(F379,'TFS Details'!F:F,'TFS Details'!A:A)</f>
        <v>MDA IMS Personalization - March Release</v>
      </c>
      <c r="C379" s="64">
        <f>_xlfn.XLOOKUP(F379,'TFS Details'!F:F,'TFS Details'!E:E)</f>
        <v>4356899</v>
      </c>
      <c r="D379" s="17" t="s">
        <v>32</v>
      </c>
      <c r="E379" s="15" t="s">
        <v>890</v>
      </c>
      <c r="F379" s="92">
        <v>4391662</v>
      </c>
      <c r="G379" s="200" t="s">
        <v>861</v>
      </c>
      <c r="H379" s="200" t="s">
        <v>860</v>
      </c>
      <c r="I379" s="200"/>
      <c r="K379" s="97" t="s">
        <v>18</v>
      </c>
      <c r="L379" s="200" t="s">
        <v>617</v>
      </c>
      <c r="M379" s="16" t="s">
        <v>43</v>
      </c>
      <c r="N379" s="17"/>
      <c r="O379" s="134"/>
      <c r="Q379" s="176"/>
      <c r="R379" s="176"/>
      <c r="S379" s="176"/>
      <c r="T379" s="176"/>
      <c r="W379" s="17" t="s">
        <v>183</v>
      </c>
      <c r="X379" s="17" t="s">
        <v>183</v>
      </c>
      <c r="Y379" s="17" t="s">
        <v>183</v>
      </c>
      <c r="Z379" s="17" t="s">
        <v>183</v>
      </c>
      <c r="AA379" s="176" t="s">
        <v>521</v>
      </c>
      <c r="AB379" s="176" t="s">
        <v>891</v>
      </c>
      <c r="AC379" s="176">
        <v>10</v>
      </c>
      <c r="AD379" s="176">
        <v>33</v>
      </c>
      <c r="AE379" s="33">
        <v>0.65</v>
      </c>
      <c r="AF379" s="33">
        <v>0.65</v>
      </c>
      <c r="AG379" s="25" t="str">
        <f>_xlfn.XLOOKUP(F379,'TFS Details'!F:F,'TFS Details'!H:H)</f>
        <v>UAT In Test</v>
      </c>
      <c r="AH379" s="44">
        <v>33</v>
      </c>
      <c r="AI379" s="44">
        <v>0</v>
      </c>
      <c r="AJ379" s="44">
        <v>0</v>
      </c>
      <c r="AK379" s="44">
        <v>0</v>
      </c>
      <c r="AL379" s="40">
        <f t="shared" si="39"/>
        <v>33</v>
      </c>
      <c r="AM379" s="41">
        <f t="shared" si="36"/>
        <v>1</v>
      </c>
      <c r="AN379" s="41">
        <f t="shared" si="38"/>
        <v>1</v>
      </c>
      <c r="AO379" s="25" t="s">
        <v>892</v>
      </c>
      <c r="AP379" s="25" t="str">
        <f>_xlfn.XLOOKUP(F379,'TFS Details'!F:F,'TFS Details'!I:I)</f>
        <v>SolutionDataLake</v>
      </c>
      <c r="AQ379" s="25" t="str">
        <f>_xlfn.XLOOKUP(AP379,'TFS Details'!I:I,'TFS Details'!AE:AE)</f>
        <v>vishal.v.nadpurohit</v>
      </c>
    </row>
    <row r="380" spans="1:43">
      <c r="A380" s="24" t="str">
        <f>_xlfn.XLOOKUP(F380,'TFS Details'!F:F,'TFS Details'!D:D)</f>
        <v>DFD-myISP</v>
      </c>
      <c r="B380" s="24" t="str">
        <f>_xlfn.XLOOKUP(F380,'TFS Details'!F:F,'TFS Details'!A:A)</f>
        <v>Song Deals Compliant Logic Update</v>
      </c>
      <c r="C380" s="64">
        <f>_xlfn.XLOOKUP(F380,'TFS Details'!F:F,'TFS Details'!E:E)</f>
        <v>4317244</v>
      </c>
      <c r="D380" s="17" t="s">
        <v>32</v>
      </c>
      <c r="E380" s="162" t="s">
        <v>893</v>
      </c>
      <c r="F380" s="163">
        <v>4398531</v>
      </c>
      <c r="G380" s="162" t="s">
        <v>861</v>
      </c>
      <c r="H380" s="200"/>
      <c r="I380" s="200"/>
      <c r="K380" s="97" t="s">
        <v>18</v>
      </c>
      <c r="L380" s="200" t="s">
        <v>894</v>
      </c>
      <c r="M380" s="16" t="s">
        <v>43</v>
      </c>
      <c r="N380" s="17"/>
      <c r="O380" s="134"/>
      <c r="Q380" s="176"/>
      <c r="R380" s="176"/>
      <c r="S380" s="176"/>
      <c r="T380" s="176"/>
      <c r="W380" s="17" t="s">
        <v>183</v>
      </c>
      <c r="X380" s="17" t="s">
        <v>183</v>
      </c>
      <c r="Y380" s="17" t="s">
        <v>183</v>
      </c>
      <c r="Z380" s="17" t="s">
        <v>183</v>
      </c>
      <c r="AA380" s="176" t="s">
        <v>521</v>
      </c>
      <c r="AB380" s="176" t="s">
        <v>895</v>
      </c>
      <c r="AC380" s="176">
        <v>0</v>
      </c>
      <c r="AD380" s="176">
        <v>16</v>
      </c>
      <c r="AE380" s="33">
        <v>1</v>
      </c>
      <c r="AF380" s="33">
        <v>1</v>
      </c>
      <c r="AG380" s="25" t="str">
        <f>_xlfn.XLOOKUP(F380,'TFS Details'!F:F,'TFS Details'!H:H)</f>
        <v>UAT In Test</v>
      </c>
      <c r="AH380" s="44">
        <v>16</v>
      </c>
      <c r="AI380" s="44">
        <v>0</v>
      </c>
      <c r="AJ380" s="44">
        <v>0</v>
      </c>
      <c r="AK380" s="44">
        <v>0</v>
      </c>
      <c r="AL380" s="40">
        <f t="shared" si="39"/>
        <v>16</v>
      </c>
      <c r="AM380" s="41">
        <f t="shared" si="36"/>
        <v>1</v>
      </c>
      <c r="AN380" s="41">
        <f t="shared" si="38"/>
        <v>1</v>
      </c>
      <c r="AO380" s="25"/>
      <c r="AP380" s="25" t="str">
        <f>_xlfn.XLOOKUP(F380,'TFS Details'!F:F,'TFS Details'!I:I)</f>
        <v>SolutionDataLake</v>
      </c>
      <c r="AQ380" s="25" t="str">
        <f>_xlfn.XLOOKUP(AP380,'TFS Details'!I:I,'TFS Details'!AE:AE)</f>
        <v>vishal.v.nadpurohit</v>
      </c>
    </row>
    <row r="381" spans="1:43">
      <c r="A381" s="24" t="str">
        <f>_xlfn.XLOOKUP(F381,'TFS Details'!F:F,'TFS Details'!D:D)</f>
        <v>Value Shaping</v>
      </c>
      <c r="B381" s="24" t="str">
        <f>_xlfn.XLOOKUP(F381,'TFS Details'!F:F,'TFS Details'!A:A)</f>
        <v>Value Shaping –Enhancements</v>
      </c>
      <c r="C381" s="64">
        <f>_xlfn.XLOOKUP(F381,'TFS Details'!F:F,'TFS Details'!E:E)</f>
        <v>4330994</v>
      </c>
      <c r="D381" s="17" t="s">
        <v>32</v>
      </c>
      <c r="E381" s="205" t="s">
        <v>896</v>
      </c>
      <c r="F381" s="164">
        <v>4398530</v>
      </c>
      <c r="G381" s="200" t="s">
        <v>871</v>
      </c>
      <c r="H381" s="200"/>
      <c r="I381" s="200"/>
      <c r="K381" s="97" t="s">
        <v>18</v>
      </c>
      <c r="L381" s="200" t="s">
        <v>894</v>
      </c>
      <c r="M381" s="16" t="s">
        <v>43</v>
      </c>
      <c r="N381" s="17"/>
      <c r="O381" s="134"/>
      <c r="Q381" s="176"/>
      <c r="R381" s="176"/>
      <c r="S381" s="176"/>
      <c r="T381" s="176"/>
      <c r="W381" s="17" t="s">
        <v>183</v>
      </c>
      <c r="X381" s="17" t="s">
        <v>183</v>
      </c>
      <c r="Y381" s="17" t="s">
        <v>183</v>
      </c>
      <c r="Z381" s="17" t="s">
        <v>183</v>
      </c>
      <c r="AA381" s="176">
        <v>24</v>
      </c>
      <c r="AB381" s="176">
        <v>18</v>
      </c>
      <c r="AC381" s="176">
        <v>6</v>
      </c>
      <c r="AD381" s="176">
        <v>24</v>
      </c>
      <c r="AE381" s="33">
        <v>0.52</v>
      </c>
      <c r="AF381" s="33">
        <v>0.46</v>
      </c>
      <c r="AG381" s="25" t="str">
        <f>_xlfn.XLOOKUP(F381,'TFS Details'!F:F,'TFS Details'!H:H)</f>
        <v>Test Complete</v>
      </c>
      <c r="AH381" s="44">
        <v>24</v>
      </c>
      <c r="AI381" s="44">
        <v>0</v>
      </c>
      <c r="AJ381" s="44">
        <v>0</v>
      </c>
      <c r="AK381" s="44">
        <v>0</v>
      </c>
      <c r="AL381" s="40">
        <f t="shared" si="39"/>
        <v>24</v>
      </c>
      <c r="AM381" s="41">
        <f t="shared" si="36"/>
        <v>1</v>
      </c>
      <c r="AN381" s="41">
        <f t="shared" si="38"/>
        <v>1</v>
      </c>
      <c r="AO381" s="25" t="s">
        <v>897</v>
      </c>
      <c r="AP381" s="25" t="str">
        <f>_xlfn.XLOOKUP(F381,'TFS Details'!F:F,'TFS Details'!I:I)</f>
        <v>SolutionDataLake</v>
      </c>
      <c r="AQ381" s="25" t="str">
        <f>_xlfn.XLOOKUP(AP381,'TFS Details'!I:I,'TFS Details'!AE:AE)</f>
        <v>vishal.v.nadpurohit</v>
      </c>
    </row>
    <row r="382" spans="1:43">
      <c r="A382" s="24" t="str">
        <f>_xlfn.XLOOKUP(F382,'TFS Details'!F:F,'TFS Details'!D:D)</f>
        <v>SI - pcw</v>
      </c>
      <c r="B382" s="24" t="str">
        <f>_xlfn.XLOOKUP(F382,'TFS Details'!F:F,'TFS Details'!A:A)</f>
        <v>myISP - Digital DCSO</v>
      </c>
      <c r="C382" s="64">
        <f>_xlfn.XLOOKUP(F382,'TFS Details'!F:F,'TFS Details'!E:E)</f>
        <v>4278081</v>
      </c>
      <c r="D382" s="19" t="s">
        <v>25</v>
      </c>
      <c r="E382" s="81" t="s">
        <v>898</v>
      </c>
      <c r="F382" s="80">
        <v>4336300</v>
      </c>
      <c r="G382" s="18" t="s">
        <v>899</v>
      </c>
      <c r="H382" s="17" t="s">
        <v>900</v>
      </c>
      <c r="K382" s="97" t="s">
        <v>18</v>
      </c>
      <c r="L382" s="16" t="s">
        <v>901</v>
      </c>
      <c r="M382" s="16" t="s">
        <v>902</v>
      </c>
      <c r="N382" s="17"/>
      <c r="O382" s="134"/>
      <c r="Q382" s="176"/>
      <c r="R382" s="176"/>
      <c r="S382" s="176"/>
      <c r="T382" s="176"/>
      <c r="W382" s="17" t="s">
        <v>183</v>
      </c>
      <c r="X382" s="17" t="s">
        <v>183</v>
      </c>
      <c r="Y382" s="17" t="s">
        <v>183</v>
      </c>
      <c r="Z382" s="17" t="s">
        <v>183</v>
      </c>
      <c r="AA382" s="176">
        <v>10</v>
      </c>
      <c r="AB382" s="176">
        <v>2</v>
      </c>
      <c r="AC382" s="176">
        <v>1</v>
      </c>
      <c r="AD382" s="176">
        <v>3</v>
      </c>
      <c r="AE382" s="33">
        <v>0.9</v>
      </c>
      <c r="AF382" s="33">
        <v>0.9</v>
      </c>
      <c r="AG382" s="25" t="str">
        <f>_xlfn.XLOOKUP(F382,'TFS Details'!F:F,'TFS Details'!H:H)</f>
        <v>UAT In Test</v>
      </c>
      <c r="AH382" s="44">
        <v>3</v>
      </c>
      <c r="AI382" s="44">
        <v>0</v>
      </c>
      <c r="AJ382" s="44">
        <v>0</v>
      </c>
      <c r="AK382" s="44">
        <v>0</v>
      </c>
      <c r="AL382" s="40">
        <f t="shared" si="39"/>
        <v>3</v>
      </c>
      <c r="AM382" s="41">
        <f t="shared" si="36"/>
        <v>1</v>
      </c>
      <c r="AN382" s="41">
        <f t="shared" si="38"/>
        <v>1</v>
      </c>
      <c r="AO382" s="25" t="s">
        <v>780</v>
      </c>
      <c r="AP382" s="25" t="str">
        <f>_xlfn.XLOOKUP(F382,'TFS Details'!F:F,'TFS Details'!I:I)</f>
        <v>Tech Ensemble</v>
      </c>
      <c r="AQ382" s="25" t="str">
        <f>_xlfn.XLOOKUP(AP382,'TFS Details'!I:I,'TFS Details'!AE:AE)</f>
        <v>suraj.sukumaran</v>
      </c>
    </row>
    <row r="383" spans="1:43">
      <c r="A383" s="24" t="str">
        <f>_xlfn.XLOOKUP(F383,'TFS Details'!F:F,'TFS Details'!D:D)</f>
        <v>PCW</v>
      </c>
      <c r="B383" s="24" t="str">
        <f>_xlfn.XLOOKUP(F383,'TFS Details'!F:F,'TFS Details'!A:A)</f>
        <v>PCW Enhancements and User Feedback - March Release</v>
      </c>
      <c r="C383" s="64">
        <f>_xlfn.XLOOKUP(F383,'TFS Details'!F:F,'TFS Details'!E:E)</f>
        <v>4389866</v>
      </c>
      <c r="D383" s="19" t="s">
        <v>25</v>
      </c>
      <c r="E383" s="81" t="s">
        <v>903</v>
      </c>
      <c r="F383" s="80">
        <v>4365033</v>
      </c>
      <c r="G383" s="18" t="s">
        <v>904</v>
      </c>
      <c r="H383" s="17" t="s">
        <v>905</v>
      </c>
      <c r="K383" s="97" t="s">
        <v>18</v>
      </c>
      <c r="L383" s="16" t="s">
        <v>906</v>
      </c>
      <c r="M383" s="16" t="s">
        <v>902</v>
      </c>
      <c r="N383" s="17"/>
      <c r="O383" s="134"/>
      <c r="Q383" s="176"/>
      <c r="R383" s="176"/>
      <c r="S383" s="176"/>
      <c r="T383" s="176"/>
      <c r="W383" s="17" t="s">
        <v>183</v>
      </c>
      <c r="X383" s="17" t="s">
        <v>183</v>
      </c>
      <c r="Y383" s="17" t="s">
        <v>183</v>
      </c>
      <c r="Z383" s="17" t="s">
        <v>183</v>
      </c>
      <c r="AA383" s="176">
        <v>54</v>
      </c>
      <c r="AB383" s="176">
        <v>20</v>
      </c>
      <c r="AC383" s="176">
        <v>0</v>
      </c>
      <c r="AD383" s="176">
        <v>20</v>
      </c>
      <c r="AE383" s="33">
        <v>1</v>
      </c>
      <c r="AF383" s="33">
        <v>0.9</v>
      </c>
      <c r="AG383" s="25" t="str">
        <f>_xlfn.XLOOKUP(F383,'TFS Details'!F:F,'TFS Details'!H:H)</f>
        <v>Blocked in UAT</v>
      </c>
      <c r="AH383" s="44">
        <v>20</v>
      </c>
      <c r="AI383" s="44">
        <v>0</v>
      </c>
      <c r="AJ383" s="44">
        <v>0</v>
      </c>
      <c r="AK383" s="44">
        <v>0</v>
      </c>
      <c r="AL383" s="40">
        <f>SUM(AH383:AK383)</f>
        <v>20</v>
      </c>
      <c r="AM383" s="41">
        <f t="shared" si="36"/>
        <v>1</v>
      </c>
      <c r="AN383" s="41">
        <f t="shared" si="38"/>
        <v>1</v>
      </c>
      <c r="AO383" s="25" t="s">
        <v>897</v>
      </c>
      <c r="AP383" s="25" t="str">
        <f>_xlfn.XLOOKUP(F383,'TFS Details'!F:F,'TFS Details'!I:I)</f>
        <v>TechAvatar</v>
      </c>
      <c r="AQ383" s="25" t="str">
        <f>_xlfn.XLOOKUP(AP383,'TFS Details'!I:I,'TFS Details'!AE:AE)</f>
        <v>suraj.sukumaran</v>
      </c>
    </row>
    <row r="384" spans="1:43">
      <c r="A384" s="24" t="str">
        <f>_xlfn.XLOOKUP(F384,'TFS Details'!F:F,'TFS Details'!D:D)</f>
        <v>Skill Inventory</v>
      </c>
      <c r="B384" s="24" t="str">
        <f>_xlfn.XLOOKUP(F384,'TFS Details'!F:F,'TFS Details'!A:A)</f>
        <v>Skill Data Structure Migration -SI/AMS</v>
      </c>
      <c r="C384" s="64">
        <f>_xlfn.XLOOKUP(F384,'TFS Details'!F:F,'TFS Details'!E:E)</f>
        <v>4273057</v>
      </c>
      <c r="D384" s="19" t="s">
        <v>25</v>
      </c>
      <c r="E384" s="81" t="s">
        <v>907</v>
      </c>
      <c r="F384" s="80">
        <v>4273062</v>
      </c>
      <c r="G384" s="18" t="s">
        <v>908</v>
      </c>
      <c r="H384" s="17" t="s">
        <v>909</v>
      </c>
      <c r="J384" s="21" t="s">
        <v>87</v>
      </c>
      <c r="K384" s="17" t="s">
        <v>1</v>
      </c>
      <c r="L384" s="16"/>
      <c r="N384" s="17" t="s">
        <v>182</v>
      </c>
      <c r="O384" s="134">
        <v>1</v>
      </c>
      <c r="P384" s="33">
        <v>1</v>
      </c>
      <c r="Q384" s="176">
        <v>15</v>
      </c>
      <c r="R384" s="176">
        <v>7</v>
      </c>
      <c r="S384" s="176">
        <v>0</v>
      </c>
      <c r="T384" s="176">
        <v>7</v>
      </c>
      <c r="U384" s="33">
        <v>1</v>
      </c>
      <c r="V384" s="33">
        <v>0.9</v>
      </c>
      <c r="W384" s="17" t="s">
        <v>183</v>
      </c>
      <c r="X384" s="17" t="s">
        <v>183</v>
      </c>
      <c r="Y384" s="17" t="s">
        <v>183</v>
      </c>
      <c r="Z384" s="17" t="s">
        <v>183</v>
      </c>
      <c r="AA384" s="176">
        <v>15</v>
      </c>
      <c r="AB384" s="176">
        <v>15</v>
      </c>
      <c r="AC384" s="176">
        <v>0</v>
      </c>
      <c r="AD384" s="176">
        <v>15</v>
      </c>
      <c r="AE384" s="33">
        <v>1</v>
      </c>
      <c r="AF384" s="33">
        <v>1</v>
      </c>
      <c r="AG384" s="25" t="str">
        <f>_xlfn.XLOOKUP(F384,'TFS Details'!F:F,'TFS Details'!H:H)</f>
        <v>PT In Test</v>
      </c>
      <c r="AH384" s="44">
        <v>15</v>
      </c>
      <c r="AI384" s="44">
        <v>0</v>
      </c>
      <c r="AJ384" s="44">
        <v>0</v>
      </c>
      <c r="AK384" s="44">
        <v>0</v>
      </c>
      <c r="AL384" s="40">
        <f t="shared" si="39"/>
        <v>15</v>
      </c>
      <c r="AM384" s="41">
        <f t="shared" si="36"/>
        <v>1</v>
      </c>
      <c r="AN384" s="41">
        <f t="shared" si="38"/>
        <v>1</v>
      </c>
      <c r="AO384" s="25"/>
      <c r="AP384" s="25" t="str">
        <f>_xlfn.XLOOKUP(F384,'TFS Details'!F:F,'TFS Details'!I:I)</f>
        <v>TechAvengers</v>
      </c>
      <c r="AQ384" s="25" t="str">
        <f>_xlfn.XLOOKUP(AP384,'TFS Details'!I:I,'TFS Details'!AE:AE)</f>
        <v>mervinkumar.manickam</v>
      </c>
    </row>
    <row r="385" spans="1:43">
      <c r="A385" s="24" t="str">
        <f>_xlfn.XLOOKUP(F385,'TFS Details'!F:F,'TFS Details'!D:D)</f>
        <v xml:space="preserve">Advisory SA - Song </v>
      </c>
      <c r="B385" s="24" t="str">
        <f>_xlfn.XLOOKUP(F385,'TFS Details'!F:F,'TFS Details'!A:A)</f>
        <v>PLD - Advisory SA Role</v>
      </c>
      <c r="C385" s="64">
        <f>_xlfn.XLOOKUP(F385,'TFS Details'!F:F,'TFS Details'!E:E)</f>
        <v>4386527</v>
      </c>
      <c r="D385" s="19" t="s">
        <v>25</v>
      </c>
      <c r="E385" s="89" t="s">
        <v>910</v>
      </c>
      <c r="F385" s="80">
        <v>4378867</v>
      </c>
      <c r="G385" s="18" t="s">
        <v>909</v>
      </c>
      <c r="H385" s="17" t="s">
        <v>904</v>
      </c>
      <c r="J385" s="21" t="s">
        <v>53</v>
      </c>
      <c r="K385" s="17" t="s">
        <v>1</v>
      </c>
      <c r="L385" s="16"/>
      <c r="N385" s="17" t="s">
        <v>182</v>
      </c>
      <c r="O385" s="134">
        <v>2</v>
      </c>
      <c r="P385" s="33">
        <v>1</v>
      </c>
      <c r="Q385" s="176">
        <v>37</v>
      </c>
      <c r="R385" s="176">
        <v>8</v>
      </c>
      <c r="S385" s="176">
        <v>2</v>
      </c>
      <c r="T385" s="176">
        <v>2</v>
      </c>
      <c r="U385" s="33">
        <v>1</v>
      </c>
      <c r="V385" s="33">
        <v>0.9</v>
      </c>
      <c r="W385" s="17" t="s">
        <v>183</v>
      </c>
      <c r="X385" s="17" t="s">
        <v>183</v>
      </c>
      <c r="Y385" s="17" t="s">
        <v>183</v>
      </c>
      <c r="Z385" s="17" t="s">
        <v>183</v>
      </c>
      <c r="AA385" s="176">
        <v>37</v>
      </c>
      <c r="AB385" s="176">
        <v>12</v>
      </c>
      <c r="AC385" s="176">
        <v>8</v>
      </c>
      <c r="AD385" s="176">
        <v>12</v>
      </c>
      <c r="AE385" s="33">
        <f>AB385/AD385</f>
        <v>1</v>
      </c>
      <c r="AF385" s="33">
        <v>0.9</v>
      </c>
      <c r="AG385" s="25" t="s">
        <v>572</v>
      </c>
      <c r="AH385" s="44">
        <v>12</v>
      </c>
      <c r="AI385" s="44">
        <v>0</v>
      </c>
      <c r="AJ385" s="44">
        <v>0</v>
      </c>
      <c r="AK385" s="44">
        <v>0</v>
      </c>
      <c r="AL385" s="40">
        <f t="shared" si="39"/>
        <v>12</v>
      </c>
      <c r="AM385" s="41">
        <f t="shared" si="36"/>
        <v>1</v>
      </c>
      <c r="AN385" s="41">
        <f t="shared" ref="AN385:AN416" si="40">IF(AH385=0,0,AH385/(SUM(AH385:AJ385)))</f>
        <v>1</v>
      </c>
      <c r="AO385" s="25"/>
      <c r="AP385" s="25" t="str">
        <f>_xlfn.XLOOKUP(F385,'TFS Details'!F:F,'TFS Details'!I:I)</f>
        <v>TechAvengers</v>
      </c>
      <c r="AQ385" s="25" t="str">
        <f>_xlfn.XLOOKUP(AP385,'TFS Details'!I:I,'TFS Details'!AE:AE)</f>
        <v>mervinkumar.manickam</v>
      </c>
    </row>
    <row r="386" spans="1:43">
      <c r="A386" s="24" t="str">
        <f>_xlfn.XLOOKUP(F386,'TFS Details'!F:F,'TFS Details'!D:D)</f>
        <v>Drop 2 - Angular upgrade v19 to v21</v>
      </c>
      <c r="B386" s="24" t="str">
        <f>_xlfn.XLOOKUP(F386,'TFS Details'!F:F,'TFS Details'!A:A)</f>
        <v>Angular upgrade version 19 to version 21 - 28th March</v>
      </c>
      <c r="C386" s="64">
        <f>_xlfn.XLOOKUP(F386,'TFS Details'!F:F,'TFS Details'!E:E)</f>
        <v>4358702</v>
      </c>
      <c r="D386" s="19" t="s">
        <v>25</v>
      </c>
      <c r="E386" s="81" t="s">
        <v>911</v>
      </c>
      <c r="F386" s="80">
        <v>4358746</v>
      </c>
      <c r="G386" s="18" t="s">
        <v>905</v>
      </c>
      <c r="H386" s="17" t="s">
        <v>909</v>
      </c>
      <c r="K386" s="97" t="s">
        <v>18</v>
      </c>
      <c r="L386" s="16" t="s">
        <v>912</v>
      </c>
      <c r="M386" s="16" t="s">
        <v>64</v>
      </c>
      <c r="N386" s="17"/>
      <c r="O386" s="134"/>
      <c r="Q386" s="176"/>
      <c r="R386" s="176"/>
      <c r="S386" s="176"/>
      <c r="T386" s="176"/>
      <c r="W386" s="17" t="s">
        <v>183</v>
      </c>
      <c r="X386" s="17" t="s">
        <v>183</v>
      </c>
      <c r="Y386" s="17" t="s">
        <v>183</v>
      </c>
      <c r="Z386" s="17" t="s">
        <v>201</v>
      </c>
      <c r="AA386" s="176">
        <v>10</v>
      </c>
      <c r="AB386" s="176">
        <v>3</v>
      </c>
      <c r="AC386" s="176">
        <v>5</v>
      </c>
      <c r="AD386" s="176">
        <v>2</v>
      </c>
      <c r="AE386" s="33">
        <v>0.4</v>
      </c>
      <c r="AF386" s="33">
        <v>0.2</v>
      </c>
      <c r="AG386" s="25" t="str">
        <f>_xlfn.XLOOKUP(F386,'TFS Details'!F:F,'TFS Details'!H:H)</f>
        <v>PT In Test</v>
      </c>
      <c r="AH386" s="44">
        <v>1</v>
      </c>
      <c r="AI386" s="44">
        <v>1</v>
      </c>
      <c r="AJ386" s="44">
        <v>0</v>
      </c>
      <c r="AK386" s="44">
        <v>0</v>
      </c>
      <c r="AL386" s="40">
        <f t="shared" si="39"/>
        <v>2</v>
      </c>
      <c r="AM386" s="41">
        <f t="shared" si="36"/>
        <v>1</v>
      </c>
      <c r="AN386" s="41">
        <f t="shared" si="40"/>
        <v>0.5</v>
      </c>
      <c r="AO386" s="25" t="s">
        <v>913</v>
      </c>
      <c r="AP386" s="25" t="str">
        <f>_xlfn.XLOOKUP(F386,'TFS Details'!F:F,'TFS Details'!I:I)</f>
        <v>MYISP_Revamp_UI</v>
      </c>
      <c r="AQ386" s="25" t="str">
        <f>_xlfn.XLOOKUP(AP386,'TFS Details'!I:I,'TFS Details'!AE:AE)</f>
        <v>vikrant.r.mohite</v>
      </c>
    </row>
    <row r="387" spans="1:43">
      <c r="A387" s="24" t="str">
        <f>_xlfn.XLOOKUP(F387,'TFS Details'!F:F,'TFS Details'!D:D)</f>
        <v>Value Shaping</v>
      </c>
      <c r="B387" s="24" t="str">
        <f>_xlfn.XLOOKUP(F387,'TFS Details'!F:F,'TFS Details'!A:A)</f>
        <v>Value Shaping –Enhancements</v>
      </c>
      <c r="C387" s="64">
        <f>_xlfn.XLOOKUP(F387,'TFS Details'!F:F,'TFS Details'!E:E)</f>
        <v>4330994</v>
      </c>
      <c r="D387" s="19" t="s">
        <v>25</v>
      </c>
      <c r="E387" s="81" t="s">
        <v>914</v>
      </c>
      <c r="F387" s="80">
        <v>4364545</v>
      </c>
      <c r="G387" s="18" t="s">
        <v>909</v>
      </c>
      <c r="H387" s="17" t="s">
        <v>899</v>
      </c>
      <c r="J387" s="21" t="s">
        <v>53</v>
      </c>
      <c r="K387" s="17" t="s">
        <v>1</v>
      </c>
      <c r="L387" s="16"/>
      <c r="N387" s="17" t="s">
        <v>182</v>
      </c>
      <c r="O387" s="134">
        <v>2</v>
      </c>
      <c r="P387" s="33">
        <v>1</v>
      </c>
      <c r="Q387" s="176">
        <v>19</v>
      </c>
      <c r="R387" s="176">
        <v>7</v>
      </c>
      <c r="S387" s="176">
        <v>2</v>
      </c>
      <c r="T387" s="176">
        <v>2</v>
      </c>
      <c r="U387" s="33">
        <v>1</v>
      </c>
      <c r="V387" s="33">
        <v>0.9</v>
      </c>
      <c r="W387" s="17" t="s">
        <v>183</v>
      </c>
      <c r="X387" s="17" t="s">
        <v>183</v>
      </c>
      <c r="Y387" s="17" t="s">
        <v>183</v>
      </c>
      <c r="Z387" s="17" t="s">
        <v>183</v>
      </c>
      <c r="AA387" s="176">
        <v>40</v>
      </c>
      <c r="AB387" s="176">
        <v>12</v>
      </c>
      <c r="AC387" s="176">
        <v>8</v>
      </c>
      <c r="AD387" s="176">
        <v>12</v>
      </c>
      <c r="AE387" s="33">
        <f>AB387/AD387</f>
        <v>1</v>
      </c>
      <c r="AF387" s="33">
        <v>0.9</v>
      </c>
      <c r="AG387" s="25" t="str">
        <f>_xlfn.XLOOKUP(F387,'TFS Details'!F:F,'TFS Details'!H:H)</f>
        <v>UAT In Test</v>
      </c>
      <c r="AH387" s="44">
        <v>12</v>
      </c>
      <c r="AI387" s="44">
        <v>0</v>
      </c>
      <c r="AJ387" s="44">
        <v>0</v>
      </c>
      <c r="AK387" s="44">
        <v>0</v>
      </c>
      <c r="AL387" s="40">
        <f t="shared" si="39"/>
        <v>12</v>
      </c>
      <c r="AM387" s="41">
        <f t="shared" si="36"/>
        <v>1</v>
      </c>
      <c r="AN387" s="41">
        <f t="shared" si="40"/>
        <v>1</v>
      </c>
      <c r="AO387" s="25" t="s">
        <v>915</v>
      </c>
      <c r="AP387" s="25" t="str">
        <f>_xlfn.XLOOKUP(F387,'TFS Details'!F:F,'TFS Details'!I:I)</f>
        <v>TechAvengers</v>
      </c>
      <c r="AQ387" s="25" t="str">
        <f>_xlfn.XLOOKUP(AP387,'TFS Details'!I:I,'TFS Details'!AE:AE)</f>
        <v>mervinkumar.manickam</v>
      </c>
    </row>
    <row r="388" spans="1:43">
      <c r="A388" s="24" t="str">
        <f>_xlfn.XLOOKUP(F388,'TFS Details'!F:F,'TFS Details'!D:D)</f>
        <v>AEP-myISP</v>
      </c>
      <c r="B388" s="24" t="str">
        <f>_xlfn.XLOOKUP(F388,'TFS Details'!F:F,'TFS Details'!A:A)</f>
        <v>Enhance AEP refresh feature to handle use cases where SA updates DNP, Pricing, other screens on myISP end</v>
      </c>
      <c r="C388" s="64">
        <f>_xlfn.XLOOKUP(F388,'TFS Details'!F:F,'TFS Details'!E:E)</f>
        <v>4139936</v>
      </c>
      <c r="D388" s="19" t="s">
        <v>25</v>
      </c>
      <c r="E388" s="89" t="s">
        <v>916</v>
      </c>
      <c r="F388" s="80">
        <v>4173931</v>
      </c>
      <c r="G388" s="18" t="s">
        <v>900</v>
      </c>
      <c r="H388" s="17" t="s">
        <v>899</v>
      </c>
      <c r="K388" s="97" t="s">
        <v>18</v>
      </c>
      <c r="L388" s="16" t="s">
        <v>917</v>
      </c>
      <c r="M388" s="16" t="s">
        <v>918</v>
      </c>
      <c r="N388" s="17"/>
      <c r="O388" s="134"/>
      <c r="Q388" s="176"/>
      <c r="R388" s="176"/>
      <c r="S388" s="176"/>
      <c r="T388" s="176"/>
      <c r="W388" s="17" t="s">
        <v>183</v>
      </c>
      <c r="X388" s="17" t="s">
        <v>183</v>
      </c>
      <c r="Y388" s="17" t="s">
        <v>183</v>
      </c>
      <c r="Z388" s="17" t="s">
        <v>183</v>
      </c>
      <c r="AA388" s="176">
        <v>18</v>
      </c>
      <c r="AB388" s="176">
        <v>6</v>
      </c>
      <c r="AC388" s="176">
        <v>7</v>
      </c>
      <c r="AD388" s="176">
        <v>7</v>
      </c>
      <c r="AE388" s="33">
        <v>0.6</v>
      </c>
      <c r="AF388" s="33">
        <v>0.5</v>
      </c>
      <c r="AG388" s="25" t="str">
        <f>_xlfn.XLOOKUP(F388,'TFS Details'!F:F,'TFS Details'!H:H)</f>
        <v>UAT In Test</v>
      </c>
      <c r="AH388" s="44">
        <v>7</v>
      </c>
      <c r="AI388" s="44">
        <v>0</v>
      </c>
      <c r="AJ388" s="44">
        <v>0</v>
      </c>
      <c r="AK388" s="44">
        <v>0</v>
      </c>
      <c r="AL388" s="40">
        <f t="shared" si="39"/>
        <v>7</v>
      </c>
      <c r="AM388" s="41">
        <f t="shared" si="36"/>
        <v>1</v>
      </c>
      <c r="AN388" s="41">
        <f t="shared" si="40"/>
        <v>1</v>
      </c>
      <c r="AO388" s="25"/>
      <c r="AP388" s="25" t="str">
        <f>_xlfn.XLOOKUP(F388,'TFS Details'!F:F,'TFS Details'!I:I)</f>
        <v>DevStormers</v>
      </c>
      <c r="AQ388" s="25" t="str">
        <f>_xlfn.XLOOKUP(AP388,'TFS Details'!I:I,'TFS Details'!AE:AE)</f>
        <v>mervinkumar.manickam</v>
      </c>
    </row>
    <row r="389" spans="1:43">
      <c r="A389" s="24" t="str">
        <f>_xlfn.XLOOKUP(F389,'TFS Details'!F:F,'TFS Details'!D:D)</f>
        <v>Online SI</v>
      </c>
      <c r="B389" s="24" t="str">
        <f>_xlfn.XLOOKUP(F389,'TFS Details'!F:F,'TFS Details'!A:A)</f>
        <v>Disable the automatic staffing</v>
      </c>
      <c r="C389" s="64">
        <f>_xlfn.XLOOKUP(F389,'TFS Details'!F:F,'TFS Details'!E:E)</f>
        <v>4354186</v>
      </c>
      <c r="D389" s="19" t="s">
        <v>25</v>
      </c>
      <c r="E389" s="81" t="s">
        <v>919</v>
      </c>
      <c r="F389" s="80">
        <v>4354180</v>
      </c>
      <c r="G389" s="18" t="s">
        <v>905</v>
      </c>
      <c r="H389" s="17" t="s">
        <v>904</v>
      </c>
      <c r="J389" s="21" t="s">
        <v>111</v>
      </c>
      <c r="K389" s="17" t="s">
        <v>1</v>
      </c>
      <c r="L389" s="16"/>
      <c r="N389" s="17" t="s">
        <v>182</v>
      </c>
      <c r="O389" s="134">
        <v>1</v>
      </c>
      <c r="P389" s="33">
        <v>1</v>
      </c>
      <c r="Q389" s="176">
        <v>12</v>
      </c>
      <c r="R389" s="176">
        <v>1</v>
      </c>
      <c r="S389" s="176">
        <v>2</v>
      </c>
      <c r="T389" s="176">
        <v>1</v>
      </c>
      <c r="U389" s="33">
        <v>0.4</v>
      </c>
      <c r="V389" s="33">
        <v>0.5</v>
      </c>
      <c r="W389" s="17" t="s">
        <v>183</v>
      </c>
      <c r="X389" s="17" t="s">
        <v>183</v>
      </c>
      <c r="Y389" s="17" t="s">
        <v>183</v>
      </c>
      <c r="Z389" s="17" t="s">
        <v>183</v>
      </c>
      <c r="AA389" s="176">
        <v>28</v>
      </c>
      <c r="AB389" s="176">
        <v>7</v>
      </c>
      <c r="AC389" s="176">
        <v>4</v>
      </c>
      <c r="AD389" s="176">
        <v>4</v>
      </c>
      <c r="AE389" s="33">
        <v>0.55000000000000004</v>
      </c>
      <c r="AF389" s="33">
        <v>0.5</v>
      </c>
      <c r="AG389" s="25" t="str">
        <f>_xlfn.XLOOKUP(F389,'TFS Details'!F:F,'TFS Details'!H:H)</f>
        <v>PT In Test</v>
      </c>
      <c r="AH389" s="44">
        <v>4</v>
      </c>
      <c r="AI389" s="44">
        <v>0</v>
      </c>
      <c r="AJ389" s="44">
        <v>0</v>
      </c>
      <c r="AK389" s="44">
        <v>0</v>
      </c>
      <c r="AL389" s="40">
        <f t="shared" si="39"/>
        <v>4</v>
      </c>
      <c r="AM389" s="41">
        <f t="shared" ref="AM389:AM452" si="41">IF(AH389+AI389=0,0,SUM(AH389:AI389)/AL389)</f>
        <v>1</v>
      </c>
      <c r="AN389" s="41">
        <f t="shared" si="40"/>
        <v>1</v>
      </c>
      <c r="AO389" s="25"/>
      <c r="AP389" s="25" t="str">
        <f>_xlfn.XLOOKUP(F389,'TFS Details'!F:F,'TFS Details'!I:I)</f>
        <v>TechAvengers</v>
      </c>
      <c r="AQ389" s="25" t="str">
        <f>_xlfn.XLOOKUP(AP389,'TFS Details'!I:I,'TFS Details'!AE:AE)</f>
        <v>mervinkumar.manickam</v>
      </c>
    </row>
    <row r="390" spans="1:43">
      <c r="A390" s="24" t="str">
        <f>_xlfn.XLOOKUP(F390,'TFS Details'!F:F,'TFS Details'!D:D)</f>
        <v>PCW</v>
      </c>
      <c r="B390" s="24" t="str">
        <f>_xlfn.XLOOKUP(F390,'TFS Details'!F:F,'TFS Details'!A:A)</f>
        <v>Billable Expenses Method as % of Price inclusion in JSON in Lower environment</v>
      </c>
      <c r="C390" s="64">
        <f>_xlfn.XLOOKUP(F390,'TFS Details'!F:F,'TFS Details'!E:E)</f>
        <v>4318937</v>
      </c>
      <c r="D390" s="19" t="s">
        <v>25</v>
      </c>
      <c r="E390" s="81" t="s">
        <v>920</v>
      </c>
      <c r="F390" s="80">
        <v>4319762</v>
      </c>
      <c r="G390" s="18" t="s">
        <v>899</v>
      </c>
      <c r="H390" s="17" t="s">
        <v>900</v>
      </c>
      <c r="K390" s="97" t="s">
        <v>18</v>
      </c>
      <c r="L390" s="16" t="s">
        <v>901</v>
      </c>
      <c r="M390" s="16" t="s">
        <v>902</v>
      </c>
      <c r="N390" s="17"/>
      <c r="O390" s="134"/>
      <c r="Q390" s="176"/>
      <c r="R390" s="176"/>
      <c r="S390" s="176"/>
      <c r="T390" s="176"/>
      <c r="W390" s="17" t="s">
        <v>183</v>
      </c>
      <c r="X390" s="17" t="s">
        <v>183</v>
      </c>
      <c r="Y390" s="17" t="s">
        <v>183</v>
      </c>
      <c r="Z390" s="17" t="s">
        <v>183</v>
      </c>
      <c r="AA390" s="176">
        <v>8</v>
      </c>
      <c r="AB390" s="176">
        <v>2</v>
      </c>
      <c r="AC390" s="176">
        <v>1</v>
      </c>
      <c r="AD390" s="176">
        <v>3</v>
      </c>
      <c r="AE390" s="33">
        <v>0.9</v>
      </c>
      <c r="AF390" s="33">
        <v>0.9</v>
      </c>
      <c r="AG390" s="25" t="str">
        <f>_xlfn.XLOOKUP(F390,'TFS Details'!F:F,'TFS Details'!H:H)</f>
        <v>UAT In Test</v>
      </c>
      <c r="AH390" s="44">
        <v>3</v>
      </c>
      <c r="AI390" s="44">
        <v>0</v>
      </c>
      <c r="AJ390" s="44">
        <v>0</v>
      </c>
      <c r="AK390" s="44">
        <v>0</v>
      </c>
      <c r="AL390" s="40">
        <f t="shared" si="39"/>
        <v>3</v>
      </c>
      <c r="AM390" s="41">
        <f t="shared" si="41"/>
        <v>1</v>
      </c>
      <c r="AN390" s="41">
        <f t="shared" si="40"/>
        <v>1</v>
      </c>
      <c r="AO390" s="25" t="s">
        <v>780</v>
      </c>
      <c r="AP390" s="25" t="str">
        <f>_xlfn.XLOOKUP(F390,'TFS Details'!F:F,'TFS Details'!I:I)</f>
        <v>TechAvatar</v>
      </c>
      <c r="AQ390" s="25" t="str">
        <f>_xlfn.XLOOKUP(AP390,'TFS Details'!I:I,'TFS Details'!AE:AE)</f>
        <v>suraj.sukumaran</v>
      </c>
    </row>
    <row r="391" spans="1:43">
      <c r="A391" s="24" t="str">
        <f>_xlfn.XLOOKUP(F391,'TFS Details'!F:F,'TFS Details'!D:D)</f>
        <v xml:space="preserve">AMS Solution Configuration Agent </v>
      </c>
      <c r="B391" s="24" t="str">
        <f>_xlfn.XLOOKUP(F391,'TFS Details'!F:F,'TFS Details'!A:A)</f>
        <v>AMS SCA MVP2 March 28th Release Scope</v>
      </c>
      <c r="C391" s="64">
        <f>_xlfn.XLOOKUP(F391,'TFS Details'!F:F,'TFS Details'!E:E)</f>
        <v>4318876</v>
      </c>
      <c r="D391" s="17" t="s">
        <v>46</v>
      </c>
      <c r="E391" s="258" t="s">
        <v>921</v>
      </c>
      <c r="F391" s="117">
        <v>4330638</v>
      </c>
      <c r="G391" s="17" t="s">
        <v>922</v>
      </c>
      <c r="K391" s="171" t="s">
        <v>18</v>
      </c>
      <c r="L391" s="16" t="s">
        <v>923</v>
      </c>
      <c r="M391" s="16" t="s">
        <v>21</v>
      </c>
      <c r="N391" s="17"/>
      <c r="O391" s="134"/>
      <c r="Q391" s="176"/>
      <c r="R391" s="176"/>
      <c r="S391" s="176"/>
      <c r="T391" s="176"/>
      <c r="W391" s="17" t="s">
        <v>183</v>
      </c>
      <c r="X391" s="17" t="s">
        <v>183</v>
      </c>
      <c r="Y391" s="17" t="s">
        <v>183</v>
      </c>
      <c r="Z391" s="17" t="s">
        <v>183</v>
      </c>
      <c r="AA391" s="176">
        <v>30</v>
      </c>
      <c r="AB391" s="176">
        <v>3</v>
      </c>
      <c r="AC391" s="176">
        <v>19</v>
      </c>
      <c r="AD391" s="176">
        <f>AB391 + AC391</f>
        <v>22</v>
      </c>
      <c r="AE391" s="33">
        <v>0.1</v>
      </c>
      <c r="AF391" s="33">
        <v>0.2</v>
      </c>
      <c r="AG391" s="25" t="str">
        <f>_xlfn.XLOOKUP(F391,'TFS Details'!F:F,'TFS Details'!H:H)</f>
        <v>UAT In Test</v>
      </c>
      <c r="AH391" s="168">
        <v>22</v>
      </c>
      <c r="AI391" s="168">
        <v>0</v>
      </c>
      <c r="AJ391" s="168">
        <v>0</v>
      </c>
      <c r="AK391" s="168">
        <v>0</v>
      </c>
      <c r="AL391" s="40">
        <f t="shared" si="39"/>
        <v>22</v>
      </c>
      <c r="AM391" s="41">
        <f t="shared" si="41"/>
        <v>1</v>
      </c>
      <c r="AN391" s="41">
        <f t="shared" si="40"/>
        <v>1</v>
      </c>
      <c r="AO391" s="126"/>
      <c r="AP391" s="25" t="str">
        <f>_xlfn.XLOOKUP(F391,'TFS Details'!F:F,'TFS Details'!I:I)</f>
        <v>agentcrafters</v>
      </c>
      <c r="AQ391" s="25" t="str">
        <f>_xlfn.XLOOKUP(AP391,'TFS Details'!I:I,'TFS Details'!AE:AE)</f>
        <v>shwetha.shriyan</v>
      </c>
    </row>
    <row r="392" spans="1:43">
      <c r="A392" s="24" t="str">
        <f>_xlfn.XLOOKUP(F392,'TFS Details'!F:F,'TFS Details'!D:D)</f>
        <v xml:space="preserve">AMS Solution Configuration Agent </v>
      </c>
      <c r="B392" s="24" t="str">
        <f>_xlfn.XLOOKUP(F392,'TFS Details'!F:F,'TFS Details'!A:A)</f>
        <v>AMS SCA MVP2 March 28th Release Scope</v>
      </c>
      <c r="C392" s="64">
        <f>_xlfn.XLOOKUP(F392,'TFS Details'!F:F,'TFS Details'!E:E)</f>
        <v>4318876</v>
      </c>
      <c r="D392" s="17" t="s">
        <v>46</v>
      </c>
      <c r="E392" s="132" t="s">
        <v>924</v>
      </c>
      <c r="F392" s="135">
        <v>4361594</v>
      </c>
      <c r="G392" s="17" t="s">
        <v>925</v>
      </c>
      <c r="K392" s="171" t="s">
        <v>18</v>
      </c>
      <c r="L392" s="16" t="s">
        <v>923</v>
      </c>
      <c r="M392" s="16" t="s">
        <v>21</v>
      </c>
      <c r="N392" s="17"/>
      <c r="O392" s="134"/>
      <c r="Q392" s="176"/>
      <c r="R392" s="176"/>
      <c r="S392" s="176"/>
      <c r="T392" s="176"/>
      <c r="W392" s="17" t="s">
        <v>183</v>
      </c>
      <c r="X392" s="17" t="s">
        <v>183</v>
      </c>
      <c r="Y392" s="17" t="s">
        <v>183</v>
      </c>
      <c r="Z392" s="17" t="s">
        <v>183</v>
      </c>
      <c r="AA392" s="176">
        <v>20</v>
      </c>
      <c r="AB392" s="176">
        <v>5</v>
      </c>
      <c r="AC392" s="176">
        <v>6</v>
      </c>
      <c r="AD392" s="176">
        <v>6</v>
      </c>
      <c r="AE392" s="33">
        <v>0.8</v>
      </c>
      <c r="AF392" s="33">
        <v>0.9</v>
      </c>
      <c r="AG392" s="25" t="str">
        <f>_xlfn.XLOOKUP(F392,'TFS Details'!F:F,'TFS Details'!H:H)</f>
        <v>UAT In Test</v>
      </c>
      <c r="AH392" s="168">
        <v>6</v>
      </c>
      <c r="AI392" s="168">
        <v>0</v>
      </c>
      <c r="AJ392" s="168">
        <v>0</v>
      </c>
      <c r="AK392" s="168">
        <v>0</v>
      </c>
      <c r="AL392" s="40">
        <f>SUM(AH392:AK392)</f>
        <v>6</v>
      </c>
      <c r="AM392" s="41">
        <f t="shared" si="41"/>
        <v>1</v>
      </c>
      <c r="AN392" s="41">
        <f t="shared" si="40"/>
        <v>1</v>
      </c>
      <c r="AO392" s="25" t="s">
        <v>926</v>
      </c>
      <c r="AP392" s="25" t="str">
        <f>_xlfn.XLOOKUP(F392,'TFS Details'!F:F,'TFS Details'!I:I)</f>
        <v>agentcrafters</v>
      </c>
      <c r="AQ392" s="25" t="str">
        <f>_xlfn.XLOOKUP(AP392,'TFS Details'!I:I,'TFS Details'!AE:AE)</f>
        <v>shwetha.shriyan</v>
      </c>
    </row>
    <row r="393" spans="1:43">
      <c r="A393" s="24" t="str">
        <f>_xlfn.XLOOKUP(F393,'TFS Details'!F:F,'TFS Details'!D:D)</f>
        <v xml:space="preserve">AMS Solution Configuration Agent </v>
      </c>
      <c r="B393" s="24" t="str">
        <f>_xlfn.XLOOKUP(F393,'TFS Details'!F:F,'TFS Details'!A:A)</f>
        <v>AMS SCA MVP2 March 28th Release Scope</v>
      </c>
      <c r="C393" s="64">
        <f>_xlfn.XLOOKUP(F393,'TFS Details'!F:F,'TFS Details'!E:E)</f>
        <v>4318876</v>
      </c>
      <c r="D393" s="17" t="s">
        <v>46</v>
      </c>
      <c r="E393" s="132" t="s">
        <v>927</v>
      </c>
      <c r="F393" s="135">
        <v>4381785</v>
      </c>
      <c r="G393" s="17" t="s">
        <v>925</v>
      </c>
      <c r="K393" s="171" t="s">
        <v>18</v>
      </c>
      <c r="L393" s="16" t="s">
        <v>923</v>
      </c>
      <c r="M393" s="16" t="s">
        <v>21</v>
      </c>
      <c r="N393" s="17"/>
      <c r="O393" s="134"/>
      <c r="Q393" s="176"/>
      <c r="R393" s="176"/>
      <c r="S393" s="176"/>
      <c r="T393" s="176"/>
      <c r="W393" s="17" t="s">
        <v>183</v>
      </c>
      <c r="X393" s="17" t="s">
        <v>183</v>
      </c>
      <c r="Y393" s="17" t="s">
        <v>183</v>
      </c>
      <c r="Z393" s="17" t="s">
        <v>183</v>
      </c>
      <c r="AA393" s="176">
        <v>4</v>
      </c>
      <c r="AB393" s="176">
        <v>3</v>
      </c>
      <c r="AC393" s="176">
        <v>5</v>
      </c>
      <c r="AD393" s="176">
        <v>8</v>
      </c>
      <c r="AE393" s="33">
        <v>0.75</v>
      </c>
      <c r="AF393" s="33">
        <v>0.75</v>
      </c>
      <c r="AG393" s="25" t="str">
        <f>_xlfn.XLOOKUP(F393,'TFS Details'!F:F,'TFS Details'!H:H)</f>
        <v>UAT In Test</v>
      </c>
      <c r="AH393" s="168">
        <v>8</v>
      </c>
      <c r="AI393" s="168">
        <v>0</v>
      </c>
      <c r="AJ393" s="168">
        <v>0</v>
      </c>
      <c r="AK393" s="168">
        <v>0</v>
      </c>
      <c r="AL393" s="40">
        <f t="shared" si="39"/>
        <v>8</v>
      </c>
      <c r="AM393" s="41">
        <f t="shared" si="41"/>
        <v>1</v>
      </c>
      <c r="AN393" s="41">
        <f t="shared" si="40"/>
        <v>1</v>
      </c>
      <c r="AO393" s="25"/>
      <c r="AP393" s="25" t="str">
        <f>_xlfn.XLOOKUP(F393,'TFS Details'!F:F,'TFS Details'!I:I)</f>
        <v>agentcrafters</v>
      </c>
      <c r="AQ393" s="25" t="str">
        <f>_xlfn.XLOOKUP(AP393,'TFS Details'!I:I,'TFS Details'!AE:AE)</f>
        <v>shwetha.shriyan</v>
      </c>
    </row>
    <row r="394" spans="1:43">
      <c r="A394" s="24" t="str">
        <f>_xlfn.XLOOKUP(F394,'TFS Details'!F:F,'TFS Details'!D:D)</f>
        <v xml:space="preserve">AMS Solution Configuration Agent </v>
      </c>
      <c r="B394" s="24" t="str">
        <f>_xlfn.XLOOKUP(F394,'TFS Details'!F:F,'TFS Details'!A:A)</f>
        <v>AMS SCA MVP2 March 28th Release Scope</v>
      </c>
      <c r="C394" s="64">
        <f>_xlfn.XLOOKUP(F394,'TFS Details'!F:F,'TFS Details'!E:E)</f>
        <v>4318876</v>
      </c>
      <c r="D394" s="17" t="s">
        <v>46</v>
      </c>
      <c r="E394" s="132" t="s">
        <v>928</v>
      </c>
      <c r="F394" s="135">
        <v>4385949</v>
      </c>
      <c r="G394" s="17" t="s">
        <v>929</v>
      </c>
      <c r="K394" s="171" t="s">
        <v>18</v>
      </c>
      <c r="L394" s="16" t="s">
        <v>923</v>
      </c>
      <c r="M394" s="16" t="s">
        <v>21</v>
      </c>
      <c r="N394" s="17"/>
      <c r="O394" s="134"/>
      <c r="Q394" s="176"/>
      <c r="R394" s="176"/>
      <c r="S394" s="176"/>
      <c r="T394" s="176"/>
      <c r="W394" s="17" t="s">
        <v>183</v>
      </c>
      <c r="X394" s="17" t="s">
        <v>183</v>
      </c>
      <c r="Y394" s="17" t="s">
        <v>183</v>
      </c>
      <c r="Z394" s="17" t="s">
        <v>183</v>
      </c>
      <c r="AA394" s="176">
        <v>20</v>
      </c>
      <c r="AB394" s="176">
        <v>4</v>
      </c>
      <c r="AC394" s="176">
        <v>5</v>
      </c>
      <c r="AD394" s="176">
        <v>6</v>
      </c>
      <c r="AE394" s="33">
        <v>0.9</v>
      </c>
      <c r="AF394" s="33">
        <v>0.8</v>
      </c>
      <c r="AG394" s="25" t="str">
        <f>_xlfn.XLOOKUP(F394,'TFS Details'!F:F,'TFS Details'!H:H)</f>
        <v>UAT In Test</v>
      </c>
      <c r="AH394" s="168">
        <v>6</v>
      </c>
      <c r="AI394" s="168">
        <v>0</v>
      </c>
      <c r="AJ394" s="168">
        <v>0</v>
      </c>
      <c r="AK394" s="168">
        <v>0</v>
      </c>
      <c r="AL394" s="40">
        <f t="shared" si="39"/>
        <v>6</v>
      </c>
      <c r="AM394" s="41">
        <f t="shared" si="41"/>
        <v>1</v>
      </c>
      <c r="AN394" s="41">
        <f t="shared" si="40"/>
        <v>1</v>
      </c>
      <c r="AO394" s="25"/>
      <c r="AP394" s="25" t="str">
        <f>_xlfn.XLOOKUP(F394,'TFS Details'!F:F,'TFS Details'!I:I)</f>
        <v>agentcrafters</v>
      </c>
      <c r="AQ394" s="25" t="str">
        <f>_xlfn.XLOOKUP(AP394,'TFS Details'!I:I,'TFS Details'!AE:AE)</f>
        <v>shwetha.shriyan</v>
      </c>
    </row>
    <row r="395" spans="1:43">
      <c r="A395" s="24" t="str">
        <f>_xlfn.XLOOKUP(F395,'TFS Details'!F:F,'TFS Details'!D:D)</f>
        <v>AMS Refactoring Scope</v>
      </c>
      <c r="B395" s="24" t="str">
        <f>_xlfn.XLOOKUP(F395,'TFS Details'!F:F,'TFS Details'!A:A)</f>
        <v>AMS MVP1 – Refactoring Scope for Mar 28 (Profiles, Groups, Group‑wide Pricing, Other Cost, Planner Agent)</v>
      </c>
      <c r="C395" s="64">
        <f>_xlfn.XLOOKUP(F395,'TFS Details'!F:F,'TFS Details'!E:E)</f>
        <v>4390112</v>
      </c>
      <c r="D395" s="17" t="s">
        <v>46</v>
      </c>
      <c r="E395" s="132" t="s">
        <v>930</v>
      </c>
      <c r="F395" s="135">
        <v>4390250</v>
      </c>
      <c r="G395" s="17" t="s">
        <v>931</v>
      </c>
      <c r="K395" s="171" t="s">
        <v>18</v>
      </c>
      <c r="L395" s="16" t="s">
        <v>923</v>
      </c>
      <c r="M395" s="16" t="s">
        <v>21</v>
      </c>
      <c r="N395" s="17"/>
      <c r="O395" s="134"/>
      <c r="Q395" s="176"/>
      <c r="R395" s="176"/>
      <c r="S395" s="176"/>
      <c r="T395" s="176"/>
      <c r="W395" s="17" t="s">
        <v>183</v>
      </c>
      <c r="X395" s="17" t="s">
        <v>183</v>
      </c>
      <c r="Y395" s="17" t="s">
        <v>183</v>
      </c>
      <c r="Z395" s="17" t="s">
        <v>183</v>
      </c>
      <c r="AA395" s="176">
        <v>20</v>
      </c>
      <c r="AB395" s="176">
        <v>7</v>
      </c>
      <c r="AC395" s="176">
        <v>15</v>
      </c>
      <c r="AD395" s="176">
        <v>22</v>
      </c>
      <c r="AE395" s="33">
        <v>0.31809999999999999</v>
      </c>
      <c r="AF395" s="33">
        <v>0.46</v>
      </c>
      <c r="AG395" s="25" t="str">
        <f>_xlfn.XLOOKUP(F395,'TFS Details'!F:F,'TFS Details'!H:H)</f>
        <v>UAT In Test</v>
      </c>
      <c r="AH395" s="168">
        <v>22</v>
      </c>
      <c r="AI395" s="168">
        <v>0</v>
      </c>
      <c r="AJ395" s="168">
        <v>0</v>
      </c>
      <c r="AK395" s="127">
        <v>0</v>
      </c>
      <c r="AL395" s="40">
        <f t="shared" si="39"/>
        <v>22</v>
      </c>
      <c r="AM395" s="41">
        <f t="shared" si="41"/>
        <v>1</v>
      </c>
      <c r="AN395" s="41">
        <f>IF(AH395=0,0,AH395/(SUM(AH395:AJ395)))</f>
        <v>1</v>
      </c>
      <c r="AO395" s="25"/>
      <c r="AP395" s="25" t="str">
        <f>_xlfn.XLOOKUP(F395,'TFS Details'!F:F,'TFS Details'!I:I)</f>
        <v>agentcrafters</v>
      </c>
      <c r="AQ395" s="25" t="str">
        <f>_xlfn.XLOOKUP(AP395,'TFS Details'!I:I,'TFS Details'!AE:AE)</f>
        <v>shwetha.shriyan</v>
      </c>
    </row>
    <row r="396" spans="1:43">
      <c r="A396" s="24" t="str">
        <f>_xlfn.XLOOKUP(F396,'TFS Details'!F:F,'TFS Details'!D:D)</f>
        <v>AMS Refactoring Scope</v>
      </c>
      <c r="B396" s="24" t="str">
        <f>_xlfn.XLOOKUP(F396,'TFS Details'!F:F,'TFS Details'!A:A)</f>
        <v>AMS MVP1 – Refactoring Scope for Mar 28 (Profiles, Groups, Group‑wide Pricing, Other Cost, Planner Agent)</v>
      </c>
      <c r="C396" s="64">
        <f>_xlfn.XLOOKUP(F396,'TFS Details'!F:F,'TFS Details'!E:E)</f>
        <v>4390112</v>
      </c>
      <c r="D396" s="17" t="s">
        <v>46</v>
      </c>
      <c r="E396" s="132" t="s">
        <v>932</v>
      </c>
      <c r="F396" s="135">
        <v>4390301</v>
      </c>
      <c r="G396" s="17" t="s">
        <v>925</v>
      </c>
      <c r="K396" s="171" t="s">
        <v>18</v>
      </c>
      <c r="L396" s="16" t="s">
        <v>923</v>
      </c>
      <c r="M396" s="16" t="s">
        <v>21</v>
      </c>
      <c r="N396" s="17"/>
      <c r="O396" s="134"/>
      <c r="Q396" s="176"/>
      <c r="R396" s="176"/>
      <c r="S396" s="176"/>
      <c r="T396" s="176"/>
      <c r="W396" s="17" t="s">
        <v>183</v>
      </c>
      <c r="X396" s="17" t="s">
        <v>183</v>
      </c>
      <c r="Y396" s="17" t="s">
        <v>183</v>
      </c>
      <c r="Z396" s="17" t="s">
        <v>201</v>
      </c>
      <c r="AA396" s="176">
        <v>22</v>
      </c>
      <c r="AB396" s="176">
        <v>6</v>
      </c>
      <c r="AC396" s="176">
        <v>7</v>
      </c>
      <c r="AD396" s="176">
        <f>AB396 + AC396</f>
        <v>13</v>
      </c>
      <c r="AE396" s="33">
        <v>0.46150000000000002</v>
      </c>
      <c r="AF396" s="33"/>
      <c r="AG396" s="25" t="str">
        <f>_xlfn.XLOOKUP(F396,'TFS Details'!F:F,'TFS Details'!H:H)</f>
        <v>UAT In Test</v>
      </c>
      <c r="AH396" s="168">
        <v>47</v>
      </c>
      <c r="AI396" s="168">
        <v>0</v>
      </c>
      <c r="AJ396" s="168">
        <v>0</v>
      </c>
      <c r="AK396" s="168">
        <v>0</v>
      </c>
      <c r="AL396" s="40">
        <f>SUM(AH396:AK396)</f>
        <v>47</v>
      </c>
      <c r="AM396" s="41">
        <f t="shared" si="41"/>
        <v>1</v>
      </c>
      <c r="AN396" s="41">
        <f>IF(AH396=0,0,AH396/(SUM(AH396:AJ396)))</f>
        <v>1</v>
      </c>
      <c r="AO396" s="25" t="s">
        <v>933</v>
      </c>
      <c r="AP396" s="25" t="str">
        <f>_xlfn.XLOOKUP(F396,'TFS Details'!F:F,'TFS Details'!I:I)</f>
        <v>agentcrafters</v>
      </c>
      <c r="AQ396" s="25" t="str">
        <f>_xlfn.XLOOKUP(AP396,'TFS Details'!I:I,'TFS Details'!AE:AE)</f>
        <v>shwetha.shriyan</v>
      </c>
    </row>
    <row r="397" spans="1:43">
      <c r="A397" s="24" t="str">
        <f>_xlfn.XLOOKUP(F397,'TFS Details'!F:F,'TFS Details'!D:D)</f>
        <v>AMS Refactoring Scope</v>
      </c>
      <c r="B397" s="24" t="str">
        <f>_xlfn.XLOOKUP(F397,'TFS Details'!F:F,'TFS Details'!A:A)</f>
        <v>AMS MVP1 – Refactoring Scope for Mar 28 (Profiles, Groups, Group‑wide Pricing, Other Cost, Planner Agent)</v>
      </c>
      <c r="C397" s="64">
        <f>_xlfn.XLOOKUP(F397,'TFS Details'!F:F,'TFS Details'!E:E)</f>
        <v>4390112</v>
      </c>
      <c r="D397" s="17" t="s">
        <v>46</v>
      </c>
      <c r="E397" s="132" t="s">
        <v>934</v>
      </c>
      <c r="F397" s="135">
        <v>4390312</v>
      </c>
      <c r="G397" s="17" t="s">
        <v>931</v>
      </c>
      <c r="K397" s="171" t="s">
        <v>18</v>
      </c>
      <c r="L397" s="16" t="s">
        <v>923</v>
      </c>
      <c r="M397" s="16" t="s">
        <v>21</v>
      </c>
      <c r="N397" s="17"/>
      <c r="O397" s="134"/>
      <c r="Q397" s="176"/>
      <c r="R397" s="176"/>
      <c r="S397" s="176"/>
      <c r="T397" s="176"/>
      <c r="W397" s="17" t="s">
        <v>183</v>
      </c>
      <c r="X397" s="17" t="s">
        <v>183</v>
      </c>
      <c r="Y397" s="17" t="s">
        <v>183</v>
      </c>
      <c r="Z397" s="17" t="s">
        <v>183</v>
      </c>
      <c r="AA397" s="176">
        <v>22</v>
      </c>
      <c r="AB397" s="176">
        <v>6</v>
      </c>
      <c r="AC397" s="176">
        <v>7</v>
      </c>
      <c r="AD397" s="176">
        <v>13</v>
      </c>
      <c r="AE397" s="33">
        <v>0.46150000000000002</v>
      </c>
      <c r="AF397" s="33">
        <v>0.57999999999999996</v>
      </c>
      <c r="AG397" s="25" t="str">
        <f>_xlfn.XLOOKUP(F397,'TFS Details'!F:F,'TFS Details'!H:H)</f>
        <v>UAT In Test</v>
      </c>
      <c r="AH397" s="168">
        <v>13</v>
      </c>
      <c r="AI397" s="168">
        <v>0</v>
      </c>
      <c r="AJ397" s="168">
        <v>0</v>
      </c>
      <c r="AK397" s="127">
        <v>0</v>
      </c>
      <c r="AL397" s="40">
        <f t="shared" si="39"/>
        <v>13</v>
      </c>
      <c r="AM397" s="41">
        <f t="shared" si="41"/>
        <v>1</v>
      </c>
      <c r="AN397" s="41">
        <f t="shared" si="40"/>
        <v>1</v>
      </c>
      <c r="AO397" s="25"/>
      <c r="AP397" s="25" t="str">
        <f>_xlfn.XLOOKUP(F397,'TFS Details'!F:F,'TFS Details'!I:I)</f>
        <v>agentcrafters</v>
      </c>
      <c r="AQ397" s="25" t="str">
        <f>_xlfn.XLOOKUP(AP397,'TFS Details'!I:I,'TFS Details'!AE:AE)</f>
        <v>shwetha.shriyan</v>
      </c>
    </row>
    <row r="398" spans="1:43">
      <c r="A398" s="24" t="str">
        <f>_xlfn.XLOOKUP(F398,'TFS Details'!F:F,'TFS Details'!D:D)</f>
        <v>AMS Refactoring Scope</v>
      </c>
      <c r="B398" s="24" t="str">
        <f>_xlfn.XLOOKUP(F398,'TFS Details'!F:F,'TFS Details'!A:A)</f>
        <v>AMS MVP1 – Refactoring Scope for Mar 28 (Profiles, Groups, Group‑wide Pricing, Other Cost, Planner Agent)</v>
      </c>
      <c r="C398" s="64">
        <f>_xlfn.XLOOKUP(F398,'TFS Details'!F:F,'TFS Details'!E:E)</f>
        <v>4390112</v>
      </c>
      <c r="D398" s="17" t="s">
        <v>46</v>
      </c>
      <c r="E398" s="132" t="s">
        <v>935</v>
      </c>
      <c r="F398" s="135">
        <v>4390744</v>
      </c>
      <c r="G398" s="17" t="s">
        <v>922</v>
      </c>
      <c r="K398" s="171" t="s">
        <v>18</v>
      </c>
      <c r="L398" s="16" t="s">
        <v>923</v>
      </c>
      <c r="M398" s="16" t="s">
        <v>21</v>
      </c>
      <c r="N398" s="17"/>
      <c r="O398" s="134"/>
      <c r="Q398" s="176"/>
      <c r="R398" s="176"/>
      <c r="S398" s="176"/>
      <c r="T398" s="176"/>
      <c r="W398" s="17" t="s">
        <v>183</v>
      </c>
      <c r="X398" s="17" t="s">
        <v>183</v>
      </c>
      <c r="Y398" s="17" t="s">
        <v>183</v>
      </c>
      <c r="Z398" s="17" t="s">
        <v>183</v>
      </c>
      <c r="AA398" s="176">
        <v>30</v>
      </c>
      <c r="AB398" s="176">
        <v>6</v>
      </c>
      <c r="AC398" s="176">
        <v>13</v>
      </c>
      <c r="AD398" s="176">
        <f>AB398 + AC398</f>
        <v>19</v>
      </c>
      <c r="AE398" s="33">
        <v>0.45</v>
      </c>
      <c r="AF398" s="33">
        <v>0.75</v>
      </c>
      <c r="AG398" s="25" t="str">
        <f>_xlfn.XLOOKUP(F398,'TFS Details'!F:F,'TFS Details'!H:H)</f>
        <v>UAT In Test</v>
      </c>
      <c r="AH398" s="168">
        <v>19</v>
      </c>
      <c r="AI398" s="168">
        <v>0</v>
      </c>
      <c r="AJ398" s="168">
        <v>0</v>
      </c>
      <c r="AK398" s="168">
        <v>0</v>
      </c>
      <c r="AL398" s="40">
        <f t="shared" si="39"/>
        <v>19</v>
      </c>
      <c r="AM398" s="41">
        <f t="shared" si="41"/>
        <v>1</v>
      </c>
      <c r="AN398" s="41">
        <f t="shared" si="40"/>
        <v>1</v>
      </c>
      <c r="AO398" s="25"/>
      <c r="AP398" s="25" t="str">
        <f>_xlfn.XLOOKUP(F398,'TFS Details'!F:F,'TFS Details'!I:I)</f>
        <v>agentcrafters</v>
      </c>
      <c r="AQ398" s="25" t="str">
        <f>_xlfn.XLOOKUP(AP398,'TFS Details'!I:I,'TFS Details'!AE:AE)</f>
        <v>shwetha.shriyan</v>
      </c>
    </row>
    <row r="399" spans="1:43">
      <c r="A399" s="24" t="str">
        <f>_xlfn.XLOOKUP(F399,'TFS Details'!F:F,'TFS Details'!D:D)</f>
        <v>AMS Refactoring Scope</v>
      </c>
      <c r="B399" s="24" t="str">
        <f>_xlfn.XLOOKUP(F399,'TFS Details'!F:F,'TFS Details'!A:A)</f>
        <v>AMS MVP1 – Refactoring Scope for Mar 28 (Profiles, Groups, Group‑wide Pricing, Other Cost, Planner Agent)</v>
      </c>
      <c r="C399" s="64">
        <f>_xlfn.XLOOKUP(F399,'TFS Details'!F:F,'TFS Details'!E:E)</f>
        <v>4390112</v>
      </c>
      <c r="D399" s="17" t="s">
        <v>46</v>
      </c>
      <c r="E399" s="132" t="s">
        <v>936</v>
      </c>
      <c r="F399" s="135">
        <v>4390789</v>
      </c>
      <c r="G399" s="17" t="s">
        <v>937</v>
      </c>
      <c r="K399" s="171" t="s">
        <v>18</v>
      </c>
      <c r="L399" s="16" t="s">
        <v>923</v>
      </c>
      <c r="M399" s="16" t="s">
        <v>21</v>
      </c>
      <c r="N399" s="17"/>
      <c r="O399" s="134"/>
      <c r="Q399" s="176"/>
      <c r="R399" s="176"/>
      <c r="S399" s="176"/>
      <c r="T399" s="176"/>
      <c r="W399" s="17" t="s">
        <v>183</v>
      </c>
      <c r="X399" s="17" t="s">
        <v>183</v>
      </c>
      <c r="Y399" s="17" t="s">
        <v>183</v>
      </c>
      <c r="Z399" s="17" t="s">
        <v>183</v>
      </c>
      <c r="AA399" s="176">
        <v>39</v>
      </c>
      <c r="AB399" s="176">
        <v>20</v>
      </c>
      <c r="AC399" s="176">
        <v>17</v>
      </c>
      <c r="AD399" s="176">
        <v>37</v>
      </c>
      <c r="AE399" s="33">
        <v>0.61</v>
      </c>
      <c r="AF399" s="33">
        <v>0.51</v>
      </c>
      <c r="AG399" s="25" t="str">
        <f>_xlfn.XLOOKUP(F399,'TFS Details'!F:F,'TFS Details'!H:H)</f>
        <v>UAT In Test</v>
      </c>
      <c r="AH399" s="168">
        <v>23</v>
      </c>
      <c r="AI399" s="168">
        <v>0</v>
      </c>
      <c r="AJ399" s="168">
        <v>0</v>
      </c>
      <c r="AK399" s="168">
        <v>0</v>
      </c>
      <c r="AL399" s="40">
        <f>SUM(AH399:AK399)</f>
        <v>23</v>
      </c>
      <c r="AM399" s="41">
        <f t="shared" si="41"/>
        <v>1</v>
      </c>
      <c r="AN399" s="41">
        <f t="shared" si="40"/>
        <v>1</v>
      </c>
      <c r="AO399" s="25"/>
      <c r="AP399" s="25" t="str">
        <f>_xlfn.XLOOKUP(F399,'TFS Details'!F:F,'TFS Details'!I:I)</f>
        <v>agentcrafters</v>
      </c>
      <c r="AQ399" s="25" t="str">
        <f>_xlfn.XLOOKUP(AP399,'TFS Details'!I:I,'TFS Details'!AE:AE)</f>
        <v>shwetha.shriyan</v>
      </c>
    </row>
    <row r="400" spans="1:43">
      <c r="A400" s="24" t="str">
        <f>_xlfn.XLOOKUP(F400,'TFS Details'!F:F,'TFS Details'!D:D)</f>
        <v xml:space="preserve">AMS Solution Configuration Agent </v>
      </c>
      <c r="B400" s="24" t="str">
        <f>_xlfn.XLOOKUP(F400,'TFS Details'!F:F,'TFS Details'!A:A)</f>
        <v>AMS SCA MVP2 March 28th Release Scope</v>
      </c>
      <c r="C400" s="64">
        <f>_xlfn.XLOOKUP(F400,'TFS Details'!F:F,'TFS Details'!E:E)</f>
        <v>4318876</v>
      </c>
      <c r="D400" s="17" t="s">
        <v>46</v>
      </c>
      <c r="E400" s="203" t="s">
        <v>938</v>
      </c>
      <c r="F400" s="114">
        <v>4351286</v>
      </c>
      <c r="G400" s="17" t="s">
        <v>931</v>
      </c>
      <c r="K400" s="97" t="s">
        <v>18</v>
      </c>
      <c r="L400" s="16" t="s">
        <v>923</v>
      </c>
      <c r="M400" s="16" t="s">
        <v>21</v>
      </c>
      <c r="N400" s="17"/>
      <c r="O400" s="134"/>
      <c r="Q400" s="176"/>
      <c r="R400" s="176"/>
      <c r="S400" s="176"/>
      <c r="T400" s="176"/>
      <c r="W400" s="17" t="s">
        <v>183</v>
      </c>
      <c r="X400" s="17" t="s">
        <v>183</v>
      </c>
      <c r="Y400" s="17" t="s">
        <v>183</v>
      </c>
      <c r="Z400" s="17" t="s">
        <v>183</v>
      </c>
      <c r="AA400" s="176">
        <v>18</v>
      </c>
      <c r="AB400" s="176">
        <v>12</v>
      </c>
      <c r="AC400" s="176">
        <v>10</v>
      </c>
      <c r="AD400" s="176">
        <v>22</v>
      </c>
      <c r="AE400" s="33">
        <v>0.5454</v>
      </c>
      <c r="AF400" s="33">
        <v>0.64</v>
      </c>
      <c r="AG400" s="25" t="str">
        <f>_xlfn.XLOOKUP(F400,'TFS Details'!F:F,'TFS Details'!H:H)</f>
        <v>UAT In Test</v>
      </c>
      <c r="AH400" s="168">
        <v>22</v>
      </c>
      <c r="AI400" s="168">
        <v>0</v>
      </c>
      <c r="AJ400" s="168">
        <v>0</v>
      </c>
      <c r="AK400" s="127">
        <v>0</v>
      </c>
      <c r="AL400" s="40">
        <f t="shared" ref="AL400:AL430" si="42">SUM(AH400:AK400)</f>
        <v>22</v>
      </c>
      <c r="AM400" s="41">
        <f t="shared" si="41"/>
        <v>1</v>
      </c>
      <c r="AN400" s="41">
        <f t="shared" si="40"/>
        <v>1</v>
      </c>
      <c r="AO400" s="25"/>
      <c r="AP400" s="25" t="str">
        <f>_xlfn.XLOOKUP(F400,'TFS Details'!F:F,'TFS Details'!I:I)</f>
        <v>agentcrafters</v>
      </c>
      <c r="AQ400" s="25" t="str">
        <f>_xlfn.XLOOKUP(AP400,'TFS Details'!I:I,'TFS Details'!AE:AE)</f>
        <v>shwetha.shriyan</v>
      </c>
    </row>
    <row r="401" spans="1:43">
      <c r="A401" s="24" t="str">
        <f>_xlfn.XLOOKUP(F401,'TFS Details'!F:F,'TFS Details'!D:D)</f>
        <v xml:space="preserve">AMS Solution Configuration Agent </v>
      </c>
      <c r="B401" s="24" t="str">
        <f>_xlfn.XLOOKUP(F401,'TFS Details'!F:F,'TFS Details'!A:A)</f>
        <v>AMS SCA MVP2 March 28th Release Scope</v>
      </c>
      <c r="C401" s="64">
        <f>_xlfn.XLOOKUP(F401,'TFS Details'!F:F,'TFS Details'!E:E)</f>
        <v>4318876</v>
      </c>
      <c r="D401" s="17" t="s">
        <v>46</v>
      </c>
      <c r="E401" s="73" t="s">
        <v>939</v>
      </c>
      <c r="F401" s="114">
        <v>4351288</v>
      </c>
      <c r="G401" s="17" t="s">
        <v>922</v>
      </c>
      <c r="K401" s="97" t="s">
        <v>18</v>
      </c>
      <c r="L401" s="16" t="s">
        <v>923</v>
      </c>
      <c r="M401" s="16" t="s">
        <v>21</v>
      </c>
      <c r="N401" s="17"/>
      <c r="O401" s="134"/>
      <c r="Q401" s="176"/>
      <c r="R401" s="176"/>
      <c r="S401" s="176"/>
      <c r="T401" s="176"/>
      <c r="W401" s="17" t="s">
        <v>183</v>
      </c>
      <c r="X401" s="17" t="s">
        <v>183</v>
      </c>
      <c r="Y401" s="17" t="s">
        <v>183</v>
      </c>
      <c r="Z401" s="17" t="s">
        <v>183</v>
      </c>
      <c r="AA401" s="176">
        <v>30</v>
      </c>
      <c r="AB401" s="176">
        <v>10</v>
      </c>
      <c r="AC401" s="176">
        <v>19</v>
      </c>
      <c r="AD401" s="176">
        <f>AB401 + AC401</f>
        <v>29</v>
      </c>
      <c r="AE401" s="33">
        <v>0.6</v>
      </c>
      <c r="AF401" s="33">
        <v>0.57999999999999996</v>
      </c>
      <c r="AG401" s="25" t="str">
        <f>_xlfn.XLOOKUP(F401,'TFS Details'!F:F,'TFS Details'!H:H)</f>
        <v>UAT In Test</v>
      </c>
      <c r="AH401" s="168">
        <v>9</v>
      </c>
      <c r="AI401" s="168">
        <v>0</v>
      </c>
      <c r="AJ401" s="168">
        <v>0</v>
      </c>
      <c r="AK401" s="168">
        <v>0</v>
      </c>
      <c r="AL401" s="40">
        <f>SUM(AH401:AK401)</f>
        <v>9</v>
      </c>
      <c r="AM401" s="41">
        <f t="shared" si="41"/>
        <v>1</v>
      </c>
      <c r="AN401" s="41">
        <f t="shared" si="40"/>
        <v>1</v>
      </c>
      <c r="AO401" s="126"/>
      <c r="AP401" s="25" t="str">
        <f>_xlfn.XLOOKUP(F401,'TFS Details'!F:F,'TFS Details'!I:I)</f>
        <v>agentcrafters</v>
      </c>
      <c r="AQ401" s="25" t="str">
        <f>_xlfn.XLOOKUP(AP401,'TFS Details'!I:I,'TFS Details'!AE:AE)</f>
        <v>shwetha.shriyan</v>
      </c>
    </row>
    <row r="402" spans="1:43">
      <c r="A402" s="24" t="str">
        <f>_xlfn.XLOOKUP(F402,'TFS Details'!F:F,'TFS Details'!D:D)</f>
        <v xml:space="preserve">AMS Solution Configuration Agent </v>
      </c>
      <c r="B402" s="24" t="str">
        <f>_xlfn.XLOOKUP(F402,'TFS Details'!F:F,'TFS Details'!A:A)</f>
        <v>AMS SCA MVP2 March 28th Release Scope</v>
      </c>
      <c r="C402" s="64">
        <f>_xlfn.XLOOKUP(F402,'TFS Details'!F:F,'TFS Details'!E:E)</f>
        <v>4318876</v>
      </c>
      <c r="D402" s="17" t="s">
        <v>46</v>
      </c>
      <c r="E402" s="73" t="s">
        <v>940</v>
      </c>
      <c r="F402" s="114">
        <v>4353128</v>
      </c>
      <c r="G402" s="17" t="s">
        <v>925</v>
      </c>
      <c r="K402" s="97" t="s">
        <v>18</v>
      </c>
      <c r="L402" s="16" t="s">
        <v>923</v>
      </c>
      <c r="M402" s="16" t="s">
        <v>21</v>
      </c>
      <c r="N402" s="17"/>
      <c r="O402" s="134"/>
      <c r="Q402" s="176"/>
      <c r="R402" s="176"/>
      <c r="S402" s="176"/>
      <c r="T402" s="176"/>
      <c r="W402" s="17" t="s">
        <v>183</v>
      </c>
      <c r="X402" s="17" t="s">
        <v>183</v>
      </c>
      <c r="Y402" s="17" t="s">
        <v>183</v>
      </c>
      <c r="Z402" s="17" t="s">
        <v>183</v>
      </c>
      <c r="AA402" s="176">
        <v>20</v>
      </c>
      <c r="AB402" s="176">
        <v>6</v>
      </c>
      <c r="AC402" s="176">
        <v>1</v>
      </c>
      <c r="AD402" s="176">
        <v>7</v>
      </c>
      <c r="AE402" s="33">
        <v>0.9</v>
      </c>
      <c r="AF402" s="33">
        <v>0.9</v>
      </c>
      <c r="AG402" s="25" t="str">
        <f>_xlfn.XLOOKUP(F402,'TFS Details'!F:F,'TFS Details'!H:H)</f>
        <v>UAT In Test</v>
      </c>
      <c r="AH402" s="168">
        <v>7</v>
      </c>
      <c r="AI402" s="168">
        <v>0</v>
      </c>
      <c r="AJ402" s="168">
        <v>0</v>
      </c>
      <c r="AK402" s="168">
        <v>0</v>
      </c>
      <c r="AL402" s="40">
        <f t="shared" si="42"/>
        <v>7</v>
      </c>
      <c r="AM402" s="41">
        <f t="shared" si="41"/>
        <v>1</v>
      </c>
      <c r="AN402" s="41">
        <f t="shared" si="40"/>
        <v>1</v>
      </c>
      <c r="AO402" s="126"/>
      <c r="AP402" s="25" t="str">
        <f>_xlfn.XLOOKUP(F402,'TFS Details'!F:F,'TFS Details'!I:I)</f>
        <v>agentcrafters</v>
      </c>
      <c r="AQ402" s="25" t="str">
        <f>_xlfn.XLOOKUP(AP402,'TFS Details'!I:I,'TFS Details'!AE:AE)</f>
        <v>shwetha.shriyan</v>
      </c>
    </row>
    <row r="403" spans="1:43">
      <c r="A403" s="24" t="str">
        <f>_xlfn.XLOOKUP(F403,'TFS Details'!F:F,'TFS Details'!D:D)</f>
        <v xml:space="preserve">AMS Solution Configuration Agent </v>
      </c>
      <c r="B403" s="24" t="str">
        <f>_xlfn.XLOOKUP(F403,'TFS Details'!F:F,'TFS Details'!A:A)</f>
        <v>AMS SCA MVP2 March 28th Release Scope</v>
      </c>
      <c r="C403" s="64">
        <f>_xlfn.XLOOKUP(F403,'TFS Details'!F:F,'TFS Details'!E:E)</f>
        <v>4318876</v>
      </c>
      <c r="D403" s="17" t="s">
        <v>46</v>
      </c>
      <c r="E403" s="73" t="s">
        <v>941</v>
      </c>
      <c r="F403" s="114">
        <v>4354556</v>
      </c>
      <c r="G403" s="17" t="s">
        <v>929</v>
      </c>
      <c r="K403" s="97" t="s">
        <v>18</v>
      </c>
      <c r="L403" s="16" t="s">
        <v>923</v>
      </c>
      <c r="M403" s="16" t="s">
        <v>21</v>
      </c>
      <c r="N403" s="17"/>
      <c r="O403" s="134"/>
      <c r="Q403" s="176"/>
      <c r="R403" s="176"/>
      <c r="S403" s="176"/>
      <c r="T403" s="176"/>
      <c r="W403" s="17" t="s">
        <v>183</v>
      </c>
      <c r="X403" s="17" t="s">
        <v>183</v>
      </c>
      <c r="Y403" s="17" t="s">
        <v>183</v>
      </c>
      <c r="Z403" s="17" t="s">
        <v>183</v>
      </c>
      <c r="AA403" s="176">
        <v>30</v>
      </c>
      <c r="AB403" s="176">
        <v>7</v>
      </c>
      <c r="AC403" s="176">
        <v>14</v>
      </c>
      <c r="AD403" s="176">
        <v>14</v>
      </c>
      <c r="AE403" s="33">
        <v>0.9</v>
      </c>
      <c r="AF403" s="33">
        <v>0.8</v>
      </c>
      <c r="AG403" s="25" t="str">
        <f>_xlfn.XLOOKUP(F403,'TFS Details'!F:F,'TFS Details'!H:H)</f>
        <v>UAT In Test</v>
      </c>
      <c r="AH403" s="168">
        <v>14</v>
      </c>
      <c r="AI403" s="168">
        <v>0</v>
      </c>
      <c r="AJ403" s="168">
        <v>0</v>
      </c>
      <c r="AK403" s="168">
        <v>0</v>
      </c>
      <c r="AL403" s="40">
        <f t="shared" si="42"/>
        <v>14</v>
      </c>
      <c r="AM403" s="41">
        <f t="shared" si="41"/>
        <v>1</v>
      </c>
      <c r="AN403" s="41">
        <f t="shared" si="40"/>
        <v>1</v>
      </c>
      <c r="AO403" s="25"/>
      <c r="AP403" s="25" t="str">
        <f>_xlfn.XLOOKUP(F403,'TFS Details'!F:F,'TFS Details'!I:I)</f>
        <v>agentcrafters</v>
      </c>
      <c r="AQ403" s="25" t="str">
        <f>_xlfn.XLOOKUP(AP403,'TFS Details'!I:I,'TFS Details'!AE:AE)</f>
        <v>shwetha.shriyan</v>
      </c>
    </row>
    <row r="404" spans="1:43">
      <c r="A404" s="24" t="str">
        <f>_xlfn.XLOOKUP(F404,'TFS Details'!F:F,'TFS Details'!D:D)</f>
        <v xml:space="preserve">AMS Solution Configuration Agent </v>
      </c>
      <c r="B404" s="24" t="str">
        <f>_xlfn.XLOOKUP(F404,'TFS Details'!F:F,'TFS Details'!A:A)</f>
        <v>AMS SCA MVP2 March 28th Release Scope</v>
      </c>
      <c r="C404" s="64">
        <f>_xlfn.XLOOKUP(F404,'TFS Details'!F:F,'TFS Details'!E:E)</f>
        <v>4318876</v>
      </c>
      <c r="D404" s="17" t="s">
        <v>46</v>
      </c>
      <c r="E404" s="73" t="s">
        <v>942</v>
      </c>
      <c r="F404" s="114">
        <v>4355494</v>
      </c>
      <c r="G404" s="17" t="s">
        <v>929</v>
      </c>
      <c r="K404" s="97" t="s">
        <v>18</v>
      </c>
      <c r="L404" s="16" t="s">
        <v>923</v>
      </c>
      <c r="M404" s="16" t="s">
        <v>21</v>
      </c>
      <c r="N404" s="17"/>
      <c r="O404" s="134"/>
      <c r="Q404" s="176"/>
      <c r="R404" s="176"/>
      <c r="S404" s="176"/>
      <c r="T404" s="176"/>
      <c r="W404" s="17" t="s">
        <v>183</v>
      </c>
      <c r="X404" s="17" t="s">
        <v>183</v>
      </c>
      <c r="Y404" s="17" t="s">
        <v>183</v>
      </c>
      <c r="Z404" s="17" t="s">
        <v>183</v>
      </c>
      <c r="AA404" s="176">
        <v>30</v>
      </c>
      <c r="AB404" s="176">
        <v>6</v>
      </c>
      <c r="AC404" s="176">
        <v>13</v>
      </c>
      <c r="AD404" s="176">
        <v>13</v>
      </c>
      <c r="AE404" s="33">
        <v>0.8</v>
      </c>
      <c r="AF404" s="33">
        <v>0.7</v>
      </c>
      <c r="AG404" s="25" t="str">
        <f>_xlfn.XLOOKUP(F404,'TFS Details'!F:F,'TFS Details'!H:H)</f>
        <v>UAT In Test</v>
      </c>
      <c r="AH404" s="168">
        <v>13</v>
      </c>
      <c r="AI404" s="168">
        <v>0</v>
      </c>
      <c r="AJ404" s="168">
        <v>0</v>
      </c>
      <c r="AK404" s="168">
        <v>0</v>
      </c>
      <c r="AL404" s="40">
        <f t="shared" si="42"/>
        <v>13</v>
      </c>
      <c r="AM404" s="41">
        <f t="shared" si="41"/>
        <v>1</v>
      </c>
      <c r="AN404" s="41">
        <f t="shared" si="40"/>
        <v>1</v>
      </c>
      <c r="AO404" s="25"/>
      <c r="AP404" s="25" t="str">
        <f>_xlfn.XLOOKUP(F404,'TFS Details'!F:F,'TFS Details'!I:I)</f>
        <v>agentcrafters</v>
      </c>
      <c r="AQ404" s="25" t="str">
        <f>_xlfn.XLOOKUP(AP404,'TFS Details'!I:I,'TFS Details'!AE:AE)</f>
        <v>shwetha.shriyan</v>
      </c>
    </row>
    <row r="405" spans="1:43">
      <c r="A405" s="24" t="str">
        <f>_xlfn.XLOOKUP(F405,'TFS Details'!F:F,'TFS Details'!D:D)</f>
        <v xml:space="preserve">AMS Solution Configuration Agent </v>
      </c>
      <c r="B405" s="24" t="str">
        <f>_xlfn.XLOOKUP(F405,'TFS Details'!F:F,'TFS Details'!A:A)</f>
        <v>AMS SCA MVP2 March 28th Release Scope</v>
      </c>
      <c r="C405" s="64">
        <f>_xlfn.XLOOKUP(F405,'TFS Details'!F:F,'TFS Details'!E:E)</f>
        <v>4318876</v>
      </c>
      <c r="D405" s="17" t="s">
        <v>46</v>
      </c>
      <c r="E405" s="73" t="s">
        <v>943</v>
      </c>
      <c r="F405" s="114">
        <v>4351207</v>
      </c>
      <c r="G405" s="17" t="s">
        <v>937</v>
      </c>
      <c r="K405" s="97" t="s">
        <v>18</v>
      </c>
      <c r="L405" s="16" t="s">
        <v>923</v>
      </c>
      <c r="M405" s="16" t="s">
        <v>21</v>
      </c>
      <c r="N405" s="17"/>
      <c r="O405" s="134"/>
      <c r="Q405" s="176"/>
      <c r="R405" s="176"/>
      <c r="S405" s="176"/>
      <c r="T405" s="176"/>
      <c r="W405" s="17" t="s">
        <v>183</v>
      </c>
      <c r="X405" s="17" t="s">
        <v>183</v>
      </c>
      <c r="Y405" s="17" t="s">
        <v>183</v>
      </c>
      <c r="Z405" s="17" t="s">
        <v>183</v>
      </c>
      <c r="AA405" s="176">
        <v>37</v>
      </c>
      <c r="AB405" s="176">
        <v>4</v>
      </c>
      <c r="AC405" s="176">
        <v>10</v>
      </c>
      <c r="AD405" s="176">
        <v>13</v>
      </c>
      <c r="AE405" s="33">
        <v>0.3</v>
      </c>
      <c r="AF405" s="33">
        <v>0.3</v>
      </c>
      <c r="AG405" s="25" t="str">
        <f>_xlfn.XLOOKUP(F405,'TFS Details'!F:F,'TFS Details'!H:H)</f>
        <v>UAT In Test</v>
      </c>
      <c r="AH405" s="168">
        <v>13</v>
      </c>
      <c r="AI405" s="168">
        <v>0</v>
      </c>
      <c r="AJ405" s="168">
        <v>0</v>
      </c>
      <c r="AK405" s="168">
        <v>0</v>
      </c>
      <c r="AL405" s="40">
        <f t="shared" si="42"/>
        <v>13</v>
      </c>
      <c r="AM405" s="41">
        <f t="shared" si="41"/>
        <v>1</v>
      </c>
      <c r="AN405" s="41">
        <f t="shared" si="40"/>
        <v>1</v>
      </c>
      <c r="AO405" s="25"/>
      <c r="AP405" s="25" t="str">
        <f>_xlfn.XLOOKUP(F405,'TFS Details'!F:F,'TFS Details'!I:I)</f>
        <v>agentcrafters</v>
      </c>
      <c r="AQ405" s="25" t="str">
        <f>_xlfn.XLOOKUP(AP405,'TFS Details'!I:I,'TFS Details'!AE:AE)</f>
        <v>shwetha.shriyan</v>
      </c>
    </row>
    <row r="406" spans="1:43">
      <c r="A406" s="24" t="str">
        <f>_xlfn.XLOOKUP(F406,'TFS Details'!F:F,'TFS Details'!D:D)</f>
        <v xml:space="preserve">AMS Solution Configuration Agent </v>
      </c>
      <c r="B406" s="24" t="str">
        <f>_xlfn.XLOOKUP(F406,'TFS Details'!F:F,'TFS Details'!A:A)</f>
        <v>AMS SCA MVP2 March 28th Release Scope</v>
      </c>
      <c r="C406" s="64">
        <f>_xlfn.XLOOKUP(F406,'TFS Details'!F:F,'TFS Details'!E:E)</f>
        <v>4318876</v>
      </c>
      <c r="D406" s="17" t="s">
        <v>46</v>
      </c>
      <c r="E406" s="203" t="s">
        <v>944</v>
      </c>
      <c r="F406" s="114">
        <v>4351206</v>
      </c>
      <c r="G406" s="17" t="s">
        <v>922</v>
      </c>
      <c r="K406" s="97" t="s">
        <v>18</v>
      </c>
      <c r="L406" s="16" t="s">
        <v>923</v>
      </c>
      <c r="M406" s="16" t="s">
        <v>21</v>
      </c>
      <c r="N406" s="17"/>
      <c r="O406" s="134"/>
      <c r="Q406" s="176"/>
      <c r="R406" s="176"/>
      <c r="S406" s="176"/>
      <c r="T406" s="176"/>
      <c r="W406" s="17" t="s">
        <v>183</v>
      </c>
      <c r="X406" s="17" t="s">
        <v>183</v>
      </c>
      <c r="Y406" s="17" t="s">
        <v>183</v>
      </c>
      <c r="Z406" s="17" t="s">
        <v>201</v>
      </c>
      <c r="AA406" s="176">
        <v>30</v>
      </c>
      <c r="AB406" s="176">
        <v>22</v>
      </c>
      <c r="AC406" s="176">
        <v>25</v>
      </c>
      <c r="AD406" s="176">
        <v>32</v>
      </c>
      <c r="AE406" s="33">
        <v>0.8</v>
      </c>
      <c r="AF406" s="33">
        <v>0.9</v>
      </c>
      <c r="AG406" s="25" t="str">
        <f>_xlfn.XLOOKUP(F406,'TFS Details'!F:F,'TFS Details'!H:H)</f>
        <v>UAT In Test</v>
      </c>
      <c r="AH406" s="168">
        <v>19</v>
      </c>
      <c r="AI406" s="168">
        <v>0</v>
      </c>
      <c r="AJ406" s="168">
        <v>0</v>
      </c>
      <c r="AK406" s="168">
        <v>0</v>
      </c>
      <c r="AL406" s="40">
        <f>SUM(AH406:AK406)</f>
        <v>19</v>
      </c>
      <c r="AM406" s="41">
        <f t="shared" si="41"/>
        <v>1</v>
      </c>
      <c r="AN406" s="41">
        <f>IF(AH406=0,0,AH406/(SUM(AH406:AJ406)))</f>
        <v>1</v>
      </c>
      <c r="AO406" s="25" t="s">
        <v>945</v>
      </c>
      <c r="AP406" s="25" t="str">
        <f>_xlfn.XLOOKUP(F406,'TFS Details'!F:F,'TFS Details'!I:I)</f>
        <v>agentcrafters</v>
      </c>
      <c r="AQ406" s="25" t="str">
        <f>_xlfn.XLOOKUP(AP406,'TFS Details'!I:I,'TFS Details'!AE:AE)</f>
        <v>shwetha.shriyan</v>
      </c>
    </row>
    <row r="407" spans="1:43" ht="15">
      <c r="A407" s="24" t="str">
        <f>_xlfn.XLOOKUP(F407,'TFS Details'!F:F,'TFS Details'!D:D)</f>
        <v xml:space="preserve">AMS Solution Configuration Agent </v>
      </c>
      <c r="B407" s="24" t="str">
        <f>_xlfn.XLOOKUP(F407,'TFS Details'!F:F,'TFS Details'!A:A)</f>
        <v>AMS SCA MVP2 March 28th Release Scope</v>
      </c>
      <c r="C407" s="64">
        <f>_xlfn.XLOOKUP(F407,'TFS Details'!F:F,'TFS Details'!E:E)</f>
        <v>4318876</v>
      </c>
      <c r="D407" s="17" t="s">
        <v>46</v>
      </c>
      <c r="E407" s="73" t="s">
        <v>946</v>
      </c>
      <c r="F407" s="179">
        <v>4387618</v>
      </c>
      <c r="G407" s="17" t="s">
        <v>937</v>
      </c>
      <c r="K407" s="97" t="s">
        <v>18</v>
      </c>
      <c r="L407" s="16" t="s">
        <v>923</v>
      </c>
      <c r="M407" s="16" t="s">
        <v>21</v>
      </c>
      <c r="N407" s="17"/>
      <c r="O407" s="134"/>
      <c r="Q407" s="176"/>
      <c r="R407" s="176"/>
      <c r="S407" s="176"/>
      <c r="T407" s="176"/>
      <c r="W407" s="17" t="s">
        <v>183</v>
      </c>
      <c r="X407" s="17" t="s">
        <v>183</v>
      </c>
      <c r="Y407" s="17" t="s">
        <v>183</v>
      </c>
      <c r="Z407" s="17" t="s">
        <v>183</v>
      </c>
      <c r="AA407" s="176">
        <v>15</v>
      </c>
      <c r="AB407" s="176">
        <v>3</v>
      </c>
      <c r="AC407" s="176">
        <v>5</v>
      </c>
      <c r="AD407" s="176">
        <v>8</v>
      </c>
      <c r="AE407" s="33">
        <v>0.38</v>
      </c>
      <c r="AF407" s="33">
        <v>0.2</v>
      </c>
      <c r="AG407" s="25" t="str">
        <f>_xlfn.XLOOKUP(F407,'TFS Details'!F:F,'TFS Details'!H:H)</f>
        <v>UAT In Test</v>
      </c>
      <c r="AH407" s="168">
        <v>6</v>
      </c>
      <c r="AI407" s="168">
        <v>0</v>
      </c>
      <c r="AJ407" s="168">
        <v>0</v>
      </c>
      <c r="AK407" s="169">
        <v>0</v>
      </c>
      <c r="AL407" s="40">
        <f t="shared" si="42"/>
        <v>6</v>
      </c>
      <c r="AM407" s="41">
        <f t="shared" si="41"/>
        <v>1</v>
      </c>
      <c r="AN407" s="41">
        <f t="shared" si="40"/>
        <v>1</v>
      </c>
      <c r="AO407" s="25" t="s">
        <v>947</v>
      </c>
      <c r="AP407" s="25" t="str">
        <f>_xlfn.XLOOKUP(F407,'TFS Details'!F:F,'TFS Details'!I:I)</f>
        <v>agentcrafters</v>
      </c>
      <c r="AQ407" s="25" t="str">
        <f>_xlfn.XLOOKUP(AP407,'TFS Details'!I:I,'TFS Details'!AE:AE)</f>
        <v>shwetha.shriyan</v>
      </c>
    </row>
    <row r="408" spans="1:43">
      <c r="A408" s="24" t="str">
        <f>_xlfn.XLOOKUP(F408,'TFS Details'!F:F,'TFS Details'!D:D)</f>
        <v xml:space="preserve">AMS Solution Configuration Agent </v>
      </c>
      <c r="B408" s="24" t="str">
        <f>_xlfn.XLOOKUP(F408,'TFS Details'!F:F,'TFS Details'!A:A)</f>
        <v>AMS SCA MVP2 March 28th Release Scope</v>
      </c>
      <c r="C408" s="64">
        <f>_xlfn.XLOOKUP(F408,'TFS Details'!F:F,'TFS Details'!E:E)</f>
        <v>4318876</v>
      </c>
      <c r="D408" s="17" t="s">
        <v>46</v>
      </c>
      <c r="E408" s="73" t="s">
        <v>948</v>
      </c>
      <c r="F408" s="114">
        <v>4351271</v>
      </c>
      <c r="G408" s="17" t="s">
        <v>931</v>
      </c>
      <c r="K408" s="97" t="s">
        <v>18</v>
      </c>
      <c r="L408" s="16" t="s">
        <v>923</v>
      </c>
      <c r="M408" s="16" t="s">
        <v>21</v>
      </c>
      <c r="N408" s="17"/>
      <c r="O408" s="134"/>
      <c r="Q408" s="176"/>
      <c r="R408" s="176"/>
      <c r="S408" s="176"/>
      <c r="T408" s="176"/>
      <c r="W408" s="17" t="s">
        <v>183</v>
      </c>
      <c r="X408" s="17" t="s">
        <v>183</v>
      </c>
      <c r="Y408" s="17" t="s">
        <v>183</v>
      </c>
      <c r="Z408" s="17" t="s">
        <v>183</v>
      </c>
      <c r="AA408" s="186">
        <v>29</v>
      </c>
      <c r="AB408" s="186">
        <v>13</v>
      </c>
      <c r="AC408" s="186">
        <v>16</v>
      </c>
      <c r="AD408" s="186">
        <v>23</v>
      </c>
      <c r="AE408" s="33">
        <v>0.56000000000000005</v>
      </c>
      <c r="AF408" s="33">
        <v>0.44</v>
      </c>
      <c r="AG408" s="25" t="str">
        <f>_xlfn.XLOOKUP(F408,'TFS Details'!F:F,'TFS Details'!H:H)</f>
        <v>UAT In Test</v>
      </c>
      <c r="AH408" s="168">
        <v>23</v>
      </c>
      <c r="AI408" s="168">
        <v>0</v>
      </c>
      <c r="AJ408" s="168">
        <v>0</v>
      </c>
      <c r="AK408" s="127">
        <v>0</v>
      </c>
      <c r="AL408" s="40">
        <f>SUM(AH408:AK408)</f>
        <v>23</v>
      </c>
      <c r="AM408" s="41">
        <f t="shared" si="41"/>
        <v>1</v>
      </c>
      <c r="AN408" s="41">
        <f t="shared" si="40"/>
        <v>1</v>
      </c>
      <c r="AO408" s="25" t="s">
        <v>949</v>
      </c>
      <c r="AP408" s="25" t="str">
        <f>_xlfn.XLOOKUP(F408,'TFS Details'!F:F,'TFS Details'!I:I)</f>
        <v>agentcrafters</v>
      </c>
      <c r="AQ408" s="25" t="str">
        <f>_xlfn.XLOOKUP(AP408,'TFS Details'!I:I,'TFS Details'!AE:AE)</f>
        <v>shwetha.shriyan</v>
      </c>
    </row>
    <row r="409" spans="1:43">
      <c r="A409" s="24" t="str">
        <f>_xlfn.XLOOKUP(F409,'TFS Details'!F:F,'TFS Details'!D:D)</f>
        <v>Value Shaping</v>
      </c>
      <c r="B409" s="24" t="str">
        <f>_xlfn.XLOOKUP(F409,'TFS Details'!F:F,'TFS Details'!A:A)</f>
        <v>Value Shaping –Enhancements</v>
      </c>
      <c r="C409" s="64">
        <f>_xlfn.XLOOKUP(F409,'TFS Details'!F:F,'TFS Details'!E:E)</f>
        <v>4330994</v>
      </c>
      <c r="D409" s="17" t="s">
        <v>46</v>
      </c>
      <c r="E409" s="19" t="s">
        <v>950</v>
      </c>
      <c r="F409" s="247">
        <v>4364544</v>
      </c>
      <c r="G409" s="73" t="s">
        <v>797</v>
      </c>
      <c r="H409" s="17" t="s">
        <v>796</v>
      </c>
      <c r="I409" s="237"/>
      <c r="J409" s="73" t="s">
        <v>103</v>
      </c>
      <c r="K409" s="17" t="s">
        <v>1</v>
      </c>
      <c r="L409" s="16"/>
      <c r="N409" s="97" t="s">
        <v>277</v>
      </c>
      <c r="O409" s="134"/>
      <c r="P409" s="33">
        <v>1</v>
      </c>
      <c r="Q409" s="124">
        <v>1</v>
      </c>
      <c r="R409" s="124">
        <v>1</v>
      </c>
      <c r="S409" s="124">
        <v>0</v>
      </c>
      <c r="T409" s="124">
        <v>1</v>
      </c>
      <c r="U409" s="33">
        <v>0.85</v>
      </c>
      <c r="V409" s="33">
        <v>0.9</v>
      </c>
      <c r="W409" s="17" t="s">
        <v>183</v>
      </c>
      <c r="X409" s="17" t="s">
        <v>183</v>
      </c>
      <c r="Y409" s="17" t="s">
        <v>183</v>
      </c>
      <c r="Z409" s="17" t="s">
        <v>183</v>
      </c>
      <c r="AA409" s="176">
        <v>24</v>
      </c>
      <c r="AB409" s="176">
        <v>18</v>
      </c>
      <c r="AC409" s="176">
        <v>0</v>
      </c>
      <c r="AD409" s="176">
        <v>18</v>
      </c>
      <c r="AE409" s="33">
        <v>1</v>
      </c>
      <c r="AF409" s="33">
        <v>1</v>
      </c>
      <c r="AG409" s="25" t="str">
        <f>_xlfn.XLOOKUP(F409,'TFS Details'!F:F,'TFS Details'!H:H)</f>
        <v>UAT In Test</v>
      </c>
      <c r="AH409" s="44">
        <v>18</v>
      </c>
      <c r="AI409" s="44">
        <v>0</v>
      </c>
      <c r="AJ409" s="44">
        <v>0</v>
      </c>
      <c r="AK409" s="44">
        <v>0</v>
      </c>
      <c r="AL409" s="40">
        <f t="shared" si="42"/>
        <v>18</v>
      </c>
      <c r="AM409" s="41">
        <f t="shared" si="41"/>
        <v>1</v>
      </c>
      <c r="AN409" s="41">
        <f t="shared" si="40"/>
        <v>1</v>
      </c>
      <c r="AO409" s="25"/>
      <c r="AP409" s="25" t="str">
        <f>_xlfn.XLOOKUP(F409,'TFS Details'!F:F,'TFS Details'!I:I)</f>
        <v>TechCoders</v>
      </c>
      <c r="AQ409" s="25" t="str">
        <f>_xlfn.XLOOKUP(AP409,'TFS Details'!I:I,'TFS Details'!AE:AE)</f>
        <v>Francis.Deepak</v>
      </c>
    </row>
    <row r="410" spans="1:43">
      <c r="A410" s="24" t="str">
        <f>_xlfn.XLOOKUP(F410,'TFS Details'!F:F,'TFS Details'!D:D)</f>
        <v>Text verification</v>
      </c>
      <c r="B410" s="24" t="str">
        <f>_xlfn.XLOOKUP(F410,'TFS Details'!F:F,'TFS Details'!A:A)</f>
        <v>PLD - Advisory SA Role</v>
      </c>
      <c r="C410" s="64">
        <f>_xlfn.XLOOKUP(F410,'TFS Details'!F:F,'TFS Details'!E:E)</f>
        <v>4386527</v>
      </c>
      <c r="D410" s="17" t="s">
        <v>46</v>
      </c>
      <c r="E410" s="19" t="s">
        <v>951</v>
      </c>
      <c r="F410" s="160">
        <v>4378865</v>
      </c>
      <c r="G410" s="18" t="s">
        <v>796</v>
      </c>
      <c r="H410" s="73" t="s">
        <v>797</v>
      </c>
      <c r="I410" s="73"/>
      <c r="J410" s="73" t="s">
        <v>77</v>
      </c>
      <c r="K410" s="17" t="s">
        <v>1</v>
      </c>
      <c r="L410" s="16"/>
      <c r="N410" s="97" t="s">
        <v>277</v>
      </c>
      <c r="O410" s="134">
        <v>1</v>
      </c>
      <c r="P410" s="33">
        <v>1</v>
      </c>
      <c r="Q410" s="176">
        <v>20</v>
      </c>
      <c r="R410" s="176">
        <v>18</v>
      </c>
      <c r="S410" s="176">
        <v>2</v>
      </c>
      <c r="T410" s="176">
        <v>20</v>
      </c>
      <c r="U410" s="33">
        <v>0.9</v>
      </c>
      <c r="V410" s="33">
        <v>0.9</v>
      </c>
      <c r="W410" s="17" t="s">
        <v>183</v>
      </c>
      <c r="X410" s="17" t="s">
        <v>183</v>
      </c>
      <c r="Y410" s="17" t="s">
        <v>183</v>
      </c>
      <c r="Z410" s="17" t="s">
        <v>183</v>
      </c>
      <c r="AA410" s="176">
        <v>20</v>
      </c>
      <c r="AB410" s="176">
        <v>18</v>
      </c>
      <c r="AC410" s="176">
        <v>2</v>
      </c>
      <c r="AD410" s="176">
        <v>20</v>
      </c>
      <c r="AE410" s="33">
        <v>0.9</v>
      </c>
      <c r="AF410" s="33">
        <v>0.9</v>
      </c>
      <c r="AG410" s="25" t="str">
        <f>_xlfn.XLOOKUP(F410,'TFS Details'!F:F,'TFS Details'!H:H)</f>
        <v>UAT In Test</v>
      </c>
      <c r="AH410" s="44">
        <v>20</v>
      </c>
      <c r="AI410" s="44">
        <v>0</v>
      </c>
      <c r="AJ410" s="44">
        <v>0</v>
      </c>
      <c r="AK410" s="44">
        <v>0</v>
      </c>
      <c r="AL410" s="40">
        <f t="shared" si="42"/>
        <v>20</v>
      </c>
      <c r="AM410" s="41">
        <f t="shared" si="41"/>
        <v>1</v>
      </c>
      <c r="AN410" s="41">
        <f t="shared" si="40"/>
        <v>1</v>
      </c>
      <c r="AO410" s="25"/>
      <c r="AP410" s="25" t="str">
        <f>_xlfn.XLOOKUP(F410,'TFS Details'!F:F,'TFS Details'!I:I)</f>
        <v>TechCoders</v>
      </c>
      <c r="AQ410" s="25" t="str">
        <f>_xlfn.XLOOKUP(AP410,'TFS Details'!I:I,'TFS Details'!AE:AE)</f>
        <v>Francis.Deepak</v>
      </c>
    </row>
    <row r="411" spans="1:43" ht="56.1">
      <c r="A411" s="24" t="str">
        <f>_xlfn.XLOOKUP(F411,'TFS Details'!F:F,'TFS Details'!D:D)</f>
        <v>Value Shaping</v>
      </c>
      <c r="B411" s="24" t="str">
        <f>_xlfn.XLOOKUP(F411,'TFS Details'!F:F,'TFS Details'!A:A)</f>
        <v>Value Shaping –Enhancements</v>
      </c>
      <c r="C411" s="64">
        <f>_xlfn.XLOOKUP(F411,'TFS Details'!F:F,'TFS Details'!E:E)</f>
        <v>4330994</v>
      </c>
      <c r="D411" s="17" t="s">
        <v>29</v>
      </c>
      <c r="E411" s="19" t="s">
        <v>952</v>
      </c>
      <c r="F411" s="114">
        <v>4364557</v>
      </c>
      <c r="G411" s="18" t="s">
        <v>339</v>
      </c>
      <c r="J411" s="21" t="s">
        <v>953</v>
      </c>
      <c r="K411" s="17" t="s">
        <v>18</v>
      </c>
      <c r="L411" s="82" t="s">
        <v>954</v>
      </c>
      <c r="M411" s="16" t="s">
        <v>64</v>
      </c>
      <c r="N411" s="17" t="s">
        <v>191</v>
      </c>
      <c r="O411" s="134"/>
      <c r="Q411" s="176"/>
      <c r="R411" s="176"/>
      <c r="S411" s="176"/>
      <c r="T411" s="176"/>
      <c r="W411" s="17" t="s">
        <v>183</v>
      </c>
      <c r="X411" s="17" t="s">
        <v>183</v>
      </c>
      <c r="Y411" s="17" t="s">
        <v>183</v>
      </c>
      <c r="Z411" s="17" t="s">
        <v>183</v>
      </c>
      <c r="AA411" s="176">
        <v>30</v>
      </c>
      <c r="AB411" s="176">
        <v>3</v>
      </c>
      <c r="AC411" s="176">
        <v>1</v>
      </c>
      <c r="AD411" s="176">
        <v>4</v>
      </c>
      <c r="AE411" s="33">
        <v>0.6</v>
      </c>
      <c r="AF411" s="33">
        <v>0.66</v>
      </c>
      <c r="AG411" s="25" t="str">
        <f>_xlfn.XLOOKUP(F411,'TFS Details'!F:F,'TFS Details'!H:H)</f>
        <v>UAT In Test</v>
      </c>
      <c r="AH411" s="44">
        <v>4</v>
      </c>
      <c r="AI411" s="44">
        <v>0</v>
      </c>
      <c r="AJ411" s="44">
        <v>0</v>
      </c>
      <c r="AK411" s="44">
        <v>0</v>
      </c>
      <c r="AL411" s="40">
        <f t="shared" si="42"/>
        <v>4</v>
      </c>
      <c r="AM411" s="41">
        <f t="shared" si="41"/>
        <v>1</v>
      </c>
      <c r="AN411" s="41">
        <f t="shared" si="40"/>
        <v>1</v>
      </c>
      <c r="AO411" s="126"/>
      <c r="AP411" s="25" t="str">
        <f>_xlfn.XLOOKUP(F411,'TFS Details'!F:F,'TFS Details'!I:I)</f>
        <v>Simba</v>
      </c>
      <c r="AQ411" s="25" t="str">
        <f>_xlfn.XLOOKUP(AP411,'TFS Details'!I:I,'TFS Details'!AE:AE)</f>
        <v>m.ohlan</v>
      </c>
    </row>
    <row r="412" spans="1:43" ht="56.1">
      <c r="A412" s="24" t="str">
        <f>_xlfn.XLOOKUP(F412,'TFS Details'!F:F,'TFS Details'!D:D)</f>
        <v xml:space="preserve">Advisory SA - Song </v>
      </c>
      <c r="B412" s="24" t="str">
        <f>_xlfn.XLOOKUP(F412,'TFS Details'!F:F,'TFS Details'!A:A)</f>
        <v>PLD - Advisory SA Role</v>
      </c>
      <c r="C412" s="64">
        <f>_xlfn.XLOOKUP(F412,'TFS Details'!F:F,'TFS Details'!E:E)</f>
        <v>4386527</v>
      </c>
      <c r="D412" s="17" t="s">
        <v>29</v>
      </c>
      <c r="E412" s="19" t="s">
        <v>955</v>
      </c>
      <c r="F412" s="114">
        <v>4381764</v>
      </c>
      <c r="G412" s="18" t="s">
        <v>339</v>
      </c>
      <c r="J412" s="21" t="s">
        <v>953</v>
      </c>
      <c r="K412" s="17" t="s">
        <v>18</v>
      </c>
      <c r="L412" s="82" t="s">
        <v>954</v>
      </c>
      <c r="M412" s="16" t="s">
        <v>64</v>
      </c>
      <c r="N412" s="17" t="s">
        <v>191</v>
      </c>
      <c r="O412" s="134"/>
      <c r="Q412" s="176"/>
      <c r="R412" s="176"/>
      <c r="S412" s="176"/>
      <c r="T412" s="176"/>
      <c r="W412" s="17" t="s">
        <v>183</v>
      </c>
      <c r="X412" s="17" t="s">
        <v>183</v>
      </c>
      <c r="Y412" s="17" t="s">
        <v>183</v>
      </c>
      <c r="Z412" s="17" t="s">
        <v>183</v>
      </c>
      <c r="AA412" s="176">
        <v>15</v>
      </c>
      <c r="AB412" s="176">
        <v>2</v>
      </c>
      <c r="AC412" s="176">
        <v>0</v>
      </c>
      <c r="AD412" s="176">
        <v>2</v>
      </c>
      <c r="AE412" s="33">
        <v>0.5</v>
      </c>
      <c r="AF412" s="33">
        <v>0.6</v>
      </c>
      <c r="AG412" s="25" t="str">
        <f>_xlfn.XLOOKUP(F412,'TFS Details'!F:F,'TFS Details'!H:H)</f>
        <v>UAT In Test</v>
      </c>
      <c r="AH412" s="44">
        <v>2</v>
      </c>
      <c r="AI412" s="44">
        <v>0</v>
      </c>
      <c r="AJ412" s="44">
        <v>0</v>
      </c>
      <c r="AK412" s="44">
        <v>0</v>
      </c>
      <c r="AL412" s="40">
        <f t="shared" si="42"/>
        <v>2</v>
      </c>
      <c r="AM412" s="41">
        <f t="shared" si="41"/>
        <v>1</v>
      </c>
      <c r="AN412" s="41">
        <f t="shared" si="40"/>
        <v>1</v>
      </c>
      <c r="AO412" s="126"/>
      <c r="AP412" s="25" t="str">
        <f>_xlfn.XLOOKUP(F412,'TFS Details'!F:F,'TFS Details'!I:I)</f>
        <v>Simba</v>
      </c>
      <c r="AQ412" s="25" t="str">
        <f>_xlfn.XLOOKUP(AP412,'TFS Details'!I:I,'TFS Details'!AE:AE)</f>
        <v>m.ohlan</v>
      </c>
    </row>
    <row r="413" spans="1:43">
      <c r="A413" s="24" t="str">
        <f>_xlfn.XLOOKUP(F413,'TFS Details'!F:F,'TFS Details'!D:D)</f>
        <v>BPMS Onboarding</v>
      </c>
      <c r="B413" s="24" t="str">
        <f>_xlfn.XLOOKUP(F413,'TFS Details'!F:F,'TFS Details'!A:A)</f>
        <v>RA BPMS Feedback</v>
      </c>
      <c r="C413" s="64">
        <f>_xlfn.XLOOKUP(F413,'TFS Details'!F:F,'TFS Details'!E:E)</f>
        <v>4275996</v>
      </c>
      <c r="D413" s="17" t="s">
        <v>29</v>
      </c>
      <c r="E413" s="19" t="s">
        <v>342</v>
      </c>
      <c r="F413" s="114">
        <v>4391643</v>
      </c>
      <c r="G413" s="18" t="s">
        <v>343</v>
      </c>
      <c r="J413" s="21" t="s">
        <v>82</v>
      </c>
      <c r="K413" s="17" t="s">
        <v>1</v>
      </c>
      <c r="L413" s="16"/>
      <c r="N413" s="17" t="s">
        <v>191</v>
      </c>
      <c r="O413" s="134">
        <v>4</v>
      </c>
      <c r="P413" s="33">
        <v>1</v>
      </c>
      <c r="Q413" s="176">
        <v>4</v>
      </c>
      <c r="R413" s="176">
        <v>1</v>
      </c>
      <c r="S413" s="176">
        <v>3</v>
      </c>
      <c r="T413" s="176">
        <v>4</v>
      </c>
      <c r="U413" s="33">
        <v>0.25</v>
      </c>
      <c r="V413" s="33">
        <v>0.25</v>
      </c>
      <c r="W413" s="17" t="s">
        <v>183</v>
      </c>
      <c r="X413" s="17" t="s">
        <v>183</v>
      </c>
      <c r="Y413" s="17" t="s">
        <v>183</v>
      </c>
      <c r="Z413" s="17" t="s">
        <v>183</v>
      </c>
      <c r="AA413" s="176">
        <v>15</v>
      </c>
      <c r="AB413" s="176">
        <v>4</v>
      </c>
      <c r="AC413" s="176">
        <v>8</v>
      </c>
      <c r="AD413" s="176">
        <v>12</v>
      </c>
      <c r="AE413" s="33">
        <v>0.4</v>
      </c>
      <c r="AF413" s="33">
        <v>0.4</v>
      </c>
      <c r="AG413" s="25" t="str">
        <f>_xlfn.XLOOKUP(F413,'TFS Details'!F:F,'TFS Details'!H:H)</f>
        <v>Test Complete</v>
      </c>
      <c r="AH413" s="17">
        <v>15</v>
      </c>
      <c r="AI413" s="17">
        <v>0</v>
      </c>
      <c r="AJ413" s="17">
        <v>0</v>
      </c>
      <c r="AK413" s="17">
        <v>0</v>
      </c>
      <c r="AL413" s="40">
        <f>SUM(AH413:AK413)</f>
        <v>15</v>
      </c>
      <c r="AM413" s="41">
        <f t="shared" si="41"/>
        <v>1</v>
      </c>
      <c r="AN413" s="41">
        <f t="shared" si="40"/>
        <v>1</v>
      </c>
      <c r="AO413" s="25"/>
      <c r="AP413" s="25" t="str">
        <f>_xlfn.XLOOKUP(F413,'TFS Details'!F:F,'TFS Details'!I:I)</f>
        <v>Ninjawarriors</v>
      </c>
      <c r="AQ413" s="25" t="str">
        <f>_xlfn.XLOOKUP(AP413,'TFS Details'!I:I,'TFS Details'!AE:AE)</f>
        <v>pandidurai.ks</v>
      </c>
    </row>
    <row r="414" spans="1:43">
      <c r="A414" s="24" t="str">
        <f>_xlfn.XLOOKUP(F414,'TFS Details'!F:F,'TFS Details'!D:D)</f>
        <v>DCSO</v>
      </c>
      <c r="B414" s="24" t="str">
        <f>_xlfn.XLOOKUP(F414,'TFS Details'!F:F,'TFS Details'!A:A)</f>
        <v>myISP - Digital DCSO</v>
      </c>
      <c r="C414" s="64">
        <f>_xlfn.XLOOKUP(F414,'TFS Details'!F:F,'TFS Details'!E:E)</f>
        <v>4278081</v>
      </c>
      <c r="D414" s="17" t="s">
        <v>29</v>
      </c>
      <c r="E414" s="19" t="s">
        <v>956</v>
      </c>
      <c r="F414" s="160">
        <v>4392160</v>
      </c>
      <c r="G414" s="18" t="s">
        <v>382</v>
      </c>
      <c r="J414" s="21" t="s">
        <v>89</v>
      </c>
      <c r="K414" s="17" t="s">
        <v>1</v>
      </c>
      <c r="L414" s="16"/>
      <c r="N414" s="17" t="s">
        <v>277</v>
      </c>
      <c r="O414" s="134">
        <v>3</v>
      </c>
      <c r="P414" s="33">
        <v>1</v>
      </c>
      <c r="Q414" s="176">
        <v>3</v>
      </c>
      <c r="R414" s="176">
        <v>3</v>
      </c>
      <c r="S414" s="176">
        <v>0</v>
      </c>
      <c r="T414" s="176">
        <v>3</v>
      </c>
      <c r="U414" s="33">
        <v>0.9</v>
      </c>
      <c r="V414" s="33">
        <v>0.9</v>
      </c>
      <c r="W414" s="17" t="s">
        <v>183</v>
      </c>
      <c r="X414" s="17" t="s">
        <v>183</v>
      </c>
      <c r="Y414" s="17" t="s">
        <v>183</v>
      </c>
      <c r="Z414" s="17" t="s">
        <v>183</v>
      </c>
      <c r="AA414" s="176">
        <v>6</v>
      </c>
      <c r="AB414" s="176">
        <v>3</v>
      </c>
      <c r="AC414" s="176">
        <v>0</v>
      </c>
      <c r="AD414" s="176">
        <v>3</v>
      </c>
      <c r="AE414" s="33">
        <v>0.8</v>
      </c>
      <c r="AF414" s="33">
        <v>0.85</v>
      </c>
      <c r="AG414" s="25" t="str">
        <f>_xlfn.XLOOKUP(F414,'TFS Details'!F:F,'TFS Details'!H:H)</f>
        <v>UAT In Test</v>
      </c>
      <c r="AH414" s="44">
        <v>3</v>
      </c>
      <c r="AI414" s="44">
        <v>0</v>
      </c>
      <c r="AJ414" s="44">
        <v>0</v>
      </c>
      <c r="AK414" s="44">
        <v>0</v>
      </c>
      <c r="AL414" s="40">
        <f>SUM(AH414:AK414)</f>
        <v>3</v>
      </c>
      <c r="AM414" s="41">
        <f t="shared" si="41"/>
        <v>1</v>
      </c>
      <c r="AN414" s="41">
        <f t="shared" si="40"/>
        <v>1</v>
      </c>
      <c r="AO414" s="25"/>
      <c r="AP414" s="25" t="str">
        <f>_xlfn.XLOOKUP(F414,'TFS Details'!F:F,'TFS Details'!I:I)</f>
        <v>Insurgents</v>
      </c>
      <c r="AQ414" s="25" t="str">
        <f>_xlfn.XLOOKUP(AP414,'TFS Details'!I:I,'TFS Details'!AE:AE)</f>
        <v>K.devaraj</v>
      </c>
    </row>
    <row r="415" spans="1:43">
      <c r="A415" s="24" t="str">
        <f>_xlfn.XLOOKUP(F415,'TFS Details'!F:F,'TFS Details'!D:D)</f>
        <v>DCSO</v>
      </c>
      <c r="B415" s="24" t="str">
        <f>_xlfn.XLOOKUP(F415,'TFS Details'!F:F,'TFS Details'!A:A)</f>
        <v>myISP - Digital DCSO</v>
      </c>
      <c r="C415" s="64">
        <f>_xlfn.XLOOKUP(F415,'TFS Details'!F:F,'TFS Details'!E:E)</f>
        <v>4278081</v>
      </c>
      <c r="D415" s="17" t="s">
        <v>29</v>
      </c>
      <c r="E415" s="19" t="s">
        <v>957</v>
      </c>
      <c r="F415" s="160">
        <v>4392161</v>
      </c>
      <c r="G415" s="18" t="s">
        <v>382</v>
      </c>
      <c r="J415" s="21" t="s">
        <v>89</v>
      </c>
      <c r="K415" s="17" t="s">
        <v>1</v>
      </c>
      <c r="L415" s="16"/>
      <c r="N415" s="17" t="s">
        <v>277</v>
      </c>
      <c r="O415" s="134">
        <v>3</v>
      </c>
      <c r="P415" s="33">
        <v>1</v>
      </c>
      <c r="Q415" s="176">
        <v>3</v>
      </c>
      <c r="R415" s="176">
        <v>3</v>
      </c>
      <c r="S415" s="176">
        <v>0</v>
      </c>
      <c r="T415" s="176">
        <v>3</v>
      </c>
      <c r="U415" s="33">
        <v>0.9</v>
      </c>
      <c r="V415" s="33">
        <v>0.9</v>
      </c>
      <c r="W415" s="17" t="s">
        <v>183</v>
      </c>
      <c r="X415" s="17" t="s">
        <v>183</v>
      </c>
      <c r="Y415" s="17" t="s">
        <v>183</v>
      </c>
      <c r="Z415" s="17" t="s">
        <v>183</v>
      </c>
      <c r="AA415" s="176">
        <v>6</v>
      </c>
      <c r="AB415" s="176">
        <v>3</v>
      </c>
      <c r="AC415" s="176">
        <v>0</v>
      </c>
      <c r="AD415" s="176">
        <v>3</v>
      </c>
      <c r="AE415" s="33">
        <v>0.8</v>
      </c>
      <c r="AF415" s="33">
        <v>0.85</v>
      </c>
      <c r="AG415" s="25" t="str">
        <f>_xlfn.XLOOKUP(F415,'TFS Details'!F:F,'TFS Details'!H:H)</f>
        <v>UAT In Test</v>
      </c>
      <c r="AH415" s="44">
        <v>3</v>
      </c>
      <c r="AI415" s="44">
        <v>0</v>
      </c>
      <c r="AJ415" s="44">
        <v>0</v>
      </c>
      <c r="AK415" s="44">
        <v>0</v>
      </c>
      <c r="AL415" s="40">
        <f>SUM(AH415:AK415)</f>
        <v>3</v>
      </c>
      <c r="AM415" s="41">
        <f t="shared" si="41"/>
        <v>1</v>
      </c>
      <c r="AN415" s="41">
        <f t="shared" si="40"/>
        <v>1</v>
      </c>
      <c r="AO415" s="25"/>
      <c r="AP415" s="25" t="str">
        <f>_xlfn.XLOOKUP(F415,'TFS Details'!F:F,'TFS Details'!I:I)</f>
        <v>Insurgents</v>
      </c>
      <c r="AQ415" s="25" t="str">
        <f>_xlfn.XLOOKUP(AP415,'TFS Details'!I:I,'TFS Details'!AE:AE)</f>
        <v>K.devaraj</v>
      </c>
    </row>
    <row r="416" spans="1:43">
      <c r="A416" s="24" t="str">
        <f>_xlfn.XLOOKUP(F416,'TFS Details'!F:F,'TFS Details'!D:D)</f>
        <v>BPMS Onboarding</v>
      </c>
      <c r="B416" s="24" t="str">
        <f>_xlfn.XLOOKUP(F416,'TFS Details'!F:F,'TFS Details'!A:A)</f>
        <v>Diel hierarchy - rolled up revenue</v>
      </c>
      <c r="C416" s="64">
        <f>_xlfn.XLOOKUP(F416,'TFS Details'!F:F,'TFS Details'!E:E)</f>
        <v>4378908</v>
      </c>
      <c r="D416" s="17" t="s">
        <v>29</v>
      </c>
      <c r="E416" s="19" t="s">
        <v>958</v>
      </c>
      <c r="F416" s="114">
        <v>4392743</v>
      </c>
      <c r="G416" s="18" t="s">
        <v>335</v>
      </c>
      <c r="K416" s="97" t="s">
        <v>18</v>
      </c>
      <c r="L416" s="16" t="s">
        <v>28</v>
      </c>
      <c r="M416" s="16" t="s">
        <v>28</v>
      </c>
      <c r="N416" s="17"/>
      <c r="O416" s="134"/>
      <c r="Q416" s="176"/>
      <c r="R416" s="176"/>
      <c r="S416" s="176"/>
      <c r="T416" s="176"/>
      <c r="W416" s="17" t="s">
        <v>183</v>
      </c>
      <c r="X416" s="17" t="s">
        <v>183</v>
      </c>
      <c r="Y416" s="17" t="s">
        <v>183</v>
      </c>
      <c r="Z416" s="17" t="s">
        <v>183</v>
      </c>
      <c r="AA416" s="176">
        <v>6</v>
      </c>
      <c r="AB416" s="176">
        <v>3</v>
      </c>
      <c r="AC416" s="176">
        <v>6</v>
      </c>
      <c r="AD416" s="176">
        <v>6</v>
      </c>
      <c r="AE416" s="33">
        <v>0.5</v>
      </c>
      <c r="AF416" s="33">
        <v>0.5</v>
      </c>
      <c r="AG416" s="25" t="str">
        <f>_xlfn.XLOOKUP(F416,'TFS Details'!F:F,'TFS Details'!H:H)</f>
        <v>Test Complete</v>
      </c>
      <c r="AH416" s="44">
        <v>6</v>
      </c>
      <c r="AI416" s="44">
        <v>0</v>
      </c>
      <c r="AJ416" s="44">
        <v>0</v>
      </c>
      <c r="AK416" s="44">
        <v>0</v>
      </c>
      <c r="AL416" s="40">
        <f t="shared" si="42"/>
        <v>6</v>
      </c>
      <c r="AM416" s="41">
        <f t="shared" si="41"/>
        <v>1</v>
      </c>
      <c r="AN416" s="41">
        <f t="shared" si="40"/>
        <v>1</v>
      </c>
      <c r="AO416" s="25"/>
      <c r="AP416" s="25" t="str">
        <f>_xlfn.XLOOKUP(F416,'TFS Details'!F:F,'TFS Details'!I:I)</f>
        <v>CodeCrafters</v>
      </c>
      <c r="AQ416" s="25" t="str">
        <f>_xlfn.XLOOKUP(AP416,'TFS Details'!I:I,'TFS Details'!AE:AE)</f>
        <v>sona.job</v>
      </c>
    </row>
    <row r="417" spans="1:43">
      <c r="A417" s="24" t="str">
        <f>_xlfn.XLOOKUP(F417,'TFS Details'!F:F,'TFS Details'!D:D)</f>
        <v xml:space="preserve">Advisory SA - Song </v>
      </c>
      <c r="B417" s="24" t="str">
        <f>_xlfn.XLOOKUP(F417,'TFS Details'!F:F,'TFS Details'!A:A)</f>
        <v>PLD - Advisory SA Role</v>
      </c>
      <c r="C417" s="64">
        <f>_xlfn.XLOOKUP(F417,'TFS Details'!F:F,'TFS Details'!E:E)</f>
        <v>4386527</v>
      </c>
      <c r="D417" s="17" t="s">
        <v>52</v>
      </c>
      <c r="E417" s="19" t="s">
        <v>959</v>
      </c>
      <c r="F417" s="120">
        <v>4393563</v>
      </c>
      <c r="G417" s="18" t="s">
        <v>244</v>
      </c>
      <c r="H417" s="17" t="s">
        <v>960</v>
      </c>
      <c r="J417" s="17" t="s">
        <v>71</v>
      </c>
      <c r="K417" s="17" t="s">
        <v>1</v>
      </c>
      <c r="L417" s="16"/>
      <c r="N417" s="17" t="s">
        <v>182</v>
      </c>
      <c r="O417" s="134">
        <v>1</v>
      </c>
      <c r="P417" s="33">
        <v>1</v>
      </c>
      <c r="Q417" s="176">
        <v>8</v>
      </c>
      <c r="R417" s="176">
        <v>7</v>
      </c>
      <c r="S417" s="176">
        <v>0</v>
      </c>
      <c r="T417" s="176">
        <v>7</v>
      </c>
      <c r="U417" s="33">
        <v>1</v>
      </c>
      <c r="V417" s="33">
        <v>0.75</v>
      </c>
      <c r="W417" s="17" t="s">
        <v>183</v>
      </c>
      <c r="X417" s="17" t="s">
        <v>183</v>
      </c>
      <c r="Y417" s="17" t="s">
        <v>183</v>
      </c>
      <c r="Z417" s="17" t="s">
        <v>183</v>
      </c>
      <c r="AA417" s="176">
        <v>15</v>
      </c>
      <c r="AB417" s="176">
        <v>8</v>
      </c>
      <c r="AC417" s="176">
        <v>0</v>
      </c>
      <c r="AD417" s="176">
        <v>8</v>
      </c>
      <c r="AE417" s="33">
        <f t="shared" ref="AE417:AE428" si="43">AB417/AD417</f>
        <v>1</v>
      </c>
      <c r="AF417" s="33">
        <v>0.75</v>
      </c>
      <c r="AG417" s="25" t="str">
        <f>_xlfn.XLOOKUP(F417,'TFS Details'!F:F,'TFS Details'!H:H)</f>
        <v>UAT In Test</v>
      </c>
      <c r="AH417" s="44">
        <v>8</v>
      </c>
      <c r="AI417" s="44">
        <v>0</v>
      </c>
      <c r="AJ417" s="44">
        <v>0</v>
      </c>
      <c r="AK417" s="44">
        <v>0</v>
      </c>
      <c r="AL417" s="40">
        <f t="shared" si="42"/>
        <v>8</v>
      </c>
      <c r="AM417" s="41">
        <f t="shared" si="41"/>
        <v>1</v>
      </c>
      <c r="AN417" s="41">
        <f t="shared" ref="AN417:AN429" si="44">IF(AH417=0,0,AH417/(SUM(AH417:AJ417)))</f>
        <v>1</v>
      </c>
      <c r="AO417" s="25"/>
      <c r="AP417" s="25" t="str">
        <f>_xlfn.XLOOKUP(F417,'TFS Details'!F:F,'TFS Details'!I:I)</f>
        <v>Insurgents</v>
      </c>
      <c r="AQ417" s="25" t="str">
        <f>_xlfn.XLOOKUP(AP417,'TFS Details'!I:I,'TFS Details'!AE:AE)</f>
        <v>K.devaraj</v>
      </c>
    </row>
    <row r="418" spans="1:43">
      <c r="A418" s="24" t="str">
        <f>_xlfn.XLOOKUP(F418,'TFS Details'!F:F,'TFS Details'!D:D)</f>
        <v>IPC Calculator</v>
      </c>
      <c r="B418" s="24" t="str">
        <f>_xlfn.XLOOKUP(F418,'TFS Details'!F:F,'TFS Details'!A:A)</f>
        <v>IPC Calculator | Updated RAG logic for IPC Delivery Toolkit and IPC Lead PMO</v>
      </c>
      <c r="C418" s="64">
        <f>_xlfn.XLOOKUP(F418,'TFS Details'!F:F,'TFS Details'!E:E)</f>
        <v>4341338</v>
      </c>
      <c r="D418" s="17" t="s">
        <v>52</v>
      </c>
      <c r="E418" s="19" t="s">
        <v>961</v>
      </c>
      <c r="F418" s="121">
        <v>4343700</v>
      </c>
      <c r="G418" s="18" t="s">
        <v>825</v>
      </c>
      <c r="H418" s="17" t="s">
        <v>962</v>
      </c>
      <c r="K418" s="97" t="s">
        <v>18</v>
      </c>
      <c r="L418" s="16" t="s">
        <v>827</v>
      </c>
      <c r="M418" s="97" t="s">
        <v>34</v>
      </c>
      <c r="N418" s="17"/>
      <c r="O418" s="134"/>
      <c r="Q418" s="176"/>
      <c r="R418" s="176"/>
      <c r="S418" s="176"/>
      <c r="T418" s="176"/>
      <c r="W418" s="17" t="s">
        <v>183</v>
      </c>
      <c r="X418" s="17" t="s">
        <v>183</v>
      </c>
      <c r="Y418" s="17" t="s">
        <v>183</v>
      </c>
      <c r="Z418" s="17" t="s">
        <v>183</v>
      </c>
      <c r="AA418" s="176">
        <v>40</v>
      </c>
      <c r="AB418" s="176">
        <v>37</v>
      </c>
      <c r="AC418" s="176">
        <v>1</v>
      </c>
      <c r="AD418" s="176">
        <v>38</v>
      </c>
      <c r="AE418" s="33">
        <f t="shared" si="43"/>
        <v>0.97368421052631582</v>
      </c>
      <c r="AF418" s="33">
        <v>0.9</v>
      </c>
      <c r="AG418" s="25" t="str">
        <f>_xlfn.XLOOKUP(F418,'TFS Details'!F:F,'TFS Details'!H:H)</f>
        <v>PT In Test</v>
      </c>
      <c r="AH418" s="44">
        <v>38</v>
      </c>
      <c r="AI418" s="44">
        <v>0</v>
      </c>
      <c r="AJ418" s="44">
        <v>0</v>
      </c>
      <c r="AK418" s="44">
        <v>0</v>
      </c>
      <c r="AL418" s="40">
        <f t="shared" si="42"/>
        <v>38</v>
      </c>
      <c r="AM418" s="41">
        <f t="shared" si="41"/>
        <v>1</v>
      </c>
      <c r="AN418" s="41">
        <f t="shared" si="44"/>
        <v>1</v>
      </c>
      <c r="AO418" s="25"/>
      <c r="AP418" s="25" t="str">
        <f>_xlfn.XLOOKUP(F418,'TFS Details'!F:F,'TFS Details'!I:I)</f>
        <v>Insurgents</v>
      </c>
      <c r="AQ418" s="25" t="str">
        <f>_xlfn.XLOOKUP(AP418,'TFS Details'!I:I,'TFS Details'!AE:AE)</f>
        <v>K.devaraj</v>
      </c>
    </row>
    <row r="419" spans="1:43">
      <c r="A419" s="24" t="str">
        <f>_xlfn.XLOOKUP(F419,'TFS Details'!F:F,'TFS Details'!D:D)</f>
        <v>IPC Calculator</v>
      </c>
      <c r="B419" s="24" t="str">
        <f>_xlfn.XLOOKUP(F419,'TFS Details'!F:F,'TFS Details'!A:A)</f>
        <v>IPC Calculator | Updated RAG logic for IPC Delivery Toolkit and IPC Lead PMO</v>
      </c>
      <c r="C419" s="64">
        <f>_xlfn.XLOOKUP(F419,'TFS Details'!F:F,'TFS Details'!E:E)</f>
        <v>4341338</v>
      </c>
      <c r="D419" s="17" t="s">
        <v>52</v>
      </c>
      <c r="E419" s="19" t="s">
        <v>963</v>
      </c>
      <c r="F419" s="121">
        <v>4343702</v>
      </c>
      <c r="G419" s="18" t="s">
        <v>825</v>
      </c>
      <c r="H419" s="17" t="s">
        <v>962</v>
      </c>
      <c r="K419" s="97" t="s">
        <v>18</v>
      </c>
      <c r="L419" s="16" t="s">
        <v>964</v>
      </c>
      <c r="M419" s="16" t="s">
        <v>43</v>
      </c>
      <c r="N419" s="17"/>
      <c r="O419" s="134"/>
      <c r="Q419" s="176"/>
      <c r="R419" s="176"/>
      <c r="S419" s="176"/>
      <c r="T419" s="176"/>
      <c r="W419" s="17" t="s">
        <v>183</v>
      </c>
      <c r="X419" s="17" t="s">
        <v>183</v>
      </c>
      <c r="Y419" s="17" t="s">
        <v>183</v>
      </c>
      <c r="Z419" s="17" t="s">
        <v>183</v>
      </c>
      <c r="AA419" s="176">
        <v>40</v>
      </c>
      <c r="AB419" s="176">
        <v>38</v>
      </c>
      <c r="AC419" s="176">
        <v>1</v>
      </c>
      <c r="AD419" s="176">
        <v>39</v>
      </c>
      <c r="AE419" s="33">
        <f t="shared" si="43"/>
        <v>0.97435897435897434</v>
      </c>
      <c r="AF419" s="33">
        <v>0.92</v>
      </c>
      <c r="AG419" s="25" t="str">
        <f>_xlfn.XLOOKUP(F419,'TFS Details'!F:F,'TFS Details'!H:H)</f>
        <v>PT In Test</v>
      </c>
      <c r="AH419" s="44">
        <v>39</v>
      </c>
      <c r="AI419" s="44">
        <v>0</v>
      </c>
      <c r="AJ419" s="44">
        <v>0</v>
      </c>
      <c r="AK419" s="44">
        <v>0</v>
      </c>
      <c r="AL419" s="40">
        <f t="shared" si="42"/>
        <v>39</v>
      </c>
      <c r="AM419" s="41">
        <f t="shared" si="41"/>
        <v>1</v>
      </c>
      <c r="AN419" s="41">
        <f t="shared" si="44"/>
        <v>1</v>
      </c>
      <c r="AO419" s="25"/>
      <c r="AP419" s="25" t="str">
        <f>_xlfn.XLOOKUP(F419,'TFS Details'!F:F,'TFS Details'!I:I)</f>
        <v>CodeCrafters</v>
      </c>
      <c r="AQ419" s="25" t="str">
        <f>_xlfn.XLOOKUP(AP419,'TFS Details'!I:I,'TFS Details'!AE:AE)</f>
        <v>sona.job</v>
      </c>
    </row>
    <row r="420" spans="1:43">
      <c r="A420" s="24" t="str">
        <f>_xlfn.XLOOKUP(F420,'TFS Details'!F:F,'TFS Details'!D:D)</f>
        <v>IPC Calculator</v>
      </c>
      <c r="B420" s="24" t="str">
        <f>_xlfn.XLOOKUP(F420,'TFS Details'!F:F,'TFS Details'!A:A)</f>
        <v>IPC Calculator | Updated RAG logic for IPC Delivery Toolkit and IPC Lead PMO</v>
      </c>
      <c r="C420" s="64">
        <f>_xlfn.XLOOKUP(F420,'TFS Details'!F:F,'TFS Details'!E:E)</f>
        <v>4341338</v>
      </c>
      <c r="D420" s="17" t="s">
        <v>52</v>
      </c>
      <c r="E420" s="19" t="s">
        <v>965</v>
      </c>
      <c r="F420" s="121">
        <v>4343704</v>
      </c>
      <c r="G420" s="18" t="s">
        <v>962</v>
      </c>
      <c r="H420" s="17" t="s">
        <v>825</v>
      </c>
      <c r="K420" s="97" t="s">
        <v>18</v>
      </c>
      <c r="L420" s="16" t="s">
        <v>827</v>
      </c>
      <c r="M420" s="97" t="s">
        <v>34</v>
      </c>
      <c r="N420" s="17"/>
      <c r="O420" s="134"/>
      <c r="Q420" s="176"/>
      <c r="R420" s="176"/>
      <c r="S420" s="176"/>
      <c r="T420" s="176"/>
      <c r="W420" s="17" t="s">
        <v>183</v>
      </c>
      <c r="X420" s="17" t="s">
        <v>183</v>
      </c>
      <c r="Y420" s="17" t="s">
        <v>183</v>
      </c>
      <c r="Z420" s="17" t="s">
        <v>183</v>
      </c>
      <c r="AA420" s="176">
        <v>40</v>
      </c>
      <c r="AB420" s="176">
        <v>38</v>
      </c>
      <c r="AC420" s="176">
        <v>1</v>
      </c>
      <c r="AD420" s="176">
        <v>39</v>
      </c>
      <c r="AE420" s="33">
        <f t="shared" si="43"/>
        <v>0.97435897435897434</v>
      </c>
      <c r="AF420" s="33">
        <v>0.92</v>
      </c>
      <c r="AG420" s="25" t="str">
        <f>_xlfn.XLOOKUP(F420,'TFS Details'!F:F,'TFS Details'!H:H)</f>
        <v>PT In Test</v>
      </c>
      <c r="AH420" s="44">
        <v>39</v>
      </c>
      <c r="AI420" s="44">
        <v>0</v>
      </c>
      <c r="AJ420" s="44">
        <v>0</v>
      </c>
      <c r="AK420" s="44">
        <v>0</v>
      </c>
      <c r="AL420" s="40">
        <f t="shared" si="42"/>
        <v>39</v>
      </c>
      <c r="AM420" s="41">
        <f t="shared" si="41"/>
        <v>1</v>
      </c>
      <c r="AN420" s="41">
        <f t="shared" si="44"/>
        <v>1</v>
      </c>
      <c r="AO420" s="25"/>
      <c r="AP420" s="25" t="str">
        <f>_xlfn.XLOOKUP(F420,'TFS Details'!F:F,'TFS Details'!I:I)</f>
        <v>Insurgents</v>
      </c>
      <c r="AQ420" s="25" t="str">
        <f>_xlfn.XLOOKUP(AP420,'TFS Details'!I:I,'TFS Details'!AE:AE)</f>
        <v>K.devaraj</v>
      </c>
    </row>
    <row r="421" spans="1:43">
      <c r="A421" s="24" t="str">
        <f>_xlfn.XLOOKUP(F421,'TFS Details'!F:F,'TFS Details'!D:D)</f>
        <v>IPC Calculator</v>
      </c>
      <c r="B421" s="24" t="str">
        <f>_xlfn.XLOOKUP(F421,'TFS Details'!F:F,'TFS Details'!A:A)</f>
        <v>IPC Calculator | Updated RAG logic for IPC Delivery Toolkit and IPC Lead PMO</v>
      </c>
      <c r="C421" s="64">
        <f>_xlfn.XLOOKUP(F421,'TFS Details'!F:F,'TFS Details'!E:E)</f>
        <v>4341338</v>
      </c>
      <c r="D421" s="17" t="s">
        <v>52</v>
      </c>
      <c r="E421" s="19" t="s">
        <v>966</v>
      </c>
      <c r="F421" s="121">
        <v>4343706</v>
      </c>
      <c r="G421" s="18" t="s">
        <v>962</v>
      </c>
      <c r="H421" s="17" t="s">
        <v>825</v>
      </c>
      <c r="K421" s="97" t="s">
        <v>18</v>
      </c>
      <c r="L421" s="16" t="s">
        <v>967</v>
      </c>
      <c r="M421" s="97" t="s">
        <v>34</v>
      </c>
      <c r="N421" s="17"/>
      <c r="O421" s="134"/>
      <c r="Q421" s="176"/>
      <c r="R421" s="176"/>
      <c r="S421" s="176"/>
      <c r="T421" s="176"/>
      <c r="W421" s="17" t="s">
        <v>183</v>
      </c>
      <c r="X421" s="17" t="s">
        <v>183</v>
      </c>
      <c r="Y421" s="17" t="s">
        <v>183</v>
      </c>
      <c r="Z421" s="17" t="s">
        <v>183</v>
      </c>
      <c r="AA421" s="176">
        <v>55</v>
      </c>
      <c r="AB421" s="176">
        <v>52</v>
      </c>
      <c r="AC421" s="176">
        <v>1</v>
      </c>
      <c r="AD421" s="176">
        <v>53</v>
      </c>
      <c r="AE421" s="33">
        <f t="shared" si="43"/>
        <v>0.98113207547169812</v>
      </c>
      <c r="AF421" s="33">
        <v>0.9</v>
      </c>
      <c r="AG421" s="25" t="str">
        <f>_xlfn.XLOOKUP(F421,'TFS Details'!F:F,'TFS Details'!H:H)</f>
        <v>PT In Test</v>
      </c>
      <c r="AH421" s="44">
        <v>53</v>
      </c>
      <c r="AI421" s="44">
        <v>0</v>
      </c>
      <c r="AJ421" s="44">
        <v>0</v>
      </c>
      <c r="AK421" s="44">
        <v>0</v>
      </c>
      <c r="AL421" s="40">
        <f t="shared" si="42"/>
        <v>53</v>
      </c>
      <c r="AM421" s="41">
        <f t="shared" si="41"/>
        <v>1</v>
      </c>
      <c r="AN421" s="41">
        <f t="shared" si="44"/>
        <v>1</v>
      </c>
      <c r="AO421" s="25"/>
      <c r="AP421" s="25" t="str">
        <f>_xlfn.XLOOKUP(F421,'TFS Details'!F:F,'TFS Details'!I:I)</f>
        <v>Insurgents</v>
      </c>
      <c r="AQ421" s="25" t="str">
        <f>_xlfn.XLOOKUP(AP421,'TFS Details'!I:I,'TFS Details'!AE:AE)</f>
        <v>K.devaraj</v>
      </c>
    </row>
    <row r="422" spans="1:43">
      <c r="A422" s="24" t="str">
        <f>_xlfn.XLOOKUP(F422,'TFS Details'!F:F,'TFS Details'!D:D)</f>
        <v>Pricing</v>
      </c>
      <c r="B422" s="24" t="str">
        <f>_xlfn.XLOOKUP(F422,'TFS Details'!F:F,'TFS Details'!A:A)</f>
        <v>Corrections in OCP/DCTA Resource Level Excel Export Reports</v>
      </c>
      <c r="C422" s="64">
        <f>_xlfn.XLOOKUP(F422,'TFS Details'!F:F,'TFS Details'!E:E)</f>
        <v>4352766</v>
      </c>
      <c r="D422" s="17" t="s">
        <v>52</v>
      </c>
      <c r="E422" s="19" t="s">
        <v>968</v>
      </c>
      <c r="F422" s="121">
        <v>4361207</v>
      </c>
      <c r="G422" s="18" t="s">
        <v>821</v>
      </c>
      <c r="H422" s="17" t="s">
        <v>962</v>
      </c>
      <c r="K422" s="97" t="s">
        <v>18</v>
      </c>
      <c r="L422" s="16" t="s">
        <v>827</v>
      </c>
      <c r="M422" s="97" t="s">
        <v>34</v>
      </c>
      <c r="N422" s="17"/>
      <c r="O422" s="134"/>
      <c r="Q422" s="176"/>
      <c r="R422" s="176"/>
      <c r="S422" s="176"/>
      <c r="T422" s="176"/>
      <c r="W422" s="17" t="s">
        <v>183</v>
      </c>
      <c r="X422" s="17" t="s">
        <v>183</v>
      </c>
      <c r="Y422" s="17" t="s">
        <v>183</v>
      </c>
      <c r="Z422" s="17" t="s">
        <v>183</v>
      </c>
      <c r="AA422" s="176">
        <v>15</v>
      </c>
      <c r="AB422" s="176">
        <v>13</v>
      </c>
      <c r="AC422" s="176">
        <v>0</v>
      </c>
      <c r="AD422" s="176">
        <v>13</v>
      </c>
      <c r="AE422" s="33">
        <f t="shared" si="43"/>
        <v>1</v>
      </c>
      <c r="AF422" s="33">
        <v>0.7</v>
      </c>
      <c r="AG422" s="25" t="str">
        <f>_xlfn.XLOOKUP(F422,'TFS Details'!F:F,'TFS Details'!H:H)</f>
        <v>UAT In Test</v>
      </c>
      <c r="AH422" s="127">
        <v>13</v>
      </c>
      <c r="AI422" s="127">
        <v>0</v>
      </c>
      <c r="AJ422" s="127">
        <v>0</v>
      </c>
      <c r="AK422" s="127">
        <v>0</v>
      </c>
      <c r="AL422" s="40">
        <f t="shared" si="42"/>
        <v>13</v>
      </c>
      <c r="AM422" s="41">
        <f t="shared" si="41"/>
        <v>1</v>
      </c>
      <c r="AN422" s="41">
        <f t="shared" si="44"/>
        <v>1</v>
      </c>
      <c r="AO422" s="25"/>
      <c r="AP422" s="25" t="str">
        <f>_xlfn.XLOOKUP(F422,'TFS Details'!F:F,'TFS Details'!I:I)</f>
        <v>CreativeCoders</v>
      </c>
      <c r="AQ422" s="25" t="str">
        <f>_xlfn.XLOOKUP(AP422,'TFS Details'!I:I,'TFS Details'!AE:AE)</f>
        <v>K.devaraj</v>
      </c>
    </row>
    <row r="423" spans="1:43">
      <c r="A423" s="24" t="str">
        <f>_xlfn.XLOOKUP(F423,'TFS Details'!F:F,'TFS Details'!D:D)</f>
        <v>Value Shaping</v>
      </c>
      <c r="B423" s="24" t="str">
        <f>_xlfn.XLOOKUP(F423,'TFS Details'!F:F,'TFS Details'!A:A)</f>
        <v>Value Shaping –Enhancements</v>
      </c>
      <c r="C423" s="64">
        <f>_xlfn.XLOOKUP(F423,'TFS Details'!F:F,'TFS Details'!E:E)</f>
        <v>4330994</v>
      </c>
      <c r="D423" s="17" t="s">
        <v>52</v>
      </c>
      <c r="E423" s="19" t="s">
        <v>969</v>
      </c>
      <c r="F423" s="121">
        <v>4416192</v>
      </c>
      <c r="G423" s="18" t="s">
        <v>244</v>
      </c>
      <c r="H423" s="17" t="s">
        <v>960</v>
      </c>
      <c r="J423" s="21" t="s">
        <v>56</v>
      </c>
      <c r="K423" s="97" t="s">
        <v>1</v>
      </c>
      <c r="L423" s="16"/>
      <c r="N423" s="17" t="s">
        <v>182</v>
      </c>
      <c r="O423" s="134">
        <v>1</v>
      </c>
      <c r="P423" s="33">
        <v>1</v>
      </c>
      <c r="Q423" s="176">
        <v>16</v>
      </c>
      <c r="R423" s="176">
        <v>6</v>
      </c>
      <c r="S423" s="176">
        <v>0</v>
      </c>
      <c r="T423" s="176">
        <v>6</v>
      </c>
      <c r="U423" s="33">
        <v>1</v>
      </c>
      <c r="V423" s="33">
        <v>0.7</v>
      </c>
      <c r="W423" s="17" t="s">
        <v>183</v>
      </c>
      <c r="X423" s="17" t="s">
        <v>183</v>
      </c>
      <c r="Y423" s="17" t="s">
        <v>183</v>
      </c>
      <c r="Z423" s="17" t="s">
        <v>183</v>
      </c>
      <c r="AA423" s="176">
        <v>15</v>
      </c>
      <c r="AB423" s="176">
        <v>11</v>
      </c>
      <c r="AC423" s="176">
        <v>1</v>
      </c>
      <c r="AD423" s="176">
        <v>12</v>
      </c>
      <c r="AE423" s="33">
        <f t="shared" si="43"/>
        <v>0.91666666666666663</v>
      </c>
      <c r="AF423" s="33">
        <v>0.7</v>
      </c>
      <c r="AG423" s="25" t="str">
        <f>_xlfn.XLOOKUP(F423,'TFS Details'!F:F,'TFS Details'!H:H)</f>
        <v>UAT In Test</v>
      </c>
      <c r="AH423" s="44">
        <v>12</v>
      </c>
      <c r="AI423" s="44">
        <v>0</v>
      </c>
      <c r="AJ423" s="44">
        <v>0</v>
      </c>
      <c r="AK423" s="44">
        <v>0</v>
      </c>
      <c r="AL423" s="40">
        <f t="shared" si="42"/>
        <v>12</v>
      </c>
      <c r="AM423" s="41">
        <f t="shared" si="41"/>
        <v>1</v>
      </c>
      <c r="AN423" s="41">
        <f t="shared" si="44"/>
        <v>1</v>
      </c>
      <c r="AO423" s="25"/>
      <c r="AP423" s="25" t="str">
        <f>_xlfn.XLOOKUP(F423,'TFS Details'!F:F,'TFS Details'!I:I)</f>
        <v>Insurgents</v>
      </c>
      <c r="AQ423" s="25" t="str">
        <f>_xlfn.XLOOKUP(AP423,'TFS Details'!I:I,'TFS Details'!AE:AE)</f>
        <v>K.devaraj</v>
      </c>
    </row>
    <row r="424" spans="1:43">
      <c r="A424" s="24" t="str">
        <f>_xlfn.XLOOKUP(F424,'TFS Details'!F:F,'TFS Details'!D:D)</f>
        <v>DFD-myISP</v>
      </c>
      <c r="B424" s="24" t="str">
        <f>_xlfn.XLOOKUP(F424,'TFS Details'!F:F,'TFS Details'!A:A)</f>
        <v>Song Deals Compliant Logic Update</v>
      </c>
      <c r="C424" s="64">
        <f>_xlfn.XLOOKUP(F424,'TFS Details'!F:F,'TFS Details'!E:E)</f>
        <v>4317244</v>
      </c>
      <c r="D424" s="17" t="s">
        <v>52</v>
      </c>
      <c r="E424" s="19" t="s">
        <v>970</v>
      </c>
      <c r="F424" s="121">
        <v>4416132</v>
      </c>
      <c r="G424" s="18" t="s">
        <v>960</v>
      </c>
      <c r="H424" s="17" t="s">
        <v>244</v>
      </c>
      <c r="J424" s="21" t="s">
        <v>126</v>
      </c>
      <c r="K424" s="97" t="s">
        <v>1</v>
      </c>
      <c r="L424" s="16"/>
      <c r="N424" s="17" t="s">
        <v>182</v>
      </c>
      <c r="O424" s="134">
        <v>1</v>
      </c>
      <c r="P424" s="33">
        <v>0.8</v>
      </c>
      <c r="Q424" s="176">
        <v>9</v>
      </c>
      <c r="R424" s="176">
        <v>6</v>
      </c>
      <c r="S424" s="176">
        <v>0</v>
      </c>
      <c r="T424" s="176">
        <v>6</v>
      </c>
      <c r="U424" s="33">
        <v>1</v>
      </c>
      <c r="V424" s="33">
        <v>0.8</v>
      </c>
      <c r="W424" s="17" t="s">
        <v>183</v>
      </c>
      <c r="X424" s="17" t="s">
        <v>183</v>
      </c>
      <c r="Y424" s="17" t="s">
        <v>183</v>
      </c>
      <c r="Z424" s="17" t="s">
        <v>183</v>
      </c>
      <c r="AA424" s="176">
        <v>15</v>
      </c>
      <c r="AB424" s="176">
        <v>13</v>
      </c>
      <c r="AC424" s="176">
        <v>1</v>
      </c>
      <c r="AD424" s="176">
        <v>14</v>
      </c>
      <c r="AE424" s="33">
        <f t="shared" si="43"/>
        <v>0.9285714285714286</v>
      </c>
      <c r="AF424" s="33">
        <v>0.8</v>
      </c>
      <c r="AG424" s="25" t="str">
        <f>_xlfn.XLOOKUP(F424,'TFS Details'!F:F,'TFS Details'!H:H)</f>
        <v>UAT In Test</v>
      </c>
      <c r="AH424" s="44">
        <v>14</v>
      </c>
      <c r="AI424" s="44">
        <v>0</v>
      </c>
      <c r="AJ424" s="44">
        <v>0</v>
      </c>
      <c r="AK424" s="44">
        <v>0</v>
      </c>
      <c r="AL424" s="40">
        <f t="shared" si="42"/>
        <v>14</v>
      </c>
      <c r="AM424" s="41">
        <f t="shared" si="41"/>
        <v>1</v>
      </c>
      <c r="AN424" s="41">
        <f t="shared" si="44"/>
        <v>1</v>
      </c>
      <c r="AO424" s="25"/>
      <c r="AP424" s="25" t="str">
        <f>_xlfn.XLOOKUP(F424,'TFS Details'!F:F,'TFS Details'!I:I)</f>
        <v>Insurgents</v>
      </c>
      <c r="AQ424" s="25" t="str">
        <f>_xlfn.XLOOKUP(AP424,'TFS Details'!I:I,'TFS Details'!AE:AE)</f>
        <v>K.devaraj</v>
      </c>
    </row>
    <row r="425" spans="1:43">
      <c r="A425" s="24" t="str">
        <f>_xlfn.XLOOKUP(F425,'TFS Details'!F:F,'TFS Details'!D:D)</f>
        <v>Pricing</v>
      </c>
      <c r="B425" s="24" t="str">
        <f>_xlfn.XLOOKUP(F425,'TFS Details'!F:F,'TFS Details'!A:A)</f>
        <v>Price to Client after Negotiation Contingency calculation</v>
      </c>
      <c r="C425" s="64">
        <f>_xlfn.XLOOKUP(F425,'TFS Details'!F:F,'TFS Details'!E:E)</f>
        <v>4351343</v>
      </c>
      <c r="D425" s="17" t="s">
        <v>52</v>
      </c>
      <c r="E425" s="19" t="s">
        <v>971</v>
      </c>
      <c r="F425" s="121">
        <v>4361788</v>
      </c>
      <c r="G425" s="18" t="s">
        <v>825</v>
      </c>
      <c r="H425" s="17" t="s">
        <v>972</v>
      </c>
      <c r="K425" s="97" t="s">
        <v>18</v>
      </c>
      <c r="L425" s="16" t="s">
        <v>827</v>
      </c>
      <c r="M425" s="97" t="s">
        <v>34</v>
      </c>
      <c r="N425" s="17"/>
      <c r="O425" s="134"/>
      <c r="Q425" s="176"/>
      <c r="R425" s="176"/>
      <c r="S425" s="176"/>
      <c r="T425" s="176"/>
      <c r="W425" s="17" t="s">
        <v>183</v>
      </c>
      <c r="X425" s="17" t="s">
        <v>183</v>
      </c>
      <c r="Y425" s="17" t="s">
        <v>183</v>
      </c>
      <c r="Z425" s="17" t="s">
        <v>183</v>
      </c>
      <c r="AA425" s="176">
        <v>26</v>
      </c>
      <c r="AB425" s="176">
        <v>22</v>
      </c>
      <c r="AC425" s="176">
        <v>0</v>
      </c>
      <c r="AD425" s="176">
        <v>22</v>
      </c>
      <c r="AE425" s="33">
        <f t="shared" si="43"/>
        <v>1</v>
      </c>
      <c r="AF425" s="33">
        <f>(AB425/AA425)</f>
        <v>0.84615384615384615</v>
      </c>
      <c r="AG425" s="25" t="str">
        <f>_xlfn.XLOOKUP(F425,'TFS Details'!F:F,'TFS Details'!H:H)</f>
        <v>UAT In Test</v>
      </c>
      <c r="AH425" s="44">
        <v>22</v>
      </c>
      <c r="AI425" s="44">
        <v>0</v>
      </c>
      <c r="AJ425" s="44">
        <v>0</v>
      </c>
      <c r="AK425" s="44">
        <v>0</v>
      </c>
      <c r="AL425" s="40">
        <f t="shared" si="42"/>
        <v>22</v>
      </c>
      <c r="AM425" s="41">
        <f t="shared" si="41"/>
        <v>1</v>
      </c>
      <c r="AN425" s="41">
        <f t="shared" si="44"/>
        <v>1</v>
      </c>
      <c r="AO425" s="25"/>
      <c r="AP425" s="25" t="str">
        <f>_xlfn.XLOOKUP(F425,'TFS Details'!F:F,'TFS Details'!I:I)</f>
        <v>Simulators</v>
      </c>
      <c r="AQ425" s="25" t="str">
        <f>_xlfn.XLOOKUP(AP425,'TFS Details'!I:I,'TFS Details'!AE:AE)</f>
        <v>K.devaraj</v>
      </c>
    </row>
    <row r="426" spans="1:43" ht="14.1">
      <c r="A426" s="24" t="str">
        <f>_xlfn.XLOOKUP(F426,'TFS Details'!F:F,'TFS Details'!D:D)</f>
        <v>SI DCTA</v>
      </c>
      <c r="B426" s="24" t="str">
        <f>_xlfn.XLOOKUP(F426,'TFS Details'!F:F,'TFS Details'!A:A)</f>
        <v>Billable Expenses as % of Price UI</v>
      </c>
      <c r="C426" s="64">
        <f>_xlfn.XLOOKUP(F426,'TFS Details'!F:F,'TFS Details'!E:E)</f>
        <v>4371605</v>
      </c>
      <c r="D426" s="17" t="s">
        <v>52</v>
      </c>
      <c r="E426" s="19" t="s">
        <v>973</v>
      </c>
      <c r="F426" s="121">
        <v>4365015</v>
      </c>
      <c r="G426" s="18" t="s">
        <v>825</v>
      </c>
      <c r="H426" s="17" t="s">
        <v>972</v>
      </c>
      <c r="K426" s="97" t="s">
        <v>18</v>
      </c>
      <c r="L426" s="79" t="s">
        <v>974</v>
      </c>
      <c r="M426" s="16" t="s">
        <v>48</v>
      </c>
      <c r="N426" s="17"/>
      <c r="O426" s="134"/>
      <c r="Q426" s="176"/>
      <c r="R426" s="176"/>
      <c r="S426" s="176"/>
      <c r="T426" s="176"/>
      <c r="W426" s="17" t="s">
        <v>183</v>
      </c>
      <c r="X426" s="17" t="s">
        <v>183</v>
      </c>
      <c r="Y426" s="17" t="s">
        <v>183</v>
      </c>
      <c r="Z426" s="17" t="s">
        <v>183</v>
      </c>
      <c r="AA426" s="176">
        <v>28</v>
      </c>
      <c r="AB426" s="176">
        <v>27</v>
      </c>
      <c r="AC426" s="176">
        <v>3</v>
      </c>
      <c r="AD426" s="176">
        <v>30</v>
      </c>
      <c r="AE426" s="33">
        <f t="shared" si="43"/>
        <v>0.9</v>
      </c>
      <c r="AF426" s="33">
        <v>0.92</v>
      </c>
      <c r="AG426" s="25" t="str">
        <f>_xlfn.XLOOKUP(F426,'TFS Details'!F:F,'TFS Details'!H:H)</f>
        <v>UAT In Test</v>
      </c>
      <c r="AH426" s="44">
        <v>19</v>
      </c>
      <c r="AI426" s="44">
        <v>0</v>
      </c>
      <c r="AJ426" s="44">
        <v>0</v>
      </c>
      <c r="AK426" s="44">
        <v>0</v>
      </c>
      <c r="AL426" s="40">
        <f t="shared" si="42"/>
        <v>19</v>
      </c>
      <c r="AM426" s="41">
        <f t="shared" si="41"/>
        <v>1</v>
      </c>
      <c r="AN426" s="41">
        <f t="shared" si="44"/>
        <v>1</v>
      </c>
      <c r="AO426" s="126" t="s">
        <v>975</v>
      </c>
      <c r="AP426" s="25" t="str">
        <f>_xlfn.XLOOKUP(F426,'TFS Details'!F:F,'TFS Details'!I:I)</f>
        <v>DevStormers</v>
      </c>
      <c r="AQ426" s="25" t="str">
        <f>_xlfn.XLOOKUP(AP426,'TFS Details'!I:I,'TFS Details'!AE:AE)</f>
        <v>mervinkumar.manickam</v>
      </c>
    </row>
    <row r="427" spans="1:43">
      <c r="A427" s="24" t="str">
        <f>_xlfn.XLOOKUP(F427,'TFS Details'!F:F,'TFS Details'!D:D)</f>
        <v>SI DCTA</v>
      </c>
      <c r="B427" s="24" t="str">
        <f>_xlfn.XLOOKUP(F427,'TFS Details'!F:F,'TFS Details'!A:A)</f>
        <v>MMP release: Billable Expense as % of Price</v>
      </c>
      <c r="C427" s="64">
        <f>_xlfn.XLOOKUP(F427,'TFS Details'!F:F,'TFS Details'!E:E)</f>
        <v>4371607</v>
      </c>
      <c r="D427" s="17" t="s">
        <v>52</v>
      </c>
      <c r="E427" s="19" t="s">
        <v>976</v>
      </c>
      <c r="F427" s="121">
        <v>4367218</v>
      </c>
      <c r="G427" s="18" t="s">
        <v>821</v>
      </c>
      <c r="H427" s="17" t="s">
        <v>962</v>
      </c>
      <c r="K427" s="97" t="s">
        <v>18</v>
      </c>
      <c r="L427" s="16" t="s">
        <v>827</v>
      </c>
      <c r="M427" s="97" t="s">
        <v>34</v>
      </c>
      <c r="N427" s="17"/>
      <c r="O427" s="134"/>
      <c r="Q427" s="176"/>
      <c r="R427" s="176"/>
      <c r="S427" s="176"/>
      <c r="T427" s="176"/>
      <c r="W427" s="17" t="s">
        <v>183</v>
      </c>
      <c r="X427" s="17" t="s">
        <v>183</v>
      </c>
      <c r="Y427" s="17" t="s">
        <v>183</v>
      </c>
      <c r="Z427" s="17" t="s">
        <v>183</v>
      </c>
      <c r="AA427" s="176">
        <v>19</v>
      </c>
      <c r="AB427" s="176">
        <v>16</v>
      </c>
      <c r="AC427" s="176">
        <v>0</v>
      </c>
      <c r="AD427" s="176">
        <v>16</v>
      </c>
      <c r="AE427" s="33">
        <f t="shared" si="43"/>
        <v>1</v>
      </c>
      <c r="AF427" s="33">
        <v>0.7</v>
      </c>
      <c r="AG427" s="25" t="str">
        <f>_xlfn.XLOOKUP(F427,'TFS Details'!F:F,'TFS Details'!H:H)</f>
        <v>UAT In Test</v>
      </c>
      <c r="AH427" s="44">
        <v>16</v>
      </c>
      <c r="AI427" s="44">
        <v>0</v>
      </c>
      <c r="AJ427" s="44">
        <v>0</v>
      </c>
      <c r="AK427" s="44">
        <v>0</v>
      </c>
      <c r="AL427" s="40">
        <f t="shared" si="42"/>
        <v>16</v>
      </c>
      <c r="AM427" s="41">
        <f t="shared" si="41"/>
        <v>1</v>
      </c>
      <c r="AN427" s="41">
        <f t="shared" si="44"/>
        <v>1</v>
      </c>
      <c r="AO427" s="25" t="s">
        <v>977</v>
      </c>
      <c r="AP427" s="25" t="str">
        <f>_xlfn.XLOOKUP(F427,'TFS Details'!F:F,'TFS Details'!I:I)</f>
        <v>Insurgents</v>
      </c>
      <c r="AQ427" s="25" t="str">
        <f>_xlfn.XLOOKUP(AP427,'TFS Details'!I:I,'TFS Details'!AE:AE)</f>
        <v>K.devaraj</v>
      </c>
    </row>
    <row r="428" spans="1:43">
      <c r="A428" s="24" t="str">
        <f>_xlfn.XLOOKUP(F428,'TFS Details'!F:F,'TFS Details'!D:D)</f>
        <v>SI DCTA</v>
      </c>
      <c r="B428" s="24" t="str">
        <f>_xlfn.XLOOKUP(F428,'TFS Details'!F:F,'TFS Details'!A:A)</f>
        <v>MMP release: Billable Expense as % of Price</v>
      </c>
      <c r="C428" s="64">
        <f>_xlfn.XLOOKUP(F428,'TFS Details'!F:F,'TFS Details'!E:E)</f>
        <v>4371607</v>
      </c>
      <c r="D428" s="17" t="s">
        <v>52</v>
      </c>
      <c r="E428" s="19" t="s">
        <v>978</v>
      </c>
      <c r="F428" s="121">
        <v>4385961</v>
      </c>
      <c r="G428" s="18" t="s">
        <v>960</v>
      </c>
      <c r="H428" s="17" t="s">
        <v>244</v>
      </c>
      <c r="K428" s="97" t="s">
        <v>18</v>
      </c>
      <c r="L428" s="79" t="s">
        <v>974</v>
      </c>
      <c r="M428" s="16" t="s">
        <v>48</v>
      </c>
      <c r="N428" s="17"/>
      <c r="O428" s="134"/>
      <c r="Q428" s="176"/>
      <c r="R428" s="176"/>
      <c r="S428" s="176"/>
      <c r="T428" s="176"/>
      <c r="W428" s="17" t="s">
        <v>183</v>
      </c>
      <c r="X428" s="17" t="s">
        <v>183</v>
      </c>
      <c r="Y428" s="17" t="s">
        <v>183</v>
      </c>
      <c r="Z428" s="17" t="s">
        <v>183</v>
      </c>
      <c r="AA428" s="176">
        <v>15</v>
      </c>
      <c r="AB428" s="176">
        <v>14</v>
      </c>
      <c r="AC428" s="176">
        <v>0</v>
      </c>
      <c r="AD428" s="176">
        <v>14</v>
      </c>
      <c r="AE428" s="33">
        <f t="shared" si="43"/>
        <v>1</v>
      </c>
      <c r="AF428" s="33">
        <v>0.9</v>
      </c>
      <c r="AG428" s="25" t="str">
        <f>_xlfn.XLOOKUP(F428,'TFS Details'!F:F,'TFS Details'!H:H)</f>
        <v>UAT In Test</v>
      </c>
      <c r="AH428" s="44">
        <v>14</v>
      </c>
      <c r="AI428" s="44">
        <v>0</v>
      </c>
      <c r="AJ428" s="44">
        <v>0</v>
      </c>
      <c r="AK428" s="44">
        <v>0</v>
      </c>
      <c r="AL428" s="40">
        <f t="shared" si="42"/>
        <v>14</v>
      </c>
      <c r="AM428" s="41">
        <f t="shared" si="41"/>
        <v>1</v>
      </c>
      <c r="AN428" s="41">
        <f t="shared" si="44"/>
        <v>1</v>
      </c>
      <c r="AO428" s="25"/>
      <c r="AP428" s="25" t="str">
        <f>_xlfn.XLOOKUP(F428,'TFS Details'!F:F,'TFS Details'!I:I)</f>
        <v>TechSprinters</v>
      </c>
      <c r="AQ428" s="25" t="str">
        <f>_xlfn.XLOOKUP(AP428,'TFS Details'!I:I,'TFS Details'!AE:AE)</f>
        <v>mervinkumar.manickam</v>
      </c>
    </row>
    <row r="429" spans="1:43">
      <c r="A429" s="24" t="str">
        <f>_xlfn.XLOOKUP(F429,'TFS Details'!F:F,'TFS Details'!D:D)</f>
        <v>PLD</v>
      </c>
      <c r="B429" s="24" t="str">
        <f>_xlfn.XLOOKUP(F429,'TFS Details'!F:F,'TFS Details'!A:A)</f>
        <v>Year update to 2025-2026 in PLD Cancellation mails</v>
      </c>
      <c r="C429" s="64">
        <f>_xlfn.XLOOKUP(F429,'TFS Details'!F:F,'TFS Details'!E:E)</f>
        <v>4378932</v>
      </c>
      <c r="D429" s="17" t="s">
        <v>22</v>
      </c>
      <c r="E429" s="19" t="s">
        <v>979</v>
      </c>
      <c r="F429" s="111">
        <v>4390222</v>
      </c>
      <c r="G429" s="18" t="s">
        <v>436</v>
      </c>
      <c r="H429" s="17" t="s">
        <v>980</v>
      </c>
      <c r="K429" s="97" t="s">
        <v>18</v>
      </c>
      <c r="L429" s="16" t="s">
        <v>28</v>
      </c>
      <c r="M429" s="16" t="s">
        <v>28</v>
      </c>
      <c r="N429" s="17"/>
      <c r="O429" s="134"/>
      <c r="Q429" s="176"/>
      <c r="R429" s="176"/>
      <c r="S429" s="176"/>
      <c r="T429" s="176"/>
      <c r="W429" s="17" t="s">
        <v>183</v>
      </c>
      <c r="X429" s="17" t="s">
        <v>183</v>
      </c>
      <c r="Y429" s="17" t="s">
        <v>183</v>
      </c>
      <c r="Z429" s="17" t="s">
        <v>183</v>
      </c>
      <c r="AA429" s="176">
        <v>24</v>
      </c>
      <c r="AB429" s="176">
        <v>4</v>
      </c>
      <c r="AC429" s="176">
        <v>6</v>
      </c>
      <c r="AD429" s="176">
        <v>6</v>
      </c>
      <c r="AE429" s="33">
        <v>0.66</v>
      </c>
      <c r="AF429" s="33">
        <v>0.6</v>
      </c>
      <c r="AG429" s="25" t="str">
        <f>_xlfn.XLOOKUP(F429,'TFS Details'!F:F,'TFS Details'!H:H)</f>
        <v>Test Complete</v>
      </c>
      <c r="AH429" s="44">
        <v>6</v>
      </c>
      <c r="AI429" s="44">
        <v>0</v>
      </c>
      <c r="AJ429" s="44">
        <v>0</v>
      </c>
      <c r="AK429" s="44">
        <v>0</v>
      </c>
      <c r="AL429" s="40">
        <f t="shared" si="42"/>
        <v>6</v>
      </c>
      <c r="AM429" s="41">
        <f t="shared" si="41"/>
        <v>1</v>
      </c>
      <c r="AN429" s="41">
        <f t="shared" si="44"/>
        <v>1</v>
      </c>
      <c r="AO429" s="25"/>
      <c r="AP429" s="25" t="str">
        <f>_xlfn.XLOOKUP(F429,'TFS Details'!F:F,'TFS Details'!I:I)</f>
        <v>Pacemakers</v>
      </c>
      <c r="AQ429" s="25" t="str">
        <f>_xlfn.XLOOKUP(AP429,'TFS Details'!I:I,'TFS Details'!AE:AE)</f>
        <v>sona.job</v>
      </c>
    </row>
    <row r="430" spans="1:43">
      <c r="A430" s="24" t="str">
        <f>_xlfn.XLOOKUP(F430,'TFS Details'!F:F,'TFS Details'!D:D)</f>
        <v>To show Baseline FTEs for DNP costs in the reports</v>
      </c>
      <c r="B430" s="24" t="str">
        <f>_xlfn.XLOOKUP(F430,'TFS Details'!F:F,'TFS Details'!A:A)</f>
        <v>FY26 [BPMS BAU] - Enhancements and CRs related to Models, Excel Input uplaod, Templates  and Reports</v>
      </c>
      <c r="C430" s="64">
        <f>_xlfn.XLOOKUP(F430,'TFS Details'!F:F,'TFS Details'!E:E)</f>
        <v>4161205</v>
      </c>
      <c r="D430" s="17" t="s">
        <v>73</v>
      </c>
      <c r="E430" s="19" t="s">
        <v>981</v>
      </c>
      <c r="F430" s="32">
        <v>4173346</v>
      </c>
      <c r="G430" s="18" t="s">
        <v>982</v>
      </c>
      <c r="H430" s="17" t="s">
        <v>983</v>
      </c>
      <c r="K430" s="17" t="s">
        <v>18</v>
      </c>
      <c r="L430" s="16" t="s">
        <v>67</v>
      </c>
      <c r="M430" s="16" t="s">
        <v>67</v>
      </c>
      <c r="N430" s="17"/>
      <c r="O430" s="134"/>
      <c r="P430" s="33">
        <v>0</v>
      </c>
      <c r="Q430" s="176"/>
      <c r="R430" s="176"/>
      <c r="S430" s="176"/>
      <c r="T430" s="176"/>
      <c r="W430" s="17" t="s">
        <v>183</v>
      </c>
      <c r="X430" s="17" t="s">
        <v>183</v>
      </c>
      <c r="Y430" s="17" t="s">
        <v>183</v>
      </c>
      <c r="Z430" s="17" t="s">
        <v>183</v>
      </c>
      <c r="AA430" s="176"/>
      <c r="AB430" s="176"/>
      <c r="AC430" s="176"/>
      <c r="AD430" s="176"/>
      <c r="AE430" s="33"/>
      <c r="AF430" s="33"/>
      <c r="AG430" s="25" t="str">
        <f>_xlfn.XLOOKUP(F430,'TFS Details'!F:F,'TFS Details'!H:H)</f>
        <v>Test Complete</v>
      </c>
      <c r="AH430" s="17">
        <v>7</v>
      </c>
      <c r="AI430" s="44">
        <v>0</v>
      </c>
      <c r="AJ430" s="44">
        <v>0</v>
      </c>
      <c r="AK430" s="17">
        <v>0</v>
      </c>
      <c r="AL430" s="40">
        <f t="shared" si="42"/>
        <v>7</v>
      </c>
      <c r="AM430" s="41">
        <f t="shared" si="41"/>
        <v>1</v>
      </c>
      <c r="AN430" s="41" t="e">
        <f>IF(AH430=0,0,#REF!/(SUM(AH430:AJ430)))</f>
        <v>#REF!</v>
      </c>
      <c r="AO430" s="25"/>
      <c r="AP430" s="25" t="str">
        <f>_xlfn.XLOOKUP(F430,'TFS Details'!F:F,'TFS Details'!I:I)</f>
        <v>Pluto</v>
      </c>
      <c r="AQ430" s="25" t="str">
        <f>_xlfn.XLOOKUP(AP430,'TFS Details'!I:I,'TFS Details'!AE:AE)</f>
        <v>m.ohlan</v>
      </c>
    </row>
    <row r="431" spans="1:43">
      <c r="A431" s="24" t="str">
        <f>_xlfn.XLOOKUP(F431,'TFS Details'!F:F,'TFS Details'!D:D)</f>
        <v>Pyramid and productivity Report changes</v>
      </c>
      <c r="B431" s="24" t="str">
        <f>_xlfn.XLOOKUP(F431,'TFS Details'!F:F,'TFS Details'!A:A)</f>
        <v>FY26 [BPMS BAU] - Changes related to Output screens, general solutioning, across Inspire</v>
      </c>
      <c r="C431" s="64">
        <f>_xlfn.XLOOKUP(F431,'TFS Details'!F:F,'TFS Details'!E:E)</f>
        <v>4160933</v>
      </c>
      <c r="D431" s="17" t="s">
        <v>73</v>
      </c>
      <c r="E431" s="19" t="s">
        <v>984</v>
      </c>
      <c r="F431" s="32">
        <v>4339288</v>
      </c>
      <c r="G431" s="18" t="s">
        <v>983</v>
      </c>
      <c r="H431" s="17" t="s">
        <v>982</v>
      </c>
      <c r="K431" s="17" t="s">
        <v>18</v>
      </c>
      <c r="L431" s="16" t="s">
        <v>67</v>
      </c>
      <c r="M431" s="16" t="s">
        <v>67</v>
      </c>
      <c r="N431" s="17"/>
      <c r="O431" s="134"/>
      <c r="Q431" s="176"/>
      <c r="R431" s="176"/>
      <c r="S431" s="176"/>
      <c r="T431" s="176"/>
      <c r="W431" s="17" t="s">
        <v>183</v>
      </c>
      <c r="X431" s="17" t="s">
        <v>183</v>
      </c>
      <c r="Y431" s="17" t="s">
        <v>183</v>
      </c>
      <c r="Z431" s="17" t="s">
        <v>183</v>
      </c>
      <c r="AA431" s="176"/>
      <c r="AB431" s="176"/>
      <c r="AC431" s="176"/>
      <c r="AD431" s="176"/>
      <c r="AE431" s="33"/>
      <c r="AF431" s="33"/>
      <c r="AG431" s="25" t="str">
        <f>_xlfn.XLOOKUP(F431,'TFS Details'!F:F,'TFS Details'!H:H)</f>
        <v>Test Complete</v>
      </c>
      <c r="AH431" s="44">
        <v>12</v>
      </c>
      <c r="AI431" s="44">
        <v>0</v>
      </c>
      <c r="AJ431" s="44">
        <v>0</v>
      </c>
      <c r="AK431" s="44">
        <v>0</v>
      </c>
      <c r="AL431" s="40">
        <f t="shared" ref="AL431:AL461" si="45">SUM(AH431:AK431)</f>
        <v>12</v>
      </c>
      <c r="AM431" s="41">
        <f t="shared" si="41"/>
        <v>1</v>
      </c>
      <c r="AN431" s="41">
        <f t="shared" ref="AN431:AN466" si="46">IF(AH431=0,0,AH431/(SUM(AH431:AJ431)))</f>
        <v>1</v>
      </c>
      <c r="AO431" s="25"/>
      <c r="AP431" s="25" t="str">
        <f>_xlfn.XLOOKUP(F431,'TFS Details'!F:F,'TFS Details'!I:I)</f>
        <v>Pluto</v>
      </c>
      <c r="AQ431" s="25" t="str">
        <f>_xlfn.XLOOKUP(AP431,'TFS Details'!I:I,'TFS Details'!AE:AE)</f>
        <v>m.ohlan</v>
      </c>
    </row>
    <row r="432" spans="1:43">
      <c r="A432" s="24" t="str">
        <f>_xlfn.XLOOKUP(F432,'TFS Details'!F:F,'TFS Details'!D:D)</f>
        <v>Enable XLSM Format Support for Custom Rates Bulk Upload Template</v>
      </c>
      <c r="B432" s="24" t="str">
        <f>_xlfn.XLOOKUP(F432,'TFS Details'!F:F,'TFS Details'!A:A)</f>
        <v>FY26 [BPMS BAU] - Enhancements and CRs related to Models, Excel Input uplaod, Templates  and Reports</v>
      </c>
      <c r="C432" s="64">
        <f>_xlfn.XLOOKUP(F432,'TFS Details'!F:F,'TFS Details'!E:E)</f>
        <v>4161205</v>
      </c>
      <c r="D432" s="17" t="s">
        <v>73</v>
      </c>
      <c r="E432" s="19" t="s">
        <v>985</v>
      </c>
      <c r="F432" s="32">
        <v>4356224</v>
      </c>
      <c r="G432" s="18" t="s">
        <v>983</v>
      </c>
      <c r="K432" s="17" t="s">
        <v>18</v>
      </c>
      <c r="L432" s="16" t="s">
        <v>67</v>
      </c>
      <c r="M432" s="16" t="s">
        <v>67</v>
      </c>
      <c r="N432" s="17"/>
      <c r="O432" s="134"/>
      <c r="Q432" s="176"/>
      <c r="R432" s="176"/>
      <c r="S432" s="176"/>
      <c r="T432" s="176"/>
      <c r="W432" s="17" t="s">
        <v>183</v>
      </c>
      <c r="X432" s="17" t="s">
        <v>183</v>
      </c>
      <c r="Y432" s="17" t="s">
        <v>183</v>
      </c>
      <c r="Z432" s="17" t="s">
        <v>183</v>
      </c>
      <c r="AA432" s="176"/>
      <c r="AB432" s="176"/>
      <c r="AC432" s="176"/>
      <c r="AD432" s="176"/>
      <c r="AE432" s="33"/>
      <c r="AF432" s="33"/>
      <c r="AG432" s="25" t="str">
        <f>_xlfn.XLOOKUP(F432,'TFS Details'!F:F,'TFS Details'!H:H)</f>
        <v>Test Complete</v>
      </c>
      <c r="AH432" s="44">
        <v>1</v>
      </c>
      <c r="AI432" s="44">
        <v>0</v>
      </c>
      <c r="AJ432" s="44">
        <v>0</v>
      </c>
      <c r="AK432" s="44">
        <v>0</v>
      </c>
      <c r="AL432" s="40">
        <f t="shared" si="45"/>
        <v>1</v>
      </c>
      <c r="AM432" s="41">
        <f t="shared" si="41"/>
        <v>1</v>
      </c>
      <c r="AN432" s="41">
        <f t="shared" si="46"/>
        <v>1</v>
      </c>
      <c r="AO432" s="25"/>
      <c r="AP432" s="25" t="str">
        <f>_xlfn.XLOOKUP(F432,'TFS Details'!F:F,'TFS Details'!I:I)</f>
        <v>Pluto</v>
      </c>
      <c r="AQ432" s="25" t="str">
        <f>_xlfn.XLOOKUP(AP432,'TFS Details'!I:I,'TFS Details'!AE:AE)</f>
        <v>m.ohlan</v>
      </c>
    </row>
    <row r="433" spans="1:43">
      <c r="A433" s="24" t="str">
        <f>_xlfn.XLOOKUP(F433,'TFS Details'!F:F,'TFS Details'!D:D)</f>
        <v>Cost Management - Country and CTEP filter</v>
      </c>
      <c r="B433" s="24" t="str">
        <f>_xlfn.XLOOKUP(F433,'TFS Details'!F:F,'TFS Details'!A:A)</f>
        <v>FY26 [BPMS BAU] - Cost Management - Country and CTEP filter - For all Models</v>
      </c>
      <c r="C433" s="64">
        <f>_xlfn.XLOOKUP(F433,'TFS Details'!F:F,'TFS Details'!E:E)</f>
        <v>4371753</v>
      </c>
      <c r="D433" s="17" t="s">
        <v>73</v>
      </c>
      <c r="E433" s="19" t="s">
        <v>986</v>
      </c>
      <c r="F433" s="32">
        <v>4371773</v>
      </c>
      <c r="G433" s="18" t="s">
        <v>987</v>
      </c>
      <c r="K433" s="17" t="s">
        <v>18</v>
      </c>
      <c r="L433" s="16" t="s">
        <v>67</v>
      </c>
      <c r="M433" s="16" t="s">
        <v>67</v>
      </c>
      <c r="N433" s="17"/>
      <c r="O433" s="134"/>
      <c r="Q433" s="176"/>
      <c r="R433" s="176"/>
      <c r="S433" s="176"/>
      <c r="T433" s="176"/>
      <c r="W433" s="17" t="s">
        <v>183</v>
      </c>
      <c r="X433" s="17" t="s">
        <v>183</v>
      </c>
      <c r="Y433" s="17" t="s">
        <v>183</v>
      </c>
      <c r="Z433" s="17" t="s">
        <v>183</v>
      </c>
      <c r="AA433" s="176"/>
      <c r="AB433" s="176"/>
      <c r="AC433" s="176"/>
      <c r="AD433" s="176"/>
      <c r="AE433" s="33"/>
      <c r="AF433" s="33"/>
      <c r="AG433" s="25" t="str">
        <f>_xlfn.XLOOKUP(F433,'TFS Details'!F:F,'TFS Details'!H:H)</f>
        <v>Test Complete</v>
      </c>
      <c r="AH433" s="44">
        <v>27</v>
      </c>
      <c r="AI433" s="44">
        <v>0</v>
      </c>
      <c r="AJ433" s="44">
        <v>0</v>
      </c>
      <c r="AK433" s="44">
        <v>0</v>
      </c>
      <c r="AL433" s="40">
        <v>27</v>
      </c>
      <c r="AM433" s="41">
        <f t="shared" si="41"/>
        <v>1</v>
      </c>
      <c r="AN433" s="41">
        <f t="shared" si="46"/>
        <v>1</v>
      </c>
      <c r="AO433" s="25"/>
      <c r="AP433" s="25" t="str">
        <f>_xlfn.XLOOKUP(F433,'TFS Details'!F:F,'TFS Details'!I:I)</f>
        <v>Simba</v>
      </c>
      <c r="AQ433" s="25" t="str">
        <f>_xlfn.XLOOKUP(AP433,'TFS Details'!I:I,'TFS Details'!AE:AE)</f>
        <v>m.ohlan</v>
      </c>
    </row>
    <row r="434" spans="1:43">
      <c r="A434" s="24" t="str">
        <f>_xlfn.XLOOKUP(F434,'TFS Details'!F:F,'TFS Details'!D:D)</f>
        <v>Publish Approver List on Team Site</v>
      </c>
      <c r="B434" s="24" t="str">
        <f>_xlfn.XLOOKUP(F434,'TFS Details'!F:F,'TFS Details'!A:A)</f>
        <v>FY26 [BPMS BAU] - Adoption Tracking and Rolled Up Revenue Updates - March Release</v>
      </c>
      <c r="C434" s="64">
        <f>_xlfn.XLOOKUP(F434,'TFS Details'!F:F,'TFS Details'!E:E)</f>
        <v>4371783</v>
      </c>
      <c r="D434" s="17" t="s">
        <v>73</v>
      </c>
      <c r="E434" s="19" t="s">
        <v>988</v>
      </c>
      <c r="F434" s="32">
        <v>4371813</v>
      </c>
      <c r="G434" s="18" t="s">
        <v>987</v>
      </c>
      <c r="K434" s="17" t="s">
        <v>18</v>
      </c>
      <c r="L434" s="16" t="s">
        <v>67</v>
      </c>
      <c r="M434" s="16" t="s">
        <v>67</v>
      </c>
      <c r="N434" s="17"/>
      <c r="O434" s="134"/>
      <c r="Q434" s="176"/>
      <c r="R434" s="176"/>
      <c r="S434" s="176"/>
      <c r="T434" s="176"/>
      <c r="W434" s="17" t="s">
        <v>183</v>
      </c>
      <c r="X434" s="17" t="s">
        <v>183</v>
      </c>
      <c r="Y434" s="17" t="s">
        <v>183</v>
      </c>
      <c r="Z434" s="17" t="s">
        <v>183</v>
      </c>
      <c r="AA434" s="176"/>
      <c r="AB434" s="176"/>
      <c r="AC434" s="176"/>
      <c r="AD434" s="176"/>
      <c r="AE434" s="33"/>
      <c r="AF434" s="33"/>
      <c r="AG434" s="25" t="str">
        <f>_xlfn.XLOOKUP(F434,'TFS Details'!F:F,'TFS Details'!H:H)</f>
        <v>Test Complete</v>
      </c>
      <c r="AH434" s="44">
        <v>8</v>
      </c>
      <c r="AI434" s="44">
        <v>0</v>
      </c>
      <c r="AJ434" s="44">
        <v>0</v>
      </c>
      <c r="AK434" s="44">
        <v>0</v>
      </c>
      <c r="AL434" s="40">
        <f t="shared" si="45"/>
        <v>8</v>
      </c>
      <c r="AM434" s="41">
        <f t="shared" si="41"/>
        <v>1</v>
      </c>
      <c r="AN434" s="41">
        <f t="shared" si="46"/>
        <v>1</v>
      </c>
      <c r="AO434" s="25"/>
      <c r="AP434" s="25" t="str">
        <f>_xlfn.XLOOKUP(F434,'TFS Details'!F:F,'TFS Details'!I:I)</f>
        <v>Simba</v>
      </c>
      <c r="AQ434" s="25" t="str">
        <f>_xlfn.XLOOKUP(AP434,'TFS Details'!I:I,'TFS Details'!AE:AE)</f>
        <v>m.ohlan</v>
      </c>
    </row>
    <row r="435" spans="1:43">
      <c r="A435" s="24" t="str">
        <f>_xlfn.XLOOKUP(F435,'TFS Details'!F:F,'TFS Details'!D:D)</f>
        <v>Request for exception from using INSPIRE</v>
      </c>
      <c r="B435" s="24" t="str">
        <f>_xlfn.XLOOKUP(F435,'TFS Details'!F:F,'TFS Details'!A:A)</f>
        <v>FY26 [BPMS BAU] - Adoption Tracking and Rolled Up Revenue Updates - March Release</v>
      </c>
      <c r="C435" s="64">
        <f>_xlfn.XLOOKUP(F435,'TFS Details'!F:F,'TFS Details'!E:E)</f>
        <v>4371783</v>
      </c>
      <c r="D435" s="17" t="s">
        <v>73</v>
      </c>
      <c r="E435" s="19" t="s">
        <v>989</v>
      </c>
      <c r="F435" s="32">
        <v>4376363</v>
      </c>
      <c r="G435" s="18" t="s">
        <v>987</v>
      </c>
      <c r="K435" s="17" t="s">
        <v>18</v>
      </c>
      <c r="L435" s="16" t="s">
        <v>67</v>
      </c>
      <c r="M435" s="16" t="s">
        <v>67</v>
      </c>
      <c r="N435" s="17"/>
      <c r="O435" s="134"/>
      <c r="Q435" s="176"/>
      <c r="R435" s="176"/>
      <c r="S435" s="176"/>
      <c r="T435" s="176"/>
      <c r="W435" s="17" t="s">
        <v>183</v>
      </c>
      <c r="X435" s="17" t="s">
        <v>183</v>
      </c>
      <c r="Y435" s="17" t="s">
        <v>183</v>
      </c>
      <c r="Z435" s="17" t="s">
        <v>183</v>
      </c>
      <c r="AA435" s="176"/>
      <c r="AB435" s="176"/>
      <c r="AC435" s="176"/>
      <c r="AD435" s="176"/>
      <c r="AE435" s="33"/>
      <c r="AF435" s="33"/>
      <c r="AG435" s="25" t="str">
        <f>_xlfn.XLOOKUP(F435,'TFS Details'!F:F,'TFS Details'!H:H)</f>
        <v>Test Complete</v>
      </c>
      <c r="AH435" s="44">
        <v>6</v>
      </c>
      <c r="AI435" s="44">
        <v>0</v>
      </c>
      <c r="AJ435" s="44">
        <v>0</v>
      </c>
      <c r="AK435" s="44">
        <v>0</v>
      </c>
      <c r="AL435" s="40">
        <f t="shared" si="45"/>
        <v>6</v>
      </c>
      <c r="AM435" s="41">
        <f t="shared" si="41"/>
        <v>1</v>
      </c>
      <c r="AN435" s="41">
        <f t="shared" si="46"/>
        <v>1</v>
      </c>
      <c r="AO435" s="25"/>
      <c r="AP435" s="25" t="str">
        <f>_xlfn.XLOOKUP(F435,'TFS Details'!F:F,'TFS Details'!I:I)</f>
        <v>Simba</v>
      </c>
      <c r="AQ435" s="25" t="str">
        <f>_xlfn.XLOOKUP(AP435,'TFS Details'!I:I,'TFS Details'!AE:AE)</f>
        <v>m.ohlan</v>
      </c>
    </row>
    <row r="436" spans="1:43">
      <c r="A436" s="24" t="str">
        <f>_xlfn.XLOOKUP(F436,'TFS Details'!F:F,'TFS Details'!D:D)</f>
        <v>Intelligence used according to costing data field has to be shared at offering level - Analytics DB</v>
      </c>
      <c r="B436" s="24" t="str">
        <f>_xlfn.XLOOKUP(F436,'TFS Details'!F:F,'TFS Details'!A:A)</f>
        <v>FY26 [BPMS BAU] - Adoption Tracking and Rolled Up Revenue Updates - March Release</v>
      </c>
      <c r="C436" s="64">
        <f>_xlfn.XLOOKUP(F436,'TFS Details'!F:F,'TFS Details'!E:E)</f>
        <v>4371783</v>
      </c>
      <c r="D436" s="17" t="s">
        <v>73</v>
      </c>
      <c r="E436" s="19" t="s">
        <v>990</v>
      </c>
      <c r="F436" s="32">
        <v>4376367</v>
      </c>
      <c r="G436" s="18" t="s">
        <v>991</v>
      </c>
      <c r="K436" s="17" t="s">
        <v>18</v>
      </c>
      <c r="L436" s="16" t="s">
        <v>67</v>
      </c>
      <c r="M436" s="16" t="s">
        <v>67</v>
      </c>
      <c r="N436" s="17"/>
      <c r="O436" s="134"/>
      <c r="Q436" s="176"/>
      <c r="R436" s="176"/>
      <c r="S436" s="176"/>
      <c r="T436" s="176"/>
      <c r="W436" s="17" t="s">
        <v>183</v>
      </c>
      <c r="X436" s="17" t="s">
        <v>183</v>
      </c>
      <c r="Y436" s="17" t="s">
        <v>183</v>
      </c>
      <c r="Z436" s="17" t="s">
        <v>183</v>
      </c>
      <c r="AA436" s="176"/>
      <c r="AB436" s="176"/>
      <c r="AC436" s="176"/>
      <c r="AD436" s="176"/>
      <c r="AE436" s="33"/>
      <c r="AF436" s="33"/>
      <c r="AG436" s="25" t="str">
        <f>_xlfn.XLOOKUP(F436,'TFS Details'!F:F,'TFS Details'!H:H)</f>
        <v>Ready for UAT</v>
      </c>
      <c r="AH436" s="44">
        <v>2</v>
      </c>
      <c r="AI436" s="44">
        <v>0</v>
      </c>
      <c r="AJ436" s="44">
        <v>0</v>
      </c>
      <c r="AK436" s="44">
        <v>0</v>
      </c>
      <c r="AL436" s="40">
        <f t="shared" si="45"/>
        <v>2</v>
      </c>
      <c r="AM436" s="41">
        <f t="shared" si="41"/>
        <v>1</v>
      </c>
      <c r="AN436" s="41">
        <f t="shared" si="46"/>
        <v>1</v>
      </c>
      <c r="AO436" s="25"/>
      <c r="AP436" s="25" t="str">
        <f>_xlfn.XLOOKUP(F436,'TFS Details'!F:F,'TFS Details'!I:I)</f>
        <v>Simba</v>
      </c>
      <c r="AQ436" s="25" t="str">
        <f>_xlfn.XLOOKUP(AP436,'TFS Details'!I:I,'TFS Details'!AE:AE)</f>
        <v>m.ohlan</v>
      </c>
    </row>
    <row r="437" spans="1:43">
      <c r="A437" s="24" t="str">
        <f>_xlfn.XLOOKUP(F437,'TFS Details'!F:F,'TFS Details'!D:D)</f>
        <v>To share Client Volume Discount through OCP billing JSON</v>
      </c>
      <c r="B437" s="24" t="str">
        <f>_xlfn.XLOOKUP(F437,'TFS Details'!F:F,'TFS Details'!A:A)</f>
        <v>FY26 [BPMS BAU] - MMP - DCTA integration enhancements</v>
      </c>
      <c r="C437" s="64">
        <f>_xlfn.XLOOKUP(F437,'TFS Details'!F:F,'TFS Details'!E:E)</f>
        <v>4319026</v>
      </c>
      <c r="D437" s="17" t="s">
        <v>73</v>
      </c>
      <c r="E437" s="19" t="s">
        <v>992</v>
      </c>
      <c r="F437" s="32">
        <v>4390028</v>
      </c>
      <c r="G437" s="18" t="s">
        <v>983</v>
      </c>
      <c r="K437" s="17" t="s">
        <v>18</v>
      </c>
      <c r="L437" s="16" t="s">
        <v>67</v>
      </c>
      <c r="M437" s="16" t="s">
        <v>67</v>
      </c>
      <c r="N437" s="17"/>
      <c r="O437" s="134"/>
      <c r="Q437" s="176"/>
      <c r="R437" s="176"/>
      <c r="S437" s="176"/>
      <c r="T437" s="176"/>
      <c r="W437" s="17" t="s">
        <v>183</v>
      </c>
      <c r="X437" s="17" t="s">
        <v>183</v>
      </c>
      <c r="Y437" s="17" t="s">
        <v>183</v>
      </c>
      <c r="Z437" s="17" t="s">
        <v>183</v>
      </c>
      <c r="AA437" s="176"/>
      <c r="AB437" s="176"/>
      <c r="AC437" s="176"/>
      <c r="AD437" s="176"/>
      <c r="AE437" s="33"/>
      <c r="AF437" s="33"/>
      <c r="AG437" s="25" t="str">
        <f>_xlfn.XLOOKUP(F437,'TFS Details'!F:F,'TFS Details'!H:H)</f>
        <v>Ready for UAT</v>
      </c>
      <c r="AH437" s="44">
        <v>4</v>
      </c>
      <c r="AI437" s="44">
        <v>0</v>
      </c>
      <c r="AJ437" s="44">
        <v>0</v>
      </c>
      <c r="AK437" s="44">
        <v>0</v>
      </c>
      <c r="AL437" s="40">
        <f t="shared" si="45"/>
        <v>4</v>
      </c>
      <c r="AM437" s="41">
        <f t="shared" si="41"/>
        <v>1</v>
      </c>
      <c r="AN437" s="41">
        <f t="shared" si="46"/>
        <v>1</v>
      </c>
      <c r="AO437" s="25"/>
      <c r="AP437" s="25" t="str">
        <f>_xlfn.XLOOKUP(F437,'TFS Details'!F:F,'TFS Details'!I:I)</f>
        <v>Pluto</v>
      </c>
      <c r="AQ437" s="25" t="str">
        <f>_xlfn.XLOOKUP(AP437,'TFS Details'!I:I,'TFS Details'!AE:AE)</f>
        <v>m.ohlan</v>
      </c>
    </row>
    <row r="438" spans="1:43">
      <c r="A438" s="24" t="str">
        <f>_xlfn.XLOOKUP(F438,'TFS Details'!F:F,'TFS Details'!D:D)</f>
        <v>Consumption of Rolled up revenue from myISP</v>
      </c>
      <c r="B438" s="24" t="str">
        <f>_xlfn.XLOOKUP(F438,'TFS Details'!F:F,'TFS Details'!A:A)</f>
        <v>FY26 [BPMS BAU] - Adoption Tracking and Rolled Up Revenue Updates - March Release</v>
      </c>
      <c r="C438" s="64">
        <f>_xlfn.XLOOKUP(F438,'TFS Details'!F:F,'TFS Details'!E:E)</f>
        <v>4371783</v>
      </c>
      <c r="D438" s="17" t="s">
        <v>73</v>
      </c>
      <c r="E438" s="19" t="s">
        <v>993</v>
      </c>
      <c r="F438" s="32">
        <v>4390900</v>
      </c>
      <c r="G438" s="19" t="s">
        <v>991</v>
      </c>
      <c r="K438" s="17" t="s">
        <v>18</v>
      </c>
      <c r="L438" s="16" t="s">
        <v>67</v>
      </c>
      <c r="M438" s="16" t="s">
        <v>67</v>
      </c>
      <c r="N438" s="17"/>
      <c r="O438" s="134"/>
      <c r="Q438" s="176"/>
      <c r="R438" s="176"/>
      <c r="S438" s="176"/>
      <c r="T438" s="176"/>
      <c r="W438" s="17" t="s">
        <v>183</v>
      </c>
      <c r="X438" s="17" t="s">
        <v>183</v>
      </c>
      <c r="Y438" s="17" t="s">
        <v>183</v>
      </c>
      <c r="Z438" s="17" t="s">
        <v>183</v>
      </c>
      <c r="AA438" s="176"/>
      <c r="AB438" s="176"/>
      <c r="AC438" s="176"/>
      <c r="AD438" s="176"/>
      <c r="AE438" s="33"/>
      <c r="AF438" s="33"/>
      <c r="AG438" s="25" t="str">
        <f>_xlfn.XLOOKUP(F438,'TFS Details'!F:F,'TFS Details'!H:H)</f>
        <v>Test Complete</v>
      </c>
      <c r="AH438" s="44">
        <v>15</v>
      </c>
      <c r="AI438" s="44">
        <v>0</v>
      </c>
      <c r="AJ438" s="44">
        <v>0</v>
      </c>
      <c r="AK438" s="44">
        <v>0</v>
      </c>
      <c r="AL438" s="40">
        <f t="shared" si="45"/>
        <v>15</v>
      </c>
      <c r="AM438" s="41">
        <f t="shared" si="41"/>
        <v>1</v>
      </c>
      <c r="AN438" s="41">
        <f t="shared" si="46"/>
        <v>1</v>
      </c>
      <c r="AO438" s="25"/>
      <c r="AP438" s="25" t="str">
        <f>_xlfn.XLOOKUP(F438,'TFS Details'!F:F,'TFS Details'!I:I)</f>
        <v>Simba</v>
      </c>
      <c r="AQ438" s="25" t="str">
        <f>_xlfn.XLOOKUP(AP438,'TFS Details'!I:I,'TFS Details'!AE:AE)</f>
        <v>m.ohlan</v>
      </c>
    </row>
    <row r="439" spans="1:43">
      <c r="A439" s="24" t="str">
        <f>_xlfn.XLOOKUP(F439,'TFS Details'!F:F,'TFS Details'!D:D)</f>
        <v>To enable data sharing with the Reporting DB during BDL generation</v>
      </c>
      <c r="B439" s="24" t="str">
        <f>_xlfn.XLOOKUP(F439,'TFS Details'!F:F,'TFS Details'!A:A)</f>
        <v>FY26 [BPMS BAU] - Enhancements and CRs related to Models, Excel Input uplaod, Templates  and Reports</v>
      </c>
      <c r="C439" s="64">
        <f>_xlfn.XLOOKUP(F439,'TFS Details'!F:F,'TFS Details'!E:E)</f>
        <v>4161205</v>
      </c>
      <c r="D439" s="17" t="s">
        <v>73</v>
      </c>
      <c r="E439" s="19" t="s">
        <v>994</v>
      </c>
      <c r="F439" s="32">
        <v>4391266</v>
      </c>
      <c r="G439" s="18" t="s">
        <v>982</v>
      </c>
      <c r="K439" s="17" t="s">
        <v>18</v>
      </c>
      <c r="L439" s="16" t="s">
        <v>67</v>
      </c>
      <c r="M439" s="16" t="s">
        <v>67</v>
      </c>
      <c r="N439" s="17"/>
      <c r="O439" s="134"/>
      <c r="Q439" s="176"/>
      <c r="R439" s="176"/>
      <c r="S439" s="176"/>
      <c r="T439" s="176"/>
      <c r="W439" s="17" t="s">
        <v>183</v>
      </c>
      <c r="X439" s="17" t="s">
        <v>183</v>
      </c>
      <c r="Y439" s="17" t="s">
        <v>183</v>
      </c>
      <c r="Z439" s="17" t="s">
        <v>183</v>
      </c>
      <c r="AA439" s="176"/>
      <c r="AB439" s="176"/>
      <c r="AC439" s="176"/>
      <c r="AD439" s="176"/>
      <c r="AE439" s="33"/>
      <c r="AF439" s="33"/>
      <c r="AG439" s="25" t="str">
        <f>_xlfn.XLOOKUP(F439,'TFS Details'!F:F,'TFS Details'!H:H)</f>
        <v>Ready for UAT</v>
      </c>
      <c r="AH439" s="44">
        <v>6</v>
      </c>
      <c r="AI439" s="44">
        <v>0</v>
      </c>
      <c r="AJ439" s="44">
        <v>0</v>
      </c>
      <c r="AK439" s="44">
        <v>0</v>
      </c>
      <c r="AL439" s="40">
        <f t="shared" si="45"/>
        <v>6</v>
      </c>
      <c r="AM439" s="41">
        <f t="shared" si="41"/>
        <v>1</v>
      </c>
      <c r="AN439" s="41">
        <f t="shared" si="46"/>
        <v>1</v>
      </c>
      <c r="AO439" s="25"/>
      <c r="AP439" s="25" t="str">
        <f>_xlfn.XLOOKUP(F439,'TFS Details'!F:F,'TFS Details'!I:I)</f>
        <v>Pluto</v>
      </c>
      <c r="AQ439" s="25" t="str">
        <f>_xlfn.XLOOKUP(AP439,'TFS Details'!I:I,'TFS Details'!AE:AE)</f>
        <v>m.ohlan</v>
      </c>
    </row>
    <row r="440" spans="1:43">
      <c r="A440" s="24" t="str">
        <f>_xlfn.XLOOKUP(F440,'TFS Details'!F:F,'TFS Details'!D:D)</f>
        <v>SDO - Reimagined - inclusion in myISP platform</v>
      </c>
      <c r="B440" s="24" t="str">
        <f>_xlfn.XLOOKUP(F440,'TFS Details'!F:F,'TFS Details'!A:A)</f>
        <v>FY26 [BPMS BAU] - SDO - Reimagined</v>
      </c>
      <c r="C440" s="64">
        <f>_xlfn.XLOOKUP(F440,'TFS Details'!F:F,'TFS Details'!E:E)</f>
        <v>4319034</v>
      </c>
      <c r="D440" s="17" t="s">
        <v>73</v>
      </c>
      <c r="E440" s="19" t="s">
        <v>995</v>
      </c>
      <c r="F440" s="32">
        <v>4394234</v>
      </c>
      <c r="G440" s="18" t="s">
        <v>983</v>
      </c>
      <c r="K440" s="17" t="s">
        <v>18</v>
      </c>
      <c r="L440" s="16" t="s">
        <v>67</v>
      </c>
      <c r="M440" s="16" t="s">
        <v>67</v>
      </c>
      <c r="N440" s="17"/>
      <c r="O440" s="134"/>
      <c r="Q440" s="176"/>
      <c r="R440" s="176"/>
      <c r="S440" s="176"/>
      <c r="T440" s="176"/>
      <c r="W440" s="17" t="s">
        <v>183</v>
      </c>
      <c r="X440" s="17" t="s">
        <v>183</v>
      </c>
      <c r="Y440" s="17" t="s">
        <v>183</v>
      </c>
      <c r="Z440" s="17" t="s">
        <v>183</v>
      </c>
      <c r="AA440" s="176"/>
      <c r="AB440" s="176"/>
      <c r="AC440" s="176"/>
      <c r="AD440" s="176"/>
      <c r="AE440" s="33"/>
      <c r="AF440" s="33"/>
      <c r="AG440" s="25" t="str">
        <f>_xlfn.XLOOKUP(F440,'TFS Details'!F:F,'TFS Details'!H:H)</f>
        <v>Ready for UAT</v>
      </c>
      <c r="AH440" s="44">
        <v>10</v>
      </c>
      <c r="AI440" s="44">
        <v>0</v>
      </c>
      <c r="AJ440" s="44">
        <v>0</v>
      </c>
      <c r="AK440" s="44">
        <v>0</v>
      </c>
      <c r="AL440" s="40">
        <f t="shared" si="45"/>
        <v>10</v>
      </c>
      <c r="AM440" s="41">
        <f t="shared" si="41"/>
        <v>1</v>
      </c>
      <c r="AN440" s="41">
        <f t="shared" si="46"/>
        <v>1</v>
      </c>
      <c r="AO440" s="25"/>
      <c r="AP440" s="25" t="str">
        <f>_xlfn.XLOOKUP(F440,'TFS Details'!F:F,'TFS Details'!I:I)</f>
        <v>Pluto</v>
      </c>
      <c r="AQ440" s="25" t="str">
        <f>_xlfn.XLOOKUP(AP440,'TFS Details'!I:I,'TFS Details'!AE:AE)</f>
        <v>m.ohlan</v>
      </c>
    </row>
    <row r="441" spans="1:43">
      <c r="A441" s="24" t="str">
        <f>_xlfn.XLOOKUP(F441,'TFS Details'!F:F,'TFS Details'!D:D)</f>
        <v>March'26 Release</v>
      </c>
      <c r="B441" s="24" t="str">
        <f>_xlfn.XLOOKUP(F441,'TFS Details'!F:F,'TFS Details'!A:A)</f>
        <v>IMS BAU - Angular Upgrade</v>
      </c>
      <c r="C441" s="64">
        <f>_xlfn.XLOOKUP(F441,'TFS Details'!F:F,'TFS Details'!E:E)</f>
        <v>4386347</v>
      </c>
      <c r="D441" s="17" t="s">
        <v>76</v>
      </c>
      <c r="E441" s="19" t="s">
        <v>996</v>
      </c>
      <c r="F441" s="32">
        <v>4386132</v>
      </c>
      <c r="G441" s="18" t="s">
        <v>997</v>
      </c>
      <c r="H441" s="17" t="s">
        <v>998</v>
      </c>
      <c r="K441" s="17" t="s">
        <v>18</v>
      </c>
      <c r="L441" s="16" t="s">
        <v>38</v>
      </c>
      <c r="M441" s="16" t="s">
        <v>38</v>
      </c>
      <c r="N441" s="17"/>
      <c r="O441" s="134"/>
      <c r="Q441" s="176"/>
      <c r="R441" s="176"/>
      <c r="S441" s="176"/>
      <c r="T441" s="176"/>
      <c r="W441" s="17" t="s">
        <v>183</v>
      </c>
      <c r="X441" s="17" t="s">
        <v>183</v>
      </c>
      <c r="Y441" s="17" t="s">
        <v>183</v>
      </c>
      <c r="Z441" s="17" t="s">
        <v>201</v>
      </c>
      <c r="AA441" s="176"/>
      <c r="AB441" s="176"/>
      <c r="AC441" s="176"/>
      <c r="AD441" s="176"/>
      <c r="AE441" s="33"/>
      <c r="AF441" s="33"/>
      <c r="AG441" s="25" t="str">
        <f>_xlfn.XLOOKUP(F441,'TFS Details'!F:F,'TFS Details'!H:H)</f>
        <v>UAT In Test</v>
      </c>
      <c r="AH441" s="44">
        <v>81</v>
      </c>
      <c r="AI441" s="44">
        <v>0</v>
      </c>
      <c r="AJ441" s="44">
        <v>0</v>
      </c>
      <c r="AK441" s="44">
        <v>0</v>
      </c>
      <c r="AL441" s="40">
        <f t="shared" si="45"/>
        <v>81</v>
      </c>
      <c r="AM441" s="41">
        <f t="shared" si="41"/>
        <v>1</v>
      </c>
      <c r="AN441" s="41">
        <f t="shared" si="46"/>
        <v>1</v>
      </c>
      <c r="AO441" s="25"/>
      <c r="AP441" s="25" t="str">
        <f>_xlfn.XLOOKUP(F441,'TFS Details'!F:F,'TFS Details'!I:I)</f>
        <v>myISP_IMS</v>
      </c>
      <c r="AQ441" s="25" t="str">
        <f>_xlfn.XLOOKUP(AP441,'TFS Details'!I:I,'TFS Details'!AE:AE)</f>
        <v>supriya.a.dhingra</v>
      </c>
    </row>
    <row r="442" spans="1:43">
      <c r="A442" s="24" t="str">
        <f>_xlfn.XLOOKUP(F442,'TFS Details'!F:F,'TFS Details'!D:D)</f>
        <v>March' 26 Release</v>
      </c>
      <c r="B442" s="24" t="str">
        <f>_xlfn.XLOOKUP(F442,'TFS Details'!F:F,'TFS Details'!A:A)</f>
        <v>IMS BAU - Angular Upgrade</v>
      </c>
      <c r="C442" s="64">
        <f>_xlfn.XLOOKUP(F442,'TFS Details'!F:F,'TFS Details'!E:E)</f>
        <v>4386347</v>
      </c>
      <c r="D442" s="17" t="s">
        <v>76</v>
      </c>
      <c r="E442" s="19" t="s">
        <v>999</v>
      </c>
      <c r="F442" s="32">
        <v>4386129</v>
      </c>
      <c r="G442" s="18" t="s">
        <v>997</v>
      </c>
      <c r="H442" s="17" t="s">
        <v>998</v>
      </c>
      <c r="K442" s="17" t="s">
        <v>18</v>
      </c>
      <c r="L442" s="16" t="s">
        <v>38</v>
      </c>
      <c r="M442" s="16" t="s">
        <v>38</v>
      </c>
      <c r="N442" s="17"/>
      <c r="O442" s="134"/>
      <c r="Q442" s="176"/>
      <c r="R442" s="176"/>
      <c r="S442" s="176"/>
      <c r="T442" s="176"/>
      <c r="W442" s="17" t="s">
        <v>183</v>
      </c>
      <c r="X442" s="17" t="s">
        <v>183</v>
      </c>
      <c r="Y442" s="17" t="s">
        <v>183</v>
      </c>
      <c r="Z442" s="17" t="s">
        <v>201</v>
      </c>
      <c r="AA442" s="176"/>
      <c r="AB442" s="176"/>
      <c r="AC442" s="176"/>
      <c r="AD442" s="176"/>
      <c r="AE442" s="33"/>
      <c r="AF442" s="33"/>
      <c r="AG442" s="25" t="str">
        <f>_xlfn.XLOOKUP(F442,'TFS Details'!F:F,'TFS Details'!H:H)</f>
        <v>UAT In Test</v>
      </c>
      <c r="AH442" s="44">
        <v>71</v>
      </c>
      <c r="AI442" s="44">
        <v>0</v>
      </c>
      <c r="AJ442" s="44">
        <v>0</v>
      </c>
      <c r="AK442" s="44">
        <v>0</v>
      </c>
      <c r="AL442" s="40">
        <f t="shared" si="45"/>
        <v>71</v>
      </c>
      <c r="AM442" s="41">
        <f t="shared" si="41"/>
        <v>1</v>
      </c>
      <c r="AN442" s="41">
        <f t="shared" si="46"/>
        <v>1</v>
      </c>
      <c r="AO442" s="25"/>
      <c r="AP442" s="25" t="str">
        <f>_xlfn.XLOOKUP(F442,'TFS Details'!F:F,'TFS Details'!I:I)</f>
        <v>myISP_IMS</v>
      </c>
      <c r="AQ442" s="25" t="str">
        <f>_xlfn.XLOOKUP(AP442,'TFS Details'!I:I,'TFS Details'!AE:AE)</f>
        <v>supriya.a.dhingra</v>
      </c>
    </row>
    <row r="443" spans="1:43">
      <c r="A443" s="24" t="str">
        <f>_xlfn.XLOOKUP(F443,'TFS Details'!F:F,'TFS Details'!D:D)</f>
        <v>March' 26 Release</v>
      </c>
      <c r="B443" s="24" t="str">
        <f>_xlfn.XLOOKUP(F443,'TFS Details'!F:F,'TFS Details'!A:A)</f>
        <v>IMS BAU - Angular Upgrade</v>
      </c>
      <c r="C443" s="64">
        <f>_xlfn.XLOOKUP(F443,'TFS Details'!F:F,'TFS Details'!E:E)</f>
        <v>4386347</v>
      </c>
      <c r="D443" s="17" t="s">
        <v>76</v>
      </c>
      <c r="E443" s="19" t="s">
        <v>1000</v>
      </c>
      <c r="F443" s="32">
        <v>4386131</v>
      </c>
      <c r="G443" s="18" t="s">
        <v>997</v>
      </c>
      <c r="H443" s="17" t="s">
        <v>998</v>
      </c>
      <c r="K443" s="17" t="s">
        <v>18</v>
      </c>
      <c r="L443" s="16" t="s">
        <v>38</v>
      </c>
      <c r="M443" s="16" t="s">
        <v>38</v>
      </c>
      <c r="N443" s="17"/>
      <c r="O443" s="134"/>
      <c r="Q443" s="176"/>
      <c r="R443" s="176"/>
      <c r="S443" s="176"/>
      <c r="T443" s="176"/>
      <c r="W443" s="17" t="s">
        <v>183</v>
      </c>
      <c r="X443" s="17" t="s">
        <v>183</v>
      </c>
      <c r="Y443" s="17" t="s">
        <v>183</v>
      </c>
      <c r="Z443" s="17" t="s">
        <v>201</v>
      </c>
      <c r="AA443" s="176"/>
      <c r="AB443" s="176"/>
      <c r="AC443" s="176"/>
      <c r="AD443" s="176"/>
      <c r="AE443" s="33"/>
      <c r="AF443" s="33"/>
      <c r="AG443" s="25" t="str">
        <f>_xlfn.XLOOKUP(F443,'TFS Details'!F:F,'TFS Details'!H:H)</f>
        <v>UAT In Test</v>
      </c>
      <c r="AH443" s="44">
        <v>76</v>
      </c>
      <c r="AI443" s="44">
        <v>0</v>
      </c>
      <c r="AJ443" s="44">
        <v>0</v>
      </c>
      <c r="AK443" s="44">
        <v>0</v>
      </c>
      <c r="AL443" s="40">
        <f t="shared" si="45"/>
        <v>76</v>
      </c>
      <c r="AM443" s="41">
        <f t="shared" si="41"/>
        <v>1</v>
      </c>
      <c r="AN443" s="41">
        <f t="shared" si="46"/>
        <v>1</v>
      </c>
      <c r="AO443" s="25"/>
      <c r="AP443" s="25" t="str">
        <f>_xlfn.XLOOKUP(F443,'TFS Details'!F:F,'TFS Details'!I:I)</f>
        <v>myISP_IMS</v>
      </c>
      <c r="AQ443" s="25" t="str">
        <f>_xlfn.XLOOKUP(AP443,'TFS Details'!I:I,'TFS Details'!AE:AE)</f>
        <v>supriya.a.dhingra</v>
      </c>
    </row>
    <row r="444" spans="1:43">
      <c r="A444" s="24" t="str">
        <f>_xlfn.XLOOKUP(F444,'TFS Details'!F:F,'TFS Details'!D:D)</f>
        <v xml:space="preserve">Advisory SA - Song </v>
      </c>
      <c r="B444" s="24" t="str">
        <f>_xlfn.XLOOKUP(F444,'TFS Details'!F:F,'TFS Details'!A:A)</f>
        <v>PLD - Advisory SA Role</v>
      </c>
      <c r="C444" s="64">
        <f>_xlfn.XLOOKUP(F444,'TFS Details'!F:F,'TFS Details'!E:E)</f>
        <v>4386527</v>
      </c>
      <c r="D444" s="17" t="s">
        <v>76</v>
      </c>
      <c r="E444" s="19" t="s">
        <v>1001</v>
      </c>
      <c r="F444" s="32">
        <v>4378873</v>
      </c>
      <c r="G444" s="18" t="s">
        <v>997</v>
      </c>
      <c r="H444" s="17" t="s">
        <v>998</v>
      </c>
      <c r="K444" s="17" t="s">
        <v>18</v>
      </c>
      <c r="L444" s="16" t="s">
        <v>38</v>
      </c>
      <c r="M444" s="16" t="s">
        <v>38</v>
      </c>
      <c r="N444" s="17"/>
      <c r="O444" s="134"/>
      <c r="Q444" s="176"/>
      <c r="R444" s="176"/>
      <c r="S444" s="176"/>
      <c r="T444" s="176"/>
      <c r="W444" s="17" t="s">
        <v>183</v>
      </c>
      <c r="X444" s="17" t="s">
        <v>183</v>
      </c>
      <c r="Y444" s="17" t="s">
        <v>183</v>
      </c>
      <c r="Z444" s="17" t="s">
        <v>201</v>
      </c>
      <c r="AA444" s="176"/>
      <c r="AB444" s="176"/>
      <c r="AC444" s="176"/>
      <c r="AD444" s="176"/>
      <c r="AE444" s="33"/>
      <c r="AF444" s="33"/>
      <c r="AG444" s="25" t="str">
        <f>_xlfn.XLOOKUP(F444,'TFS Details'!F:F,'TFS Details'!H:H)</f>
        <v>UAT In Test</v>
      </c>
      <c r="AH444" s="44">
        <v>8</v>
      </c>
      <c r="AI444" s="44">
        <v>0</v>
      </c>
      <c r="AJ444" s="44">
        <v>0</v>
      </c>
      <c r="AK444" s="44">
        <v>0</v>
      </c>
      <c r="AL444" s="40">
        <f t="shared" si="45"/>
        <v>8</v>
      </c>
      <c r="AM444" s="41">
        <f t="shared" si="41"/>
        <v>1</v>
      </c>
      <c r="AN444" s="41">
        <f t="shared" si="46"/>
        <v>1</v>
      </c>
      <c r="AO444" s="25"/>
      <c r="AP444" s="25" t="str">
        <f>_xlfn.XLOOKUP(F444,'TFS Details'!F:F,'TFS Details'!I:I)</f>
        <v>myISP_IMS</v>
      </c>
      <c r="AQ444" s="25" t="str">
        <f>_xlfn.XLOOKUP(AP444,'TFS Details'!I:I,'TFS Details'!AE:AE)</f>
        <v>supriya.a.dhingra</v>
      </c>
    </row>
    <row r="445" spans="1:43">
      <c r="A445" s="24" t="str">
        <f>_xlfn.XLOOKUP(F445,'TFS Details'!F:F,'TFS Details'!D:D)</f>
        <v>March' 26 Release</v>
      </c>
      <c r="B445" s="24" t="str">
        <f>_xlfn.XLOOKUP(F445,'TFS Details'!F:F,'TFS Details'!A:A)</f>
        <v>DCSO IMS changes</v>
      </c>
      <c r="C445" s="64">
        <f>_xlfn.XLOOKUP(F445,'TFS Details'!F:F,'TFS Details'!E:E)</f>
        <v>4317352</v>
      </c>
      <c r="D445" s="17" t="s">
        <v>76</v>
      </c>
      <c r="E445" s="19" t="s">
        <v>1002</v>
      </c>
      <c r="F445" s="32">
        <v>4386119</v>
      </c>
      <c r="G445" s="18" t="s">
        <v>997</v>
      </c>
      <c r="H445" s="17" t="s">
        <v>998</v>
      </c>
      <c r="K445" s="17" t="s">
        <v>18</v>
      </c>
      <c r="L445" s="16" t="s">
        <v>38</v>
      </c>
      <c r="M445" s="16" t="s">
        <v>38</v>
      </c>
      <c r="N445" s="17"/>
      <c r="O445" s="134"/>
      <c r="Q445" s="176"/>
      <c r="R445" s="176"/>
      <c r="S445" s="176"/>
      <c r="T445" s="176"/>
      <c r="W445" s="17" t="s">
        <v>183</v>
      </c>
      <c r="X445" s="17" t="s">
        <v>183</v>
      </c>
      <c r="Y445" s="17" t="s">
        <v>183</v>
      </c>
      <c r="Z445" s="17" t="s">
        <v>201</v>
      </c>
      <c r="AA445" s="176"/>
      <c r="AB445" s="176"/>
      <c r="AC445" s="176"/>
      <c r="AD445" s="176"/>
      <c r="AE445" s="33"/>
      <c r="AF445" s="33"/>
      <c r="AG445" s="25" t="str">
        <f>_xlfn.XLOOKUP(F445,'TFS Details'!F:F,'TFS Details'!H:H)</f>
        <v>UAT In Test</v>
      </c>
      <c r="AH445" s="44">
        <v>28</v>
      </c>
      <c r="AI445" s="44">
        <v>0</v>
      </c>
      <c r="AJ445" s="44">
        <v>0</v>
      </c>
      <c r="AK445" s="44">
        <v>0</v>
      </c>
      <c r="AL445" s="40">
        <f t="shared" si="45"/>
        <v>28</v>
      </c>
      <c r="AM445" s="41">
        <f t="shared" si="41"/>
        <v>1</v>
      </c>
      <c r="AN445" s="41">
        <f t="shared" si="46"/>
        <v>1</v>
      </c>
      <c r="AO445" s="25"/>
      <c r="AP445" s="25" t="str">
        <f>_xlfn.XLOOKUP(F445,'TFS Details'!F:F,'TFS Details'!I:I)</f>
        <v>myISP_IMS</v>
      </c>
      <c r="AQ445" s="25" t="str">
        <f>_xlfn.XLOOKUP(AP445,'TFS Details'!I:I,'TFS Details'!AE:AE)</f>
        <v>supriya.a.dhingra</v>
      </c>
    </row>
    <row r="446" spans="1:43">
      <c r="A446" s="24" t="str">
        <f>_xlfn.XLOOKUP(F446,'TFS Details'!F:F,'TFS Details'!D:D)</f>
        <v>March' 26 Release</v>
      </c>
      <c r="B446" s="24" t="str">
        <f>_xlfn.XLOOKUP(F446,'TFS Details'!F:F,'TFS Details'!A:A)</f>
        <v>DCSO IMS changes</v>
      </c>
      <c r="C446" s="64">
        <f>_xlfn.XLOOKUP(F446,'TFS Details'!F:F,'TFS Details'!E:E)</f>
        <v>4317352</v>
      </c>
      <c r="D446" s="17" t="s">
        <v>76</v>
      </c>
      <c r="E446" s="19" t="s">
        <v>1003</v>
      </c>
      <c r="F446" s="32">
        <v>4386120</v>
      </c>
      <c r="G446" s="18" t="s">
        <v>997</v>
      </c>
      <c r="H446" s="17" t="s">
        <v>998</v>
      </c>
      <c r="K446" s="17" t="s">
        <v>18</v>
      </c>
      <c r="L446" s="16" t="s">
        <v>38</v>
      </c>
      <c r="M446" s="16" t="s">
        <v>38</v>
      </c>
      <c r="N446" s="17"/>
      <c r="O446" s="134"/>
      <c r="Q446" s="176"/>
      <c r="R446" s="176"/>
      <c r="S446" s="176"/>
      <c r="T446" s="176"/>
      <c r="W446" s="17" t="s">
        <v>183</v>
      </c>
      <c r="X446" s="17" t="s">
        <v>183</v>
      </c>
      <c r="Y446" s="17" t="s">
        <v>183</v>
      </c>
      <c r="Z446" s="17" t="s">
        <v>201</v>
      </c>
      <c r="AA446" s="176"/>
      <c r="AB446" s="176"/>
      <c r="AC446" s="176"/>
      <c r="AD446" s="176"/>
      <c r="AE446" s="33"/>
      <c r="AF446" s="33"/>
      <c r="AG446" s="25" t="str">
        <f>_xlfn.XLOOKUP(F446,'TFS Details'!F:F,'TFS Details'!H:H)</f>
        <v>UAT In Test</v>
      </c>
      <c r="AH446" s="44">
        <v>37</v>
      </c>
      <c r="AI446" s="44">
        <v>0</v>
      </c>
      <c r="AJ446" s="44">
        <v>0</v>
      </c>
      <c r="AK446" s="44">
        <v>0</v>
      </c>
      <c r="AL446" s="40">
        <f t="shared" si="45"/>
        <v>37</v>
      </c>
      <c r="AM446" s="41">
        <f t="shared" si="41"/>
        <v>1</v>
      </c>
      <c r="AN446" s="41">
        <f t="shared" si="46"/>
        <v>1</v>
      </c>
      <c r="AO446" s="25"/>
      <c r="AP446" s="25" t="str">
        <f>_xlfn.XLOOKUP(F446,'TFS Details'!F:F,'TFS Details'!I:I)</f>
        <v>myISP_IMS</v>
      </c>
      <c r="AQ446" s="25" t="str">
        <f>_xlfn.XLOOKUP(AP446,'TFS Details'!I:I,'TFS Details'!AE:AE)</f>
        <v>supriya.a.dhingra</v>
      </c>
    </row>
    <row r="447" spans="1:43">
      <c r="A447" s="24" t="str">
        <f>_xlfn.XLOOKUP(F447,'TFS Details'!F:F,'TFS Details'!D:D)</f>
        <v>March' 26 Release</v>
      </c>
      <c r="B447" s="24" t="str">
        <f>_xlfn.XLOOKUP(F447,'TFS Details'!F:F,'TFS Details'!A:A)</f>
        <v>DCSO IMS changes</v>
      </c>
      <c r="C447" s="64">
        <f>_xlfn.XLOOKUP(F447,'TFS Details'!F:F,'TFS Details'!E:E)</f>
        <v>4317352</v>
      </c>
      <c r="D447" s="17" t="s">
        <v>76</v>
      </c>
      <c r="E447" s="19" t="s">
        <v>1004</v>
      </c>
      <c r="F447" s="32">
        <v>4386122</v>
      </c>
      <c r="G447" s="18" t="s">
        <v>997</v>
      </c>
      <c r="H447" s="17" t="s">
        <v>998</v>
      </c>
      <c r="K447" s="17" t="s">
        <v>18</v>
      </c>
      <c r="L447" s="16" t="s">
        <v>38</v>
      </c>
      <c r="M447" s="16" t="s">
        <v>38</v>
      </c>
      <c r="N447" s="17"/>
      <c r="O447" s="134"/>
      <c r="Q447" s="176"/>
      <c r="R447" s="176"/>
      <c r="S447" s="176"/>
      <c r="T447" s="176"/>
      <c r="W447" s="17" t="s">
        <v>183</v>
      </c>
      <c r="X447" s="17" t="s">
        <v>183</v>
      </c>
      <c r="Y447" s="17" t="s">
        <v>183</v>
      </c>
      <c r="Z447" s="17" t="s">
        <v>201</v>
      </c>
      <c r="AA447" s="176"/>
      <c r="AB447" s="176"/>
      <c r="AC447" s="176"/>
      <c r="AD447" s="176"/>
      <c r="AE447" s="33"/>
      <c r="AF447" s="33"/>
      <c r="AG447" s="25" t="str">
        <f>_xlfn.XLOOKUP(F447,'TFS Details'!F:F,'TFS Details'!H:H)</f>
        <v>UAT In Test</v>
      </c>
      <c r="AH447" s="44">
        <v>66</v>
      </c>
      <c r="AI447" s="44">
        <v>0</v>
      </c>
      <c r="AJ447" s="44">
        <v>0</v>
      </c>
      <c r="AK447" s="44">
        <v>0</v>
      </c>
      <c r="AL447" s="40">
        <f t="shared" si="45"/>
        <v>66</v>
      </c>
      <c r="AM447" s="41">
        <f t="shared" si="41"/>
        <v>1</v>
      </c>
      <c r="AN447" s="41">
        <f t="shared" si="46"/>
        <v>1</v>
      </c>
      <c r="AO447" s="25"/>
      <c r="AP447" s="25" t="str">
        <f>_xlfn.XLOOKUP(F447,'TFS Details'!F:F,'TFS Details'!I:I)</f>
        <v>myISP_IMS</v>
      </c>
      <c r="AQ447" s="25" t="str">
        <f>_xlfn.XLOOKUP(AP447,'TFS Details'!I:I,'TFS Details'!AE:AE)</f>
        <v>supriya.a.dhingra</v>
      </c>
    </row>
    <row r="448" spans="1:43">
      <c r="A448" s="24" t="str">
        <f>_xlfn.XLOOKUP(F448,'TFS Details'!F:F,'TFS Details'!D:D)</f>
        <v>March' 26 Release</v>
      </c>
      <c r="B448" s="24" t="str">
        <f>_xlfn.XLOOKUP(F448,'TFS Details'!F:F,'TFS Details'!A:A)</f>
        <v>DCSO IMS changes</v>
      </c>
      <c r="C448" s="64">
        <f>_xlfn.XLOOKUP(F448,'TFS Details'!F:F,'TFS Details'!E:E)</f>
        <v>4317352</v>
      </c>
      <c r="D448" s="17" t="s">
        <v>76</v>
      </c>
      <c r="E448" s="19" t="s">
        <v>1005</v>
      </c>
      <c r="F448" s="32">
        <v>4386121</v>
      </c>
      <c r="G448" s="18" t="s">
        <v>997</v>
      </c>
      <c r="H448" s="17" t="s">
        <v>998</v>
      </c>
      <c r="K448" s="17" t="s">
        <v>18</v>
      </c>
      <c r="L448" s="16" t="s">
        <v>38</v>
      </c>
      <c r="M448" s="16" t="s">
        <v>38</v>
      </c>
      <c r="N448" s="17"/>
      <c r="O448" s="134"/>
      <c r="Q448" s="176"/>
      <c r="R448" s="176"/>
      <c r="S448" s="176"/>
      <c r="T448" s="176"/>
      <c r="W448" s="17" t="s">
        <v>183</v>
      </c>
      <c r="X448" s="17" t="s">
        <v>183</v>
      </c>
      <c r="Y448" s="17" t="s">
        <v>183</v>
      </c>
      <c r="Z448" s="17" t="s">
        <v>201</v>
      </c>
      <c r="AA448" s="176"/>
      <c r="AB448" s="176"/>
      <c r="AC448" s="176"/>
      <c r="AD448" s="176"/>
      <c r="AE448" s="33"/>
      <c r="AF448" s="33"/>
      <c r="AG448" s="25" t="str">
        <f>_xlfn.XLOOKUP(F448,'TFS Details'!F:F,'TFS Details'!H:H)</f>
        <v>UAT In Test</v>
      </c>
      <c r="AH448" s="44">
        <v>45</v>
      </c>
      <c r="AI448" s="44">
        <v>0</v>
      </c>
      <c r="AJ448" s="44">
        <v>0</v>
      </c>
      <c r="AK448" s="44">
        <v>0</v>
      </c>
      <c r="AL448" s="40">
        <f t="shared" si="45"/>
        <v>45</v>
      </c>
      <c r="AM448" s="41">
        <f t="shared" si="41"/>
        <v>1</v>
      </c>
      <c r="AN448" s="41">
        <f t="shared" si="46"/>
        <v>1</v>
      </c>
      <c r="AO448" s="25"/>
      <c r="AP448" s="25" t="str">
        <f>_xlfn.XLOOKUP(F448,'TFS Details'!F:F,'TFS Details'!I:I)</f>
        <v>myISP_IMS</v>
      </c>
      <c r="AQ448" s="25" t="str">
        <f>_xlfn.XLOOKUP(AP448,'TFS Details'!I:I,'TFS Details'!AE:AE)</f>
        <v>supriya.a.dhingra</v>
      </c>
    </row>
    <row r="449" spans="1:43">
      <c r="A449" s="24" t="str">
        <f>_xlfn.XLOOKUP(F449,'TFS Details'!F:F,'TFS Details'!D:D)</f>
        <v>March' 26 Release</v>
      </c>
      <c r="B449" s="24" t="str">
        <f>_xlfn.XLOOKUP(F449,'TFS Details'!F:F,'TFS Details'!A:A)</f>
        <v>UAT CRs</v>
      </c>
      <c r="C449" s="64">
        <f>_xlfn.XLOOKUP(F449,'TFS Details'!F:F,'TFS Details'!E:E)</f>
        <v>4275871</v>
      </c>
      <c r="D449" s="17" t="s">
        <v>76</v>
      </c>
      <c r="E449" s="19" t="s">
        <v>1006</v>
      </c>
      <c r="F449" s="32">
        <v>4376340</v>
      </c>
      <c r="G449" s="18" t="s">
        <v>997</v>
      </c>
      <c r="H449" s="17" t="s">
        <v>998</v>
      </c>
      <c r="K449" s="17" t="s">
        <v>18</v>
      </c>
      <c r="L449" s="16" t="s">
        <v>38</v>
      </c>
      <c r="M449" s="16" t="s">
        <v>38</v>
      </c>
      <c r="N449" s="17"/>
      <c r="O449" s="134"/>
      <c r="Q449" s="176"/>
      <c r="R449" s="176"/>
      <c r="S449" s="176"/>
      <c r="T449" s="176"/>
      <c r="W449" s="17" t="s">
        <v>183</v>
      </c>
      <c r="X449" s="17" t="s">
        <v>183</v>
      </c>
      <c r="Y449" s="17" t="s">
        <v>183</v>
      </c>
      <c r="Z449" s="17" t="s">
        <v>201</v>
      </c>
      <c r="AA449" s="176"/>
      <c r="AB449" s="176"/>
      <c r="AC449" s="176"/>
      <c r="AD449" s="176"/>
      <c r="AE449" s="33"/>
      <c r="AF449" s="33"/>
      <c r="AG449" s="25" t="str">
        <f>_xlfn.XLOOKUP(F449,'TFS Details'!F:F,'TFS Details'!H:H)</f>
        <v>UAT In Test</v>
      </c>
      <c r="AH449" s="44">
        <v>60</v>
      </c>
      <c r="AI449" s="44">
        <v>0</v>
      </c>
      <c r="AJ449" s="44">
        <v>0</v>
      </c>
      <c r="AK449" s="44">
        <v>0</v>
      </c>
      <c r="AL449" s="40">
        <f t="shared" si="45"/>
        <v>60</v>
      </c>
      <c r="AM449" s="41">
        <f t="shared" si="41"/>
        <v>1</v>
      </c>
      <c r="AN449" s="41">
        <f t="shared" si="46"/>
        <v>1</v>
      </c>
      <c r="AO449" s="25"/>
      <c r="AP449" s="25" t="str">
        <f>_xlfn.XLOOKUP(F449,'TFS Details'!F:F,'TFS Details'!I:I)</f>
        <v>myISP_IMS</v>
      </c>
      <c r="AQ449" s="25" t="str">
        <f>_xlfn.XLOOKUP(AP449,'TFS Details'!I:I,'TFS Details'!AE:AE)</f>
        <v>supriya.a.dhingra</v>
      </c>
    </row>
    <row r="450" spans="1:43">
      <c r="A450" s="24" t="str">
        <f>_xlfn.XLOOKUP(F450,'TFS Details'!F:F,'TFS Details'!D:D)</f>
        <v>March' 26 Release</v>
      </c>
      <c r="B450" s="24" t="str">
        <f>_xlfn.XLOOKUP(F450,'TFS Details'!F:F,'TFS Details'!A:A)</f>
        <v>Negotiation Contingency % in Billing Json for MMP &amp; OCP</v>
      </c>
      <c r="C450" s="64">
        <f>_xlfn.XLOOKUP(F450,'TFS Details'!F:F,'TFS Details'!E:E)</f>
        <v>4386334</v>
      </c>
      <c r="D450" s="17" t="s">
        <v>76</v>
      </c>
      <c r="E450" s="19" t="s">
        <v>1007</v>
      </c>
      <c r="F450" s="32">
        <v>4350723</v>
      </c>
      <c r="G450" s="18" t="s">
        <v>997</v>
      </c>
      <c r="H450" s="17" t="s">
        <v>998</v>
      </c>
      <c r="K450" s="17" t="s">
        <v>18</v>
      </c>
      <c r="L450" s="16" t="s">
        <v>38</v>
      </c>
      <c r="M450" s="16" t="s">
        <v>38</v>
      </c>
      <c r="N450" s="17"/>
      <c r="O450" s="134"/>
      <c r="Q450" s="176"/>
      <c r="R450" s="176"/>
      <c r="S450" s="176"/>
      <c r="T450" s="176"/>
      <c r="W450" s="17" t="s">
        <v>183</v>
      </c>
      <c r="X450" s="17" t="s">
        <v>183</v>
      </c>
      <c r="Y450" s="17" t="s">
        <v>183</v>
      </c>
      <c r="Z450" s="17" t="s">
        <v>201</v>
      </c>
      <c r="AA450" s="176"/>
      <c r="AB450" s="176"/>
      <c r="AC450" s="176"/>
      <c r="AD450" s="176"/>
      <c r="AE450" s="33"/>
      <c r="AF450" s="33"/>
      <c r="AG450" s="25" t="str">
        <f>_xlfn.XLOOKUP(F450,'TFS Details'!F:F,'TFS Details'!H:H)</f>
        <v>UAT In Test</v>
      </c>
      <c r="AH450" s="44">
        <v>40</v>
      </c>
      <c r="AI450" s="44">
        <v>0</v>
      </c>
      <c r="AJ450" s="44">
        <v>0</v>
      </c>
      <c r="AK450" s="44">
        <v>0</v>
      </c>
      <c r="AL450" s="40">
        <f t="shared" si="45"/>
        <v>40</v>
      </c>
      <c r="AM450" s="41">
        <f t="shared" si="41"/>
        <v>1</v>
      </c>
      <c r="AN450" s="41">
        <f t="shared" si="46"/>
        <v>1</v>
      </c>
      <c r="AO450" s="25"/>
      <c r="AP450" s="25" t="str">
        <f>_xlfn.XLOOKUP(F450,'TFS Details'!F:F,'TFS Details'!I:I)</f>
        <v>myISP_IMS</v>
      </c>
      <c r="AQ450" s="25" t="str">
        <f>_xlfn.XLOOKUP(AP450,'TFS Details'!I:I,'TFS Details'!AE:AE)</f>
        <v>supriya.a.dhingra</v>
      </c>
    </row>
    <row r="451" spans="1:43">
      <c r="A451" s="24" t="str">
        <f>_xlfn.XLOOKUP(F451,'TFS Details'!F:F,'TFS Details'!D:D)</f>
        <v>March' 26 Release</v>
      </c>
      <c r="B451" s="24" t="str">
        <f>_xlfn.XLOOKUP(F451,'TFS Details'!F:F,'TFS Details'!A:A)</f>
        <v>Negotiation Contingency % in Billing Json for MMP &amp; OCP</v>
      </c>
      <c r="C451" s="64">
        <f>_xlfn.XLOOKUP(F451,'TFS Details'!F:F,'TFS Details'!E:E)</f>
        <v>4386334</v>
      </c>
      <c r="D451" s="17" t="s">
        <v>76</v>
      </c>
      <c r="E451" s="19" t="s">
        <v>1008</v>
      </c>
      <c r="F451" s="32">
        <v>4386111</v>
      </c>
      <c r="G451" s="18" t="s">
        <v>997</v>
      </c>
      <c r="H451" s="17" t="s">
        <v>998</v>
      </c>
      <c r="K451" s="17" t="s">
        <v>18</v>
      </c>
      <c r="L451" s="16" t="s">
        <v>38</v>
      </c>
      <c r="M451" s="16" t="s">
        <v>38</v>
      </c>
      <c r="N451" s="17"/>
      <c r="O451" s="134"/>
      <c r="Q451" s="176"/>
      <c r="R451" s="176"/>
      <c r="S451" s="176"/>
      <c r="T451" s="176"/>
      <c r="W451" s="17" t="s">
        <v>183</v>
      </c>
      <c r="X451" s="17" t="s">
        <v>183</v>
      </c>
      <c r="Y451" s="17" t="s">
        <v>183</v>
      </c>
      <c r="Z451" s="17" t="s">
        <v>201</v>
      </c>
      <c r="AA451" s="176"/>
      <c r="AB451" s="176"/>
      <c r="AC451" s="176"/>
      <c r="AD451" s="176"/>
      <c r="AE451" s="33"/>
      <c r="AF451" s="33"/>
      <c r="AG451" s="25" t="str">
        <f>_xlfn.XLOOKUP(F451,'TFS Details'!F:F,'TFS Details'!H:H)</f>
        <v>UAT In Test</v>
      </c>
      <c r="AH451" s="44">
        <v>40</v>
      </c>
      <c r="AI451" s="44">
        <v>0</v>
      </c>
      <c r="AJ451" s="44">
        <v>0</v>
      </c>
      <c r="AK451" s="44">
        <v>0</v>
      </c>
      <c r="AL451" s="40">
        <f t="shared" si="45"/>
        <v>40</v>
      </c>
      <c r="AM451" s="41">
        <f t="shared" si="41"/>
        <v>1</v>
      </c>
      <c r="AN451" s="41">
        <f t="shared" si="46"/>
        <v>1</v>
      </c>
      <c r="AO451" s="25"/>
      <c r="AP451" s="25" t="str">
        <f>_xlfn.XLOOKUP(F451,'TFS Details'!F:F,'TFS Details'!I:I)</f>
        <v>myISP_IMS</v>
      </c>
      <c r="AQ451" s="25" t="str">
        <f>_xlfn.XLOOKUP(AP451,'TFS Details'!I:I,'TFS Details'!AE:AE)</f>
        <v>supriya.a.dhingra</v>
      </c>
    </row>
    <row r="452" spans="1:43">
      <c r="A452" s="24" t="str">
        <f>_xlfn.XLOOKUP(F452,'TFS Details'!F:F,'TFS Details'!D:D)</f>
        <v>March' 26 Release</v>
      </c>
      <c r="B452" s="24" t="str">
        <f>_xlfn.XLOOKUP(F452,'TFS Details'!F:F,'TFS Details'!A:A)</f>
        <v>Negotiation Contingency % in Billing Json for MMP &amp; OCP</v>
      </c>
      <c r="C452" s="64">
        <f>_xlfn.XLOOKUP(F452,'TFS Details'!F:F,'TFS Details'!E:E)</f>
        <v>4386334</v>
      </c>
      <c r="D452" s="17" t="s">
        <v>76</v>
      </c>
      <c r="E452" s="19" t="s">
        <v>1009</v>
      </c>
      <c r="F452" s="32">
        <v>4385488</v>
      </c>
      <c r="G452" s="18" t="s">
        <v>997</v>
      </c>
      <c r="H452" s="17" t="s">
        <v>998</v>
      </c>
      <c r="K452" s="17" t="s">
        <v>18</v>
      </c>
      <c r="L452" s="16" t="s">
        <v>38</v>
      </c>
      <c r="M452" s="16" t="s">
        <v>38</v>
      </c>
      <c r="N452" s="17"/>
      <c r="O452" s="134"/>
      <c r="Q452" s="176"/>
      <c r="R452" s="176"/>
      <c r="S452" s="176"/>
      <c r="T452" s="176"/>
      <c r="W452" s="17" t="s">
        <v>183</v>
      </c>
      <c r="X452" s="17" t="s">
        <v>183</v>
      </c>
      <c r="Y452" s="17" t="s">
        <v>183</v>
      </c>
      <c r="Z452" s="17" t="s">
        <v>201</v>
      </c>
      <c r="AA452" s="176"/>
      <c r="AB452" s="176"/>
      <c r="AC452" s="176"/>
      <c r="AD452" s="176"/>
      <c r="AE452" s="33"/>
      <c r="AF452" s="33"/>
      <c r="AG452" s="25" t="str">
        <f>_xlfn.XLOOKUP(F452,'TFS Details'!F:F,'TFS Details'!H:H)</f>
        <v>UAT In Test</v>
      </c>
      <c r="AH452" s="44">
        <v>43</v>
      </c>
      <c r="AI452" s="44">
        <v>0</v>
      </c>
      <c r="AJ452" s="44">
        <v>0</v>
      </c>
      <c r="AK452" s="44">
        <v>0</v>
      </c>
      <c r="AL452" s="40">
        <f t="shared" si="45"/>
        <v>43</v>
      </c>
      <c r="AM452" s="41">
        <f t="shared" si="41"/>
        <v>1</v>
      </c>
      <c r="AN452" s="41">
        <f t="shared" si="46"/>
        <v>1</v>
      </c>
      <c r="AO452" s="25"/>
      <c r="AP452" s="25" t="str">
        <f>_xlfn.XLOOKUP(F452,'TFS Details'!F:F,'TFS Details'!I:I)</f>
        <v>myISP_IMS</v>
      </c>
      <c r="AQ452" s="25" t="str">
        <f>_xlfn.XLOOKUP(AP452,'TFS Details'!I:I,'TFS Details'!AE:AE)</f>
        <v>supriya.a.dhingra</v>
      </c>
    </row>
    <row r="453" spans="1:43">
      <c r="A453" s="24" t="str">
        <f>_xlfn.XLOOKUP(F453,'TFS Details'!F:F,'TFS Details'!D:D)</f>
        <v>March' 26 Release</v>
      </c>
      <c r="B453" s="24" t="str">
        <f>_xlfn.XLOOKUP(F453,'TFS Details'!F:F,'TFS Details'!A:A)</f>
        <v>LCM Infra - COTs App Replatform</v>
      </c>
      <c r="C453" s="64">
        <f>_xlfn.XLOOKUP(F453,'TFS Details'!F:F,'TFS Details'!E:E)</f>
        <v>4386341</v>
      </c>
      <c r="D453" s="17" t="s">
        <v>76</v>
      </c>
      <c r="E453" s="19" t="s">
        <v>1010</v>
      </c>
      <c r="F453" s="32">
        <v>4381798</v>
      </c>
      <c r="G453" s="18" t="s">
        <v>997</v>
      </c>
      <c r="H453" s="17" t="s">
        <v>998</v>
      </c>
      <c r="K453" s="17" t="s">
        <v>18</v>
      </c>
      <c r="L453" s="16" t="s">
        <v>38</v>
      </c>
      <c r="M453" s="16" t="s">
        <v>38</v>
      </c>
      <c r="N453" s="17"/>
      <c r="O453" s="134"/>
      <c r="Q453" s="176"/>
      <c r="R453" s="176"/>
      <c r="S453" s="176"/>
      <c r="T453" s="176"/>
      <c r="W453" s="17" t="s">
        <v>183</v>
      </c>
      <c r="X453" s="17" t="s">
        <v>183</v>
      </c>
      <c r="Y453" s="17" t="s">
        <v>183</v>
      </c>
      <c r="Z453" s="17" t="s">
        <v>201</v>
      </c>
      <c r="AA453" s="176"/>
      <c r="AB453" s="176"/>
      <c r="AC453" s="176"/>
      <c r="AD453" s="176"/>
      <c r="AE453" s="33"/>
      <c r="AF453" s="33"/>
      <c r="AG453" s="25" t="str">
        <f>_xlfn.XLOOKUP(F453,'TFS Details'!F:F,'TFS Details'!H:H)</f>
        <v>UAT In Test</v>
      </c>
      <c r="AH453" s="44">
        <v>72</v>
      </c>
      <c r="AI453" s="44">
        <v>0</v>
      </c>
      <c r="AJ453" s="44">
        <v>0</v>
      </c>
      <c r="AK453" s="44">
        <v>0</v>
      </c>
      <c r="AL453" s="40">
        <f t="shared" si="45"/>
        <v>72</v>
      </c>
      <c r="AM453" s="41">
        <f t="shared" ref="AM453:AM516" si="47">IF(AH453+AI453=0,0,SUM(AH453:AI453)/AL453)</f>
        <v>1</v>
      </c>
      <c r="AN453" s="41">
        <f t="shared" si="46"/>
        <v>1</v>
      </c>
      <c r="AO453" s="25"/>
      <c r="AP453" s="25" t="str">
        <f>_xlfn.XLOOKUP(F453,'TFS Details'!F:F,'TFS Details'!I:I)</f>
        <v>myISP_IMS</v>
      </c>
      <c r="AQ453" s="25" t="str">
        <f>_xlfn.XLOOKUP(AP453,'TFS Details'!I:I,'TFS Details'!AE:AE)</f>
        <v>supriya.a.dhingra</v>
      </c>
    </row>
    <row r="454" spans="1:43">
      <c r="A454" s="24" t="str">
        <f>_xlfn.XLOOKUP(F454,'TFS Details'!F:F,'TFS Details'!D:D)</f>
        <v>March' 26 Release</v>
      </c>
      <c r="B454" s="24" t="str">
        <f>_xlfn.XLOOKUP(F454,'TFS Details'!F:F,'TFS Details'!A:A)</f>
        <v>LCM Infra - COTs App Replatform</v>
      </c>
      <c r="C454" s="64">
        <f>_xlfn.XLOOKUP(F454,'TFS Details'!F:F,'TFS Details'!E:E)</f>
        <v>4386341</v>
      </c>
      <c r="D454" s="17" t="s">
        <v>76</v>
      </c>
      <c r="E454" s="19" t="s">
        <v>1011</v>
      </c>
      <c r="F454" s="32">
        <v>4381807</v>
      </c>
      <c r="G454" s="18" t="s">
        <v>997</v>
      </c>
      <c r="H454" s="17" t="s">
        <v>998</v>
      </c>
      <c r="K454" s="17" t="s">
        <v>18</v>
      </c>
      <c r="L454" s="16" t="s">
        <v>38</v>
      </c>
      <c r="M454" s="16" t="s">
        <v>38</v>
      </c>
      <c r="N454" s="17"/>
      <c r="O454" s="134"/>
      <c r="Q454" s="176"/>
      <c r="R454" s="176"/>
      <c r="S454" s="176"/>
      <c r="T454" s="176"/>
      <c r="W454" s="17" t="s">
        <v>183</v>
      </c>
      <c r="X454" s="17" t="s">
        <v>183</v>
      </c>
      <c r="Y454" s="17" t="s">
        <v>183</v>
      </c>
      <c r="Z454" s="17" t="s">
        <v>201</v>
      </c>
      <c r="AA454" s="176"/>
      <c r="AB454" s="176"/>
      <c r="AC454" s="176"/>
      <c r="AD454" s="176"/>
      <c r="AE454" s="33"/>
      <c r="AF454" s="33"/>
      <c r="AG454" s="25" t="str">
        <f>_xlfn.XLOOKUP(F454,'TFS Details'!F:F,'TFS Details'!H:H)</f>
        <v>UAT In Test</v>
      </c>
      <c r="AH454" s="44">
        <v>55</v>
      </c>
      <c r="AI454" s="44">
        <v>0</v>
      </c>
      <c r="AJ454" s="44">
        <v>0</v>
      </c>
      <c r="AK454" s="44">
        <v>0</v>
      </c>
      <c r="AL454" s="40">
        <f t="shared" si="45"/>
        <v>55</v>
      </c>
      <c r="AM454" s="41">
        <f t="shared" si="47"/>
        <v>1</v>
      </c>
      <c r="AN454" s="41">
        <f t="shared" si="46"/>
        <v>1</v>
      </c>
      <c r="AO454" s="25"/>
      <c r="AP454" s="25" t="str">
        <f>_xlfn.XLOOKUP(F454,'TFS Details'!F:F,'TFS Details'!I:I)</f>
        <v>myISP_IMS</v>
      </c>
      <c r="AQ454" s="25" t="str">
        <f>_xlfn.XLOOKUP(AP454,'TFS Details'!I:I,'TFS Details'!AE:AE)</f>
        <v>supriya.a.dhingra</v>
      </c>
    </row>
    <row r="455" spans="1:43">
      <c r="A455" s="24" t="str">
        <f>_xlfn.XLOOKUP(F455,'TFS Details'!F:F,'TFS Details'!D:D)</f>
        <v>March' 26 Release</v>
      </c>
      <c r="B455" s="24" t="str">
        <f>_xlfn.XLOOKUP(F455,'TFS Details'!F:F,'TFS Details'!A:A)</f>
        <v>LCM Infra - COTs App Replatform</v>
      </c>
      <c r="C455" s="64">
        <f>_xlfn.XLOOKUP(F455,'TFS Details'!F:F,'TFS Details'!E:E)</f>
        <v>4386341</v>
      </c>
      <c r="D455" s="17" t="s">
        <v>76</v>
      </c>
      <c r="E455" s="19" t="s">
        <v>1012</v>
      </c>
      <c r="F455" s="32">
        <v>4381739</v>
      </c>
      <c r="G455" s="18" t="s">
        <v>997</v>
      </c>
      <c r="H455" s="17" t="s">
        <v>998</v>
      </c>
      <c r="K455" s="17" t="s">
        <v>18</v>
      </c>
      <c r="L455" s="16" t="s">
        <v>38</v>
      </c>
      <c r="M455" s="16" t="s">
        <v>38</v>
      </c>
      <c r="N455" s="17"/>
      <c r="O455" s="134"/>
      <c r="Q455" s="176"/>
      <c r="R455" s="176"/>
      <c r="S455" s="176"/>
      <c r="T455" s="176"/>
      <c r="W455" s="17" t="s">
        <v>183</v>
      </c>
      <c r="X455" s="17" t="s">
        <v>183</v>
      </c>
      <c r="Y455" s="17" t="s">
        <v>183</v>
      </c>
      <c r="Z455" s="17" t="s">
        <v>201</v>
      </c>
      <c r="AA455" s="176"/>
      <c r="AB455" s="176"/>
      <c r="AC455" s="176"/>
      <c r="AD455" s="176"/>
      <c r="AE455" s="33"/>
      <c r="AF455" s="33"/>
      <c r="AG455" s="25" t="str">
        <f>_xlfn.XLOOKUP(F455,'TFS Details'!F:F,'TFS Details'!H:H)</f>
        <v>UAT In Test</v>
      </c>
      <c r="AH455" s="44">
        <v>49</v>
      </c>
      <c r="AI455" s="44">
        <v>0</v>
      </c>
      <c r="AJ455" s="44">
        <v>0</v>
      </c>
      <c r="AK455" s="44">
        <v>0</v>
      </c>
      <c r="AL455" s="40">
        <f t="shared" si="45"/>
        <v>49</v>
      </c>
      <c r="AM455" s="41">
        <f t="shared" si="47"/>
        <v>1</v>
      </c>
      <c r="AN455" s="41">
        <f t="shared" si="46"/>
        <v>1</v>
      </c>
      <c r="AO455" s="25"/>
      <c r="AP455" s="25" t="str">
        <f>_xlfn.XLOOKUP(F455,'TFS Details'!F:F,'TFS Details'!I:I)</f>
        <v>myISP_IMS</v>
      </c>
      <c r="AQ455" s="25" t="str">
        <f>_xlfn.XLOOKUP(AP455,'TFS Details'!I:I,'TFS Details'!AE:AE)</f>
        <v>supriya.a.dhingra</v>
      </c>
    </row>
    <row r="456" spans="1:43">
      <c r="A456" s="24" t="str">
        <f>_xlfn.XLOOKUP(F456,'TFS Details'!F:F,'TFS Details'!D:D)</f>
        <v>March' 26 Release</v>
      </c>
      <c r="B456" s="24" t="str">
        <f>_xlfn.XLOOKUP(F456,'TFS Details'!F:F,'TFS Details'!A:A)</f>
        <v>MDA personalization</v>
      </c>
      <c r="C456" s="64">
        <f>_xlfn.XLOOKUP(F456,'TFS Details'!F:F,'TFS Details'!E:E)</f>
        <v>4278295</v>
      </c>
      <c r="D456" s="17" t="s">
        <v>76</v>
      </c>
      <c r="E456" s="19" t="s">
        <v>1013</v>
      </c>
      <c r="F456" s="32">
        <v>4386128</v>
      </c>
      <c r="G456" s="18" t="s">
        <v>997</v>
      </c>
      <c r="H456" s="17" t="s">
        <v>998</v>
      </c>
      <c r="K456" s="17" t="s">
        <v>18</v>
      </c>
      <c r="L456" s="16" t="s">
        <v>38</v>
      </c>
      <c r="M456" s="16" t="s">
        <v>38</v>
      </c>
      <c r="N456" s="17"/>
      <c r="O456" s="134"/>
      <c r="Q456" s="176"/>
      <c r="R456" s="176"/>
      <c r="S456" s="176"/>
      <c r="T456" s="176"/>
      <c r="W456" s="17" t="s">
        <v>183</v>
      </c>
      <c r="X456" s="17" t="s">
        <v>183</v>
      </c>
      <c r="Y456" s="17" t="s">
        <v>183</v>
      </c>
      <c r="Z456" s="17" t="s">
        <v>201</v>
      </c>
      <c r="AA456" s="176"/>
      <c r="AB456" s="176"/>
      <c r="AC456" s="176"/>
      <c r="AD456" s="176"/>
      <c r="AE456" s="33"/>
      <c r="AF456" s="33"/>
      <c r="AG456" s="25" t="str">
        <f>_xlfn.XLOOKUP(F456,'TFS Details'!F:F,'TFS Details'!H:H)</f>
        <v>UAT In Test</v>
      </c>
      <c r="AH456" s="44">
        <v>40</v>
      </c>
      <c r="AI456" s="44">
        <v>0</v>
      </c>
      <c r="AJ456" s="44">
        <v>0</v>
      </c>
      <c r="AK456" s="44">
        <v>0</v>
      </c>
      <c r="AL456" s="40">
        <f t="shared" si="45"/>
        <v>40</v>
      </c>
      <c r="AM456" s="41">
        <f t="shared" si="47"/>
        <v>1</v>
      </c>
      <c r="AN456" s="41">
        <f t="shared" si="46"/>
        <v>1</v>
      </c>
      <c r="AO456" s="25"/>
      <c r="AP456" s="25" t="str">
        <f>_xlfn.XLOOKUP(F456,'TFS Details'!F:F,'TFS Details'!I:I)</f>
        <v>myISP_IMS</v>
      </c>
      <c r="AQ456" s="25" t="str">
        <f>_xlfn.XLOOKUP(AP456,'TFS Details'!I:I,'TFS Details'!AE:AE)</f>
        <v>supriya.a.dhingra</v>
      </c>
    </row>
    <row r="457" spans="1:43">
      <c r="A457" s="24" t="str">
        <f>_xlfn.XLOOKUP(F457,'TFS Details'!F:F,'TFS Details'!D:D)</f>
        <v>March' 26 Release</v>
      </c>
      <c r="B457" s="24" t="str">
        <f>_xlfn.XLOOKUP(F457,'TFS Details'!F:F,'TFS Details'!A:A)</f>
        <v>MDA personalization</v>
      </c>
      <c r="C457" s="64">
        <f>_xlfn.XLOOKUP(F457,'TFS Details'!F:F,'TFS Details'!E:E)</f>
        <v>4278295</v>
      </c>
      <c r="D457" s="17" t="s">
        <v>76</v>
      </c>
      <c r="E457" s="19" t="s">
        <v>1014</v>
      </c>
      <c r="F457" s="32">
        <v>4386124</v>
      </c>
      <c r="G457" s="18" t="s">
        <v>997</v>
      </c>
      <c r="H457" s="17" t="s">
        <v>998</v>
      </c>
      <c r="K457" s="17" t="s">
        <v>18</v>
      </c>
      <c r="L457" s="16" t="s">
        <v>38</v>
      </c>
      <c r="M457" s="16" t="s">
        <v>38</v>
      </c>
      <c r="N457" s="17"/>
      <c r="O457" s="134"/>
      <c r="Q457" s="176"/>
      <c r="R457" s="176"/>
      <c r="S457" s="176"/>
      <c r="T457" s="176"/>
      <c r="W457" s="17" t="s">
        <v>183</v>
      </c>
      <c r="X457" s="17" t="s">
        <v>183</v>
      </c>
      <c r="Y457" s="17" t="s">
        <v>183</v>
      </c>
      <c r="Z457" s="17" t="s">
        <v>201</v>
      </c>
      <c r="AA457" s="176"/>
      <c r="AB457" s="176"/>
      <c r="AC457" s="176"/>
      <c r="AD457" s="176"/>
      <c r="AE457" s="33"/>
      <c r="AF457" s="33"/>
      <c r="AG457" s="25" t="str">
        <f>_xlfn.XLOOKUP(F457,'TFS Details'!F:F,'TFS Details'!H:H)</f>
        <v>UAT In Test</v>
      </c>
      <c r="AH457" s="44">
        <v>42</v>
      </c>
      <c r="AI457" s="44">
        <v>0</v>
      </c>
      <c r="AJ457" s="44">
        <v>0</v>
      </c>
      <c r="AK457" s="44">
        <v>0</v>
      </c>
      <c r="AL457" s="40">
        <f t="shared" si="45"/>
        <v>42</v>
      </c>
      <c r="AM457" s="41">
        <f t="shared" si="47"/>
        <v>1</v>
      </c>
      <c r="AN457" s="41">
        <f t="shared" si="46"/>
        <v>1</v>
      </c>
      <c r="AO457" s="25"/>
      <c r="AP457" s="25" t="str">
        <f>_xlfn.XLOOKUP(F457,'TFS Details'!F:F,'TFS Details'!I:I)</f>
        <v>myISP_IMS</v>
      </c>
      <c r="AQ457" s="25" t="str">
        <f>_xlfn.XLOOKUP(AP457,'TFS Details'!I:I,'TFS Details'!AE:AE)</f>
        <v>supriya.a.dhingra</v>
      </c>
    </row>
    <row r="458" spans="1:43">
      <c r="A458" s="24" t="str">
        <f>_xlfn.XLOOKUP(F458,'TFS Details'!F:F,'TFS Details'!D:D)</f>
        <v>March' 26 Release</v>
      </c>
      <c r="B458" s="24" t="str">
        <f>_xlfn.XLOOKUP(F458,'TFS Details'!F:F,'TFS Details'!A:A)</f>
        <v>IMS BAU - Regression Testing</v>
      </c>
      <c r="C458" s="64">
        <f>_xlfn.XLOOKUP(F458,'TFS Details'!F:F,'TFS Details'!E:E)</f>
        <v>4386333</v>
      </c>
      <c r="D458" s="17" t="s">
        <v>76</v>
      </c>
      <c r="E458" s="19" t="s">
        <v>1015</v>
      </c>
      <c r="F458" s="32">
        <v>4386134</v>
      </c>
      <c r="G458" s="18" t="s">
        <v>997</v>
      </c>
      <c r="H458" s="17" t="s">
        <v>998</v>
      </c>
      <c r="K458" s="17" t="s">
        <v>18</v>
      </c>
      <c r="L458" s="16" t="s">
        <v>38</v>
      </c>
      <c r="M458" s="16" t="s">
        <v>38</v>
      </c>
      <c r="N458" s="17"/>
      <c r="O458" s="134"/>
      <c r="Q458" s="176"/>
      <c r="R458" s="176"/>
      <c r="S458" s="176"/>
      <c r="T458" s="176"/>
      <c r="W458" s="17" t="s">
        <v>183</v>
      </c>
      <c r="X458" s="17" t="s">
        <v>183</v>
      </c>
      <c r="Y458" s="17" t="s">
        <v>183</v>
      </c>
      <c r="Z458" s="17" t="s">
        <v>201</v>
      </c>
      <c r="AA458" s="176"/>
      <c r="AB458" s="176"/>
      <c r="AC458" s="176"/>
      <c r="AD458" s="176"/>
      <c r="AE458" s="33"/>
      <c r="AF458" s="33"/>
      <c r="AG458" s="25" t="str">
        <f>_xlfn.XLOOKUP(F458,'TFS Details'!F:F,'TFS Details'!H:H)</f>
        <v>UAT In Test</v>
      </c>
      <c r="AH458" s="44">
        <v>228</v>
      </c>
      <c r="AI458" s="44">
        <v>0</v>
      </c>
      <c r="AJ458" s="44">
        <v>0</v>
      </c>
      <c r="AK458" s="44">
        <v>0</v>
      </c>
      <c r="AL458" s="40">
        <f t="shared" si="45"/>
        <v>228</v>
      </c>
      <c r="AM458" s="41">
        <f t="shared" si="47"/>
        <v>1</v>
      </c>
      <c r="AN458" s="41">
        <f t="shared" si="46"/>
        <v>1</v>
      </c>
      <c r="AO458" s="25"/>
      <c r="AP458" s="25" t="str">
        <f>_xlfn.XLOOKUP(F458,'TFS Details'!F:F,'TFS Details'!I:I)</f>
        <v>myISP_IMS</v>
      </c>
      <c r="AQ458" s="25" t="str">
        <f>_xlfn.XLOOKUP(AP458,'TFS Details'!I:I,'TFS Details'!AE:AE)</f>
        <v>supriya.a.dhingra</v>
      </c>
    </row>
    <row r="459" spans="1:43">
      <c r="A459" s="24" t="str">
        <f>_xlfn.XLOOKUP(F459,'TFS Details'!F:F,'TFS Details'!D:D)</f>
        <v>March' 26 Release</v>
      </c>
      <c r="B459" s="24" t="str">
        <f>_xlfn.XLOOKUP(F459,'TFS Details'!F:F,'TFS Details'!A:A)</f>
        <v>IMS BAU - Change Requests</v>
      </c>
      <c r="C459" s="64">
        <f>_xlfn.XLOOKUP(F459,'TFS Details'!F:F,'TFS Details'!E:E)</f>
        <v>4386339</v>
      </c>
      <c r="D459" s="17" t="s">
        <v>76</v>
      </c>
      <c r="E459" s="19" t="s">
        <v>1016</v>
      </c>
      <c r="F459" s="32">
        <v>4374020</v>
      </c>
      <c r="G459" s="18" t="s">
        <v>997</v>
      </c>
      <c r="H459" s="17" t="s">
        <v>998</v>
      </c>
      <c r="K459" s="17" t="s">
        <v>18</v>
      </c>
      <c r="L459" s="16" t="s">
        <v>38</v>
      </c>
      <c r="M459" s="16" t="s">
        <v>38</v>
      </c>
      <c r="N459" s="17"/>
      <c r="O459" s="134"/>
      <c r="Q459" s="176"/>
      <c r="R459" s="176"/>
      <c r="S459" s="176"/>
      <c r="T459" s="176"/>
      <c r="W459" s="17" t="s">
        <v>183</v>
      </c>
      <c r="X459" s="17" t="s">
        <v>183</v>
      </c>
      <c r="Y459" s="17" t="s">
        <v>183</v>
      </c>
      <c r="Z459" s="17" t="s">
        <v>201</v>
      </c>
      <c r="AA459" s="176"/>
      <c r="AB459" s="176"/>
      <c r="AC459" s="176"/>
      <c r="AD459" s="176"/>
      <c r="AE459" s="33"/>
      <c r="AF459" s="33"/>
      <c r="AG459" s="25" t="str">
        <f>_xlfn.XLOOKUP(F459,'TFS Details'!F:F,'TFS Details'!H:H)</f>
        <v>UAT In Test</v>
      </c>
      <c r="AH459" s="44">
        <v>55</v>
      </c>
      <c r="AI459" s="44">
        <v>0</v>
      </c>
      <c r="AJ459" s="44">
        <v>0</v>
      </c>
      <c r="AK459" s="44">
        <v>0</v>
      </c>
      <c r="AL459" s="40">
        <f t="shared" si="45"/>
        <v>55</v>
      </c>
      <c r="AM459" s="41">
        <f t="shared" si="47"/>
        <v>1</v>
      </c>
      <c r="AN459" s="41">
        <f t="shared" si="46"/>
        <v>1</v>
      </c>
      <c r="AO459" s="25"/>
      <c r="AP459" s="25" t="str">
        <f>_xlfn.XLOOKUP(F459,'TFS Details'!F:F,'TFS Details'!I:I)</f>
        <v>myISP_IMS</v>
      </c>
      <c r="AQ459" s="25" t="str">
        <f>_xlfn.XLOOKUP(AP459,'TFS Details'!I:I,'TFS Details'!AE:AE)</f>
        <v>supriya.a.dhingra</v>
      </c>
    </row>
    <row r="460" spans="1:43">
      <c r="A460" s="24" t="str">
        <f>_xlfn.XLOOKUP(F460,'TFS Details'!F:F,'TFS Details'!D:D)</f>
        <v>March' 26 Release</v>
      </c>
      <c r="B460" s="24" t="str">
        <f>_xlfn.XLOOKUP(F460,'TFS Details'!F:F,'TFS Details'!A:A)</f>
        <v>IMS BAU - Change Requests</v>
      </c>
      <c r="C460" s="64">
        <f>_xlfn.XLOOKUP(F460,'TFS Details'!F:F,'TFS Details'!E:E)</f>
        <v>4386339</v>
      </c>
      <c r="D460" s="17" t="s">
        <v>76</v>
      </c>
      <c r="E460" s="19" t="s">
        <v>1017</v>
      </c>
      <c r="F460" s="32">
        <v>4374090</v>
      </c>
      <c r="G460" s="18" t="s">
        <v>997</v>
      </c>
      <c r="H460" s="17" t="s">
        <v>998</v>
      </c>
      <c r="K460" s="17" t="s">
        <v>18</v>
      </c>
      <c r="L460" s="16" t="s">
        <v>38</v>
      </c>
      <c r="M460" s="16" t="s">
        <v>38</v>
      </c>
      <c r="N460" s="17"/>
      <c r="O460" s="134"/>
      <c r="Q460" s="176"/>
      <c r="R460" s="176"/>
      <c r="S460" s="176"/>
      <c r="T460" s="176"/>
      <c r="W460" s="17" t="s">
        <v>183</v>
      </c>
      <c r="X460" s="17" t="s">
        <v>183</v>
      </c>
      <c r="Y460" s="17" t="s">
        <v>183</v>
      </c>
      <c r="Z460" s="17" t="s">
        <v>201</v>
      </c>
      <c r="AA460" s="176"/>
      <c r="AB460" s="176"/>
      <c r="AC460" s="176"/>
      <c r="AD460" s="176"/>
      <c r="AE460" s="33"/>
      <c r="AF460" s="33"/>
      <c r="AG460" s="25" t="str">
        <f>_xlfn.XLOOKUP(F460,'TFS Details'!F:F,'TFS Details'!H:H)</f>
        <v>UAT In Test</v>
      </c>
      <c r="AH460" s="44">
        <v>39</v>
      </c>
      <c r="AI460" s="44">
        <v>0</v>
      </c>
      <c r="AJ460" s="44">
        <v>0</v>
      </c>
      <c r="AK460" s="44">
        <v>0</v>
      </c>
      <c r="AL460" s="40">
        <f t="shared" si="45"/>
        <v>39</v>
      </c>
      <c r="AM460" s="41">
        <f t="shared" si="47"/>
        <v>1</v>
      </c>
      <c r="AN460" s="41">
        <f t="shared" si="46"/>
        <v>1</v>
      </c>
      <c r="AO460" s="25"/>
      <c r="AP460" s="25" t="str">
        <f>_xlfn.XLOOKUP(F460,'TFS Details'!F:F,'TFS Details'!I:I)</f>
        <v>myISP_IMS</v>
      </c>
      <c r="AQ460" s="25" t="str">
        <f>_xlfn.XLOOKUP(AP460,'TFS Details'!I:I,'TFS Details'!AE:AE)</f>
        <v>supriya.a.dhingra</v>
      </c>
    </row>
    <row r="461" spans="1:43">
      <c r="A461" s="24" t="str">
        <f>_xlfn.XLOOKUP(F461,'TFS Details'!F:F,'TFS Details'!D:D)</f>
        <v>March' 26 Release</v>
      </c>
      <c r="B461" s="24" t="str">
        <f>_xlfn.XLOOKUP(F461,'TFS Details'!F:F,'TFS Details'!A:A)</f>
        <v>IMS BAU - Change Requests</v>
      </c>
      <c r="C461" s="64">
        <f>_xlfn.XLOOKUP(F461,'TFS Details'!F:F,'TFS Details'!E:E)</f>
        <v>4386339</v>
      </c>
      <c r="D461" s="17" t="s">
        <v>76</v>
      </c>
      <c r="E461" s="19" t="s">
        <v>1018</v>
      </c>
      <c r="F461" s="32">
        <v>4386112</v>
      </c>
      <c r="G461" s="18" t="s">
        <v>997</v>
      </c>
      <c r="H461" s="17" t="s">
        <v>998</v>
      </c>
      <c r="K461" s="17" t="s">
        <v>18</v>
      </c>
      <c r="L461" s="16" t="s">
        <v>38</v>
      </c>
      <c r="M461" s="16" t="s">
        <v>38</v>
      </c>
      <c r="N461" s="17"/>
      <c r="O461" s="134"/>
      <c r="Q461" s="176"/>
      <c r="R461" s="176"/>
      <c r="S461" s="176"/>
      <c r="T461" s="176"/>
      <c r="W461" s="17" t="s">
        <v>183</v>
      </c>
      <c r="X461" s="17" t="s">
        <v>183</v>
      </c>
      <c r="Y461" s="17" t="s">
        <v>183</v>
      </c>
      <c r="Z461" s="17" t="s">
        <v>201</v>
      </c>
      <c r="AA461" s="176"/>
      <c r="AB461" s="176"/>
      <c r="AC461" s="176"/>
      <c r="AD461" s="176"/>
      <c r="AE461" s="33"/>
      <c r="AF461" s="33"/>
      <c r="AG461" s="25" t="str">
        <f>_xlfn.XLOOKUP(F461,'TFS Details'!F:F,'TFS Details'!H:H)</f>
        <v>UAT In Test</v>
      </c>
      <c r="AH461" s="44">
        <v>23</v>
      </c>
      <c r="AI461" s="44">
        <v>0</v>
      </c>
      <c r="AJ461" s="44">
        <v>0</v>
      </c>
      <c r="AK461" s="44">
        <v>0</v>
      </c>
      <c r="AL461" s="40">
        <f t="shared" si="45"/>
        <v>23</v>
      </c>
      <c r="AM461" s="41">
        <f t="shared" si="47"/>
        <v>1</v>
      </c>
      <c r="AN461" s="41">
        <f t="shared" si="46"/>
        <v>1</v>
      </c>
      <c r="AO461" s="25"/>
      <c r="AP461" s="25" t="str">
        <f>_xlfn.XLOOKUP(F461,'TFS Details'!F:F,'TFS Details'!I:I)</f>
        <v>myISP_IMS</v>
      </c>
      <c r="AQ461" s="25" t="str">
        <f>_xlfn.XLOOKUP(AP461,'TFS Details'!I:I,'TFS Details'!AE:AE)</f>
        <v>supriya.a.dhingra</v>
      </c>
    </row>
    <row r="462" spans="1:43">
      <c r="A462" s="24" t="str">
        <f>_xlfn.XLOOKUP(F462,'TFS Details'!F:F,'TFS Details'!D:D)</f>
        <v>March' 26 Release</v>
      </c>
      <c r="B462" s="24" t="str">
        <f>_xlfn.XLOOKUP(F462,'TFS Details'!F:F,'TFS Details'!A:A)</f>
        <v>Technical User Stories</v>
      </c>
      <c r="C462" s="64">
        <f>_xlfn.XLOOKUP(F462,'TFS Details'!F:F,'TFS Details'!E:E)</f>
        <v>4278294</v>
      </c>
      <c r="D462" s="17" t="s">
        <v>76</v>
      </c>
      <c r="E462" s="19" t="s">
        <v>1019</v>
      </c>
      <c r="F462" s="32">
        <v>4386114</v>
      </c>
      <c r="G462" s="18" t="s">
        <v>997</v>
      </c>
      <c r="H462" s="17" t="s">
        <v>998</v>
      </c>
      <c r="K462" s="17" t="s">
        <v>18</v>
      </c>
      <c r="L462" s="16" t="s">
        <v>38</v>
      </c>
      <c r="M462" s="16" t="s">
        <v>38</v>
      </c>
      <c r="N462" s="17"/>
      <c r="O462" s="134"/>
      <c r="Q462" s="176"/>
      <c r="R462" s="176"/>
      <c r="S462" s="176"/>
      <c r="T462" s="176"/>
      <c r="W462" s="17" t="s">
        <v>183</v>
      </c>
      <c r="X462" s="17" t="s">
        <v>183</v>
      </c>
      <c r="Y462" s="17" t="s">
        <v>183</v>
      </c>
      <c r="Z462" s="17" t="s">
        <v>201</v>
      </c>
      <c r="AA462" s="176"/>
      <c r="AB462" s="176"/>
      <c r="AC462" s="176"/>
      <c r="AD462" s="176"/>
      <c r="AE462" s="33"/>
      <c r="AF462" s="33"/>
      <c r="AG462" s="25" t="str">
        <f>_xlfn.XLOOKUP(F462,'TFS Details'!F:F,'TFS Details'!H:H)</f>
        <v>UAT In Test</v>
      </c>
      <c r="AH462" s="44">
        <v>71</v>
      </c>
      <c r="AI462" s="44">
        <v>0</v>
      </c>
      <c r="AJ462" s="44">
        <v>0</v>
      </c>
      <c r="AK462" s="44">
        <v>0</v>
      </c>
      <c r="AL462" s="40">
        <f t="shared" ref="AL462:AL466" si="48">SUM(AH462:AK462)</f>
        <v>71</v>
      </c>
      <c r="AM462" s="41">
        <f t="shared" si="47"/>
        <v>1</v>
      </c>
      <c r="AN462" s="41">
        <f t="shared" si="46"/>
        <v>1</v>
      </c>
      <c r="AO462" s="25"/>
      <c r="AP462" s="25" t="str">
        <f>_xlfn.XLOOKUP(F462,'TFS Details'!F:F,'TFS Details'!I:I)</f>
        <v>myISP_IMS</v>
      </c>
      <c r="AQ462" s="25" t="str">
        <f>_xlfn.XLOOKUP(AP462,'TFS Details'!I:I,'TFS Details'!AE:AE)</f>
        <v>supriya.a.dhingra</v>
      </c>
    </row>
    <row r="463" spans="1:43">
      <c r="A463" s="24" t="str">
        <f>_xlfn.XLOOKUP(F463,'TFS Details'!F:F,'TFS Details'!D:D)</f>
        <v>March' 26 Release</v>
      </c>
      <c r="B463" s="24" t="str">
        <f>_xlfn.XLOOKUP(F463,'TFS Details'!F:F,'TFS Details'!A:A)</f>
        <v>Technical User Stories</v>
      </c>
      <c r="C463" s="64">
        <f>_xlfn.XLOOKUP(F463,'TFS Details'!F:F,'TFS Details'!E:E)</f>
        <v>4278294</v>
      </c>
      <c r="D463" s="17" t="s">
        <v>76</v>
      </c>
      <c r="E463" s="19" t="s">
        <v>1020</v>
      </c>
      <c r="F463" s="32">
        <v>4386115</v>
      </c>
      <c r="G463" s="18" t="s">
        <v>997</v>
      </c>
      <c r="H463" s="17" t="s">
        <v>998</v>
      </c>
      <c r="K463" s="17" t="s">
        <v>18</v>
      </c>
      <c r="L463" s="16" t="s">
        <v>38</v>
      </c>
      <c r="M463" s="16" t="s">
        <v>38</v>
      </c>
      <c r="N463" s="17"/>
      <c r="O463" s="134"/>
      <c r="Q463" s="176"/>
      <c r="R463" s="176"/>
      <c r="S463" s="176"/>
      <c r="T463" s="176"/>
      <c r="W463" s="17" t="s">
        <v>183</v>
      </c>
      <c r="X463" s="17" t="s">
        <v>183</v>
      </c>
      <c r="Y463" s="17" t="s">
        <v>183</v>
      </c>
      <c r="Z463" s="17" t="s">
        <v>201</v>
      </c>
      <c r="AA463" s="176"/>
      <c r="AB463" s="176"/>
      <c r="AC463" s="176"/>
      <c r="AD463" s="176"/>
      <c r="AE463" s="33"/>
      <c r="AF463" s="33"/>
      <c r="AG463" s="25" t="str">
        <f>_xlfn.XLOOKUP(F463,'TFS Details'!F:F,'TFS Details'!H:H)</f>
        <v>UAT In Test</v>
      </c>
      <c r="AH463" s="44">
        <v>76</v>
      </c>
      <c r="AI463" s="44">
        <v>0</v>
      </c>
      <c r="AJ463" s="44">
        <v>0</v>
      </c>
      <c r="AK463" s="44">
        <v>0</v>
      </c>
      <c r="AL463" s="40">
        <f t="shared" si="48"/>
        <v>76</v>
      </c>
      <c r="AM463" s="41">
        <f t="shared" si="47"/>
        <v>1</v>
      </c>
      <c r="AN463" s="41">
        <f t="shared" si="46"/>
        <v>1</v>
      </c>
      <c r="AO463" s="25"/>
      <c r="AP463" s="25" t="str">
        <f>_xlfn.XLOOKUP(F463,'TFS Details'!F:F,'TFS Details'!I:I)</f>
        <v>myISP_IMS</v>
      </c>
      <c r="AQ463" s="25" t="str">
        <f>_xlfn.XLOOKUP(AP463,'TFS Details'!I:I,'TFS Details'!AE:AE)</f>
        <v>supriya.a.dhingra</v>
      </c>
    </row>
    <row r="464" spans="1:43">
      <c r="A464" s="24" t="str">
        <f>_xlfn.XLOOKUP(F464,'TFS Details'!F:F,'TFS Details'!D:D)</f>
        <v>March' 26 Release</v>
      </c>
      <c r="B464" s="24" t="str">
        <f>_xlfn.XLOOKUP(F464,'TFS Details'!F:F,'TFS Details'!A:A)</f>
        <v>Technical User Stories</v>
      </c>
      <c r="C464" s="64">
        <f>_xlfn.XLOOKUP(F464,'TFS Details'!F:F,'TFS Details'!E:E)</f>
        <v>4278294</v>
      </c>
      <c r="D464" s="17" t="s">
        <v>76</v>
      </c>
      <c r="E464" s="19" t="s">
        <v>1021</v>
      </c>
      <c r="F464" s="32">
        <v>4386118</v>
      </c>
      <c r="G464" s="18" t="s">
        <v>997</v>
      </c>
      <c r="H464" s="17" t="s">
        <v>998</v>
      </c>
      <c r="K464" s="17" t="s">
        <v>18</v>
      </c>
      <c r="L464" s="16" t="s">
        <v>38</v>
      </c>
      <c r="M464" s="16" t="s">
        <v>38</v>
      </c>
      <c r="N464" s="17"/>
      <c r="O464" s="134"/>
      <c r="Q464" s="176"/>
      <c r="R464" s="176"/>
      <c r="S464" s="176"/>
      <c r="T464" s="176"/>
      <c r="W464" s="17" t="s">
        <v>183</v>
      </c>
      <c r="X464" s="17" t="s">
        <v>183</v>
      </c>
      <c r="Y464" s="17" t="s">
        <v>183</v>
      </c>
      <c r="Z464" s="17" t="s">
        <v>201</v>
      </c>
      <c r="AA464" s="176"/>
      <c r="AB464" s="176"/>
      <c r="AC464" s="176"/>
      <c r="AD464" s="176"/>
      <c r="AE464" s="33"/>
      <c r="AF464" s="33"/>
      <c r="AG464" s="25" t="str">
        <f>_xlfn.XLOOKUP(F464,'TFS Details'!F:F,'TFS Details'!H:H)</f>
        <v>UAT In Test</v>
      </c>
      <c r="AH464" s="44">
        <v>81</v>
      </c>
      <c r="AI464" s="44">
        <v>0</v>
      </c>
      <c r="AJ464" s="44">
        <v>0</v>
      </c>
      <c r="AK464" s="44">
        <v>0</v>
      </c>
      <c r="AL464" s="40">
        <f t="shared" si="48"/>
        <v>81</v>
      </c>
      <c r="AM464" s="41">
        <f t="shared" si="47"/>
        <v>1</v>
      </c>
      <c r="AN464" s="41">
        <f t="shared" si="46"/>
        <v>1</v>
      </c>
      <c r="AO464" s="25"/>
      <c r="AP464" s="25" t="str">
        <f>_xlfn.XLOOKUP(F464,'TFS Details'!F:F,'TFS Details'!I:I)</f>
        <v>myISP_IMS</v>
      </c>
      <c r="AQ464" s="25" t="str">
        <f>_xlfn.XLOOKUP(AP464,'TFS Details'!I:I,'TFS Details'!AE:AE)</f>
        <v>supriya.a.dhingra</v>
      </c>
    </row>
    <row r="465" spans="1:43">
      <c r="A465" s="24" t="str">
        <f>_xlfn.XLOOKUP(F465,'TFS Details'!F:F,'TFS Details'!D:D)</f>
        <v>Value Shaping</v>
      </c>
      <c r="B465" s="24" t="str">
        <f>_xlfn.XLOOKUP(F465,'TFS Details'!F:F,'TFS Details'!A:A)</f>
        <v>Value Shaping –Enhancements</v>
      </c>
      <c r="C465" s="64">
        <f>_xlfn.XLOOKUP(F465,'TFS Details'!F:F,'TFS Details'!E:E)</f>
        <v>4330994</v>
      </c>
      <c r="D465" s="17" t="s">
        <v>76</v>
      </c>
      <c r="E465" s="19" t="s">
        <v>1022</v>
      </c>
      <c r="F465" s="32">
        <v>4364556</v>
      </c>
      <c r="G465" s="18" t="s">
        <v>997</v>
      </c>
      <c r="H465" s="17" t="s">
        <v>998</v>
      </c>
      <c r="K465" s="17" t="s">
        <v>18</v>
      </c>
      <c r="L465" s="16" t="s">
        <v>38</v>
      </c>
      <c r="M465" s="16" t="s">
        <v>38</v>
      </c>
      <c r="N465" s="17"/>
      <c r="O465" s="134"/>
      <c r="Q465" s="176"/>
      <c r="R465" s="176"/>
      <c r="S465" s="176"/>
      <c r="T465" s="176"/>
      <c r="W465" s="17" t="s">
        <v>183</v>
      </c>
      <c r="X465" s="17" t="s">
        <v>183</v>
      </c>
      <c r="Y465" s="17" t="s">
        <v>183</v>
      </c>
      <c r="Z465" s="17" t="s">
        <v>201</v>
      </c>
      <c r="AA465" s="176"/>
      <c r="AB465" s="176"/>
      <c r="AC465" s="176"/>
      <c r="AD465" s="176"/>
      <c r="AE465" s="33"/>
      <c r="AF465" s="33"/>
      <c r="AG465" s="25" t="str">
        <f>_xlfn.XLOOKUP(F465,'TFS Details'!F:F,'TFS Details'!H:H)</f>
        <v>UAT In Test</v>
      </c>
      <c r="AH465" s="44">
        <v>8</v>
      </c>
      <c r="AI465" s="44">
        <v>0</v>
      </c>
      <c r="AJ465" s="44">
        <v>0</v>
      </c>
      <c r="AK465" s="44">
        <v>0</v>
      </c>
      <c r="AL465" s="40">
        <f t="shared" si="48"/>
        <v>8</v>
      </c>
      <c r="AM465" s="41">
        <f t="shared" si="47"/>
        <v>1</v>
      </c>
      <c r="AN465" s="41">
        <f t="shared" si="46"/>
        <v>1</v>
      </c>
      <c r="AO465" s="25"/>
      <c r="AP465" s="25" t="str">
        <f>_xlfn.XLOOKUP(F465,'TFS Details'!F:F,'TFS Details'!I:I)</f>
        <v>myISP_IMS</v>
      </c>
      <c r="AQ465" s="25" t="str">
        <f>_xlfn.XLOOKUP(AP465,'TFS Details'!I:I,'TFS Details'!AE:AE)</f>
        <v>supriya.a.dhingra</v>
      </c>
    </row>
    <row r="466" spans="1:43">
      <c r="A466" s="24" t="str">
        <f>_xlfn.XLOOKUP(F466,'TFS Details'!F:F,'TFS Details'!D:D)</f>
        <v>DFD-myISP</v>
      </c>
      <c r="B466" s="24" t="str">
        <f>_xlfn.XLOOKUP(F466,'TFS Details'!F:F,'TFS Details'!A:A)</f>
        <v>Song Deals Compliant Logic Update</v>
      </c>
      <c r="C466" s="64">
        <f>_xlfn.XLOOKUP(F466,'TFS Details'!F:F,'TFS Details'!E:E)</f>
        <v>4317244</v>
      </c>
      <c r="D466" s="17" t="s">
        <v>22</v>
      </c>
      <c r="E466" s="17" t="s">
        <v>1023</v>
      </c>
      <c r="F466" s="111">
        <v>4399219</v>
      </c>
      <c r="G466" s="18" t="s">
        <v>454</v>
      </c>
      <c r="H466" s="17" t="s">
        <v>453</v>
      </c>
      <c r="J466" s="21" t="s">
        <v>99</v>
      </c>
      <c r="K466" s="17" t="s">
        <v>1</v>
      </c>
      <c r="L466" s="16"/>
      <c r="N466" s="17" t="s">
        <v>182</v>
      </c>
      <c r="O466" s="134">
        <v>1</v>
      </c>
      <c r="P466" s="33">
        <v>1</v>
      </c>
      <c r="Q466" s="176">
        <v>8</v>
      </c>
      <c r="R466" s="176">
        <v>7</v>
      </c>
      <c r="S466" s="176">
        <v>0</v>
      </c>
      <c r="T466" s="176">
        <v>7</v>
      </c>
      <c r="U466" s="33">
        <v>1</v>
      </c>
      <c r="V466" s="33">
        <v>0.9</v>
      </c>
      <c r="W466" s="17" t="s">
        <v>183</v>
      </c>
      <c r="X466" s="17" t="s">
        <v>183</v>
      </c>
      <c r="Y466" s="17" t="s">
        <v>183</v>
      </c>
      <c r="Z466" s="17" t="s">
        <v>183</v>
      </c>
      <c r="AA466" s="176">
        <v>51</v>
      </c>
      <c r="AB466" s="176">
        <v>13</v>
      </c>
      <c r="AC466" s="176">
        <v>15</v>
      </c>
      <c r="AD466" s="176">
        <v>15</v>
      </c>
      <c r="AE466" s="33">
        <v>0.87</v>
      </c>
      <c r="AF466" s="33">
        <v>0.85</v>
      </c>
      <c r="AG466" s="25" t="str">
        <f>_xlfn.XLOOKUP(F466,'TFS Details'!F:F,'TFS Details'!H:H)</f>
        <v>UAT In Test</v>
      </c>
      <c r="AH466" s="44">
        <v>15</v>
      </c>
      <c r="AI466" s="44">
        <v>0</v>
      </c>
      <c r="AJ466" s="44">
        <v>0</v>
      </c>
      <c r="AK466" s="44">
        <v>0</v>
      </c>
      <c r="AL466" s="40">
        <f t="shared" si="48"/>
        <v>15</v>
      </c>
      <c r="AM466" s="41">
        <f t="shared" si="47"/>
        <v>1</v>
      </c>
      <c r="AN466" s="41">
        <f t="shared" si="46"/>
        <v>1</v>
      </c>
      <c r="AO466" s="25"/>
      <c r="AP466" s="25" t="str">
        <f>_xlfn.XLOOKUP(F466,'TFS Details'!F:F,'TFS Details'!I:I)</f>
        <v>TechStars</v>
      </c>
      <c r="AQ466" s="25" t="str">
        <f>_xlfn.XLOOKUP(AP466,'TFS Details'!I:I,'TFS Details'!AE:AE)</f>
        <v>mohanraj.a.selvaraj</v>
      </c>
    </row>
    <row r="467" spans="1:43">
      <c r="A467" s="24" t="str">
        <f>_xlfn.XLOOKUP(F467,'TFS Details'!F:F,'TFS Details'!D:D)</f>
        <v xml:space="preserve">Advisory SA - Song </v>
      </c>
      <c r="B467" s="24" t="str">
        <f>_xlfn.XLOOKUP(F467,'TFS Details'!F:F,'TFS Details'!A:A)</f>
        <v>PLD - Advisory SA Role</v>
      </c>
      <c r="C467" s="64">
        <f>_xlfn.XLOOKUP(F467,'TFS Details'!F:F,'TFS Details'!E:E)</f>
        <v>4386527</v>
      </c>
      <c r="D467" s="17" t="s">
        <v>22</v>
      </c>
      <c r="E467" s="17" t="s">
        <v>1024</v>
      </c>
      <c r="F467" s="111">
        <v>4381766</v>
      </c>
      <c r="G467" s="18" t="s">
        <v>431</v>
      </c>
      <c r="H467" s="17" t="s">
        <v>1025</v>
      </c>
      <c r="K467" s="97" t="s">
        <v>18</v>
      </c>
      <c r="L467" s="16" t="s">
        <v>1026</v>
      </c>
      <c r="M467" s="16" t="s">
        <v>48</v>
      </c>
      <c r="N467" s="17"/>
      <c r="O467" s="134"/>
      <c r="Q467" s="176"/>
      <c r="R467" s="176"/>
      <c r="S467" s="176"/>
      <c r="T467" s="176"/>
      <c r="W467" s="17" t="s">
        <v>183</v>
      </c>
      <c r="X467" s="17" t="s">
        <v>183</v>
      </c>
      <c r="Y467" s="17" t="s">
        <v>183</v>
      </c>
      <c r="Z467" s="17" t="s">
        <v>183</v>
      </c>
      <c r="AA467" s="176">
        <v>20</v>
      </c>
      <c r="AB467" s="176">
        <v>3</v>
      </c>
      <c r="AC467" s="176">
        <v>5</v>
      </c>
      <c r="AD467" s="176">
        <v>5</v>
      </c>
      <c r="AE467" s="33">
        <v>0.7</v>
      </c>
      <c r="AF467" s="33">
        <v>0.5</v>
      </c>
      <c r="AG467" s="25" t="str">
        <f>_xlfn.XLOOKUP(F467,'TFS Details'!F:F,'TFS Details'!H:H)</f>
        <v>UAT In Test</v>
      </c>
      <c r="AH467" s="44">
        <v>8</v>
      </c>
      <c r="AI467" s="44">
        <v>0</v>
      </c>
      <c r="AJ467" s="44">
        <v>0</v>
      </c>
      <c r="AK467" s="44">
        <v>0</v>
      </c>
      <c r="AL467" s="40">
        <f t="shared" ref="AL467:AL471" si="49">SUM(AH467:AK467)</f>
        <v>8</v>
      </c>
      <c r="AM467" s="41">
        <f t="shared" si="47"/>
        <v>1</v>
      </c>
      <c r="AN467" s="41">
        <f t="shared" ref="AN467:AN472" si="50">IF(AH467=0,0,AH467/(SUM(AH467:AJ467)))</f>
        <v>1</v>
      </c>
      <c r="AO467" s="25" t="s">
        <v>510</v>
      </c>
      <c r="AP467" s="25" t="str">
        <f>_xlfn.XLOOKUP(F467,'TFS Details'!F:F,'TFS Details'!I:I)</f>
        <v>TechTribe</v>
      </c>
      <c r="AQ467" s="25" t="str">
        <f>_xlfn.XLOOKUP(AP467,'TFS Details'!I:I,'TFS Details'!AE:AE)</f>
        <v>pandidurai.ks</v>
      </c>
    </row>
    <row r="468" spans="1:43">
      <c r="A468" s="24" t="str">
        <f>_xlfn.XLOOKUP(F468,'TFS Details'!F:F,'TFS Details'!D:D)</f>
        <v>Role Rename</v>
      </c>
      <c r="B468" s="24" t="str">
        <f>_xlfn.XLOOKUP(F468,'TFS Details'!F:F,'TFS Details'!A:A)</f>
        <v>March Release NextGen Enhancements</v>
      </c>
      <c r="C468" s="64">
        <f>_xlfn.XLOOKUP(F468,'TFS Details'!F:F,'TFS Details'!E:E)</f>
        <v>4365826</v>
      </c>
      <c r="D468" s="17" t="s">
        <v>22</v>
      </c>
      <c r="E468" s="19" t="s">
        <v>1027</v>
      </c>
      <c r="F468" s="111">
        <v>4391370</v>
      </c>
      <c r="G468" s="18" t="s">
        <v>454</v>
      </c>
      <c r="H468" s="17" t="s">
        <v>453</v>
      </c>
      <c r="K468" s="97" t="s">
        <v>18</v>
      </c>
      <c r="L468" s="16" t="s">
        <v>1028</v>
      </c>
      <c r="M468" s="16" t="s">
        <v>918</v>
      </c>
      <c r="N468" s="17"/>
      <c r="O468" s="134"/>
      <c r="Q468" s="176"/>
      <c r="R468" s="176"/>
      <c r="S468" s="176"/>
      <c r="T468" s="176"/>
      <c r="W468" s="17" t="s">
        <v>183</v>
      </c>
      <c r="X468" s="17" t="s">
        <v>183</v>
      </c>
      <c r="Y468" s="17" t="s">
        <v>183</v>
      </c>
      <c r="Z468" s="17" t="s">
        <v>183</v>
      </c>
      <c r="AA468" s="176">
        <v>31</v>
      </c>
      <c r="AB468" s="176">
        <v>9</v>
      </c>
      <c r="AC468" s="176">
        <v>5</v>
      </c>
      <c r="AD468" s="176">
        <v>5</v>
      </c>
      <c r="AE468" s="33">
        <v>0.9</v>
      </c>
      <c r="AF468" s="33">
        <v>0.8</v>
      </c>
      <c r="AG468" s="25" t="str">
        <f>_xlfn.XLOOKUP(F468,'TFS Details'!F:F,'TFS Details'!H:H)</f>
        <v>UAT In Test</v>
      </c>
      <c r="AH468" s="44">
        <v>5</v>
      </c>
      <c r="AI468" s="44">
        <v>0</v>
      </c>
      <c r="AJ468" s="44">
        <v>0</v>
      </c>
      <c r="AK468" s="44">
        <v>0</v>
      </c>
      <c r="AL468" s="40">
        <f>SUM(AH468:AK468)</f>
        <v>5</v>
      </c>
      <c r="AM468" s="41">
        <f t="shared" si="47"/>
        <v>1</v>
      </c>
      <c r="AN468" s="41">
        <f t="shared" si="50"/>
        <v>1</v>
      </c>
      <c r="AO468" s="25" t="s">
        <v>1029</v>
      </c>
      <c r="AP468" s="25" t="str">
        <f>_xlfn.XLOOKUP(F468,'TFS Details'!F:F,'TFS Details'!I:I)</f>
        <v>Pacemakers</v>
      </c>
      <c r="AQ468" s="25" t="str">
        <f>_xlfn.XLOOKUP(AP468,'TFS Details'!I:I,'TFS Details'!AE:AE)</f>
        <v>sona.job</v>
      </c>
    </row>
    <row r="469" spans="1:43">
      <c r="A469" s="24" t="str">
        <f>_xlfn.XLOOKUP(F469,'TFS Details'!F:F,'TFS Details'!D:D)</f>
        <v xml:space="preserve">Advisory SA - Song </v>
      </c>
      <c r="B469" s="24" t="str">
        <f>_xlfn.XLOOKUP(F469,'TFS Details'!F:F,'TFS Details'!A:A)</f>
        <v>PLD - Advisory SA Role</v>
      </c>
      <c r="C469" s="64">
        <f>_xlfn.XLOOKUP(F469,'TFS Details'!F:F,'TFS Details'!E:E)</f>
        <v>4386527</v>
      </c>
      <c r="D469" s="17" t="s">
        <v>29</v>
      </c>
      <c r="E469" s="201" t="s">
        <v>1030</v>
      </c>
      <c r="F469" s="122">
        <v>4393222</v>
      </c>
      <c r="G469" s="18" t="s">
        <v>1031</v>
      </c>
      <c r="H469" s="17" t="s">
        <v>331</v>
      </c>
      <c r="J469" s="21" t="s">
        <v>124</v>
      </c>
      <c r="K469" s="17" t="s">
        <v>1</v>
      </c>
      <c r="L469" s="16"/>
      <c r="N469" s="17" t="s">
        <v>277</v>
      </c>
      <c r="O469" s="134">
        <v>3</v>
      </c>
      <c r="P469" s="33">
        <v>1</v>
      </c>
      <c r="Q469" s="176">
        <v>3</v>
      </c>
      <c r="R469" s="176">
        <v>2</v>
      </c>
      <c r="S469" s="176">
        <v>1</v>
      </c>
      <c r="T469" s="176">
        <v>3</v>
      </c>
      <c r="U469" s="33">
        <v>0.95</v>
      </c>
      <c r="V469" s="33">
        <v>0.95</v>
      </c>
      <c r="W469" s="17" t="s">
        <v>183</v>
      </c>
      <c r="X469" s="17" t="s">
        <v>183</v>
      </c>
      <c r="Y469" s="17" t="s">
        <v>183</v>
      </c>
      <c r="Z469" s="17" t="s">
        <v>183</v>
      </c>
      <c r="AA469" s="176">
        <v>49</v>
      </c>
      <c r="AB469" s="176">
        <v>9</v>
      </c>
      <c r="AC469" s="176">
        <v>1</v>
      </c>
      <c r="AD469" s="176">
        <v>6</v>
      </c>
      <c r="AE469" s="33">
        <v>0.75</v>
      </c>
      <c r="AF469" s="33">
        <v>0.9</v>
      </c>
      <c r="AG469" s="25" t="str">
        <f>_xlfn.XLOOKUP(F469,'TFS Details'!F:F,'TFS Details'!H:H)</f>
        <v>UAT In Test</v>
      </c>
      <c r="AH469" s="44">
        <v>6</v>
      </c>
      <c r="AI469" s="44">
        <v>0</v>
      </c>
      <c r="AJ469" s="44">
        <v>0</v>
      </c>
      <c r="AK469" s="44">
        <v>0</v>
      </c>
      <c r="AL469" s="40">
        <f>SUM(AH469:AK469)</f>
        <v>6</v>
      </c>
      <c r="AM469" s="41">
        <f t="shared" si="47"/>
        <v>1</v>
      </c>
      <c r="AN469" s="41">
        <f t="shared" si="50"/>
        <v>1</v>
      </c>
      <c r="AO469" s="25" t="s">
        <v>510</v>
      </c>
      <c r="AP469" s="25" t="str">
        <f>_xlfn.XLOOKUP(F469,'TFS Details'!F:F,'TFS Details'!I:I)</f>
        <v>TechStars</v>
      </c>
      <c r="AQ469" s="25" t="str">
        <f>_xlfn.XLOOKUP(AP469,'TFS Details'!I:I,'TFS Details'!AE:AE)</f>
        <v>mohanraj.a.selvaraj</v>
      </c>
    </row>
    <row r="470" spans="1:43">
      <c r="A470" s="24" t="str">
        <f>_xlfn.XLOOKUP(F470,'TFS Details'!F:F,'TFS Details'!D:D)</f>
        <v>Value Shaping</v>
      </c>
      <c r="B470" s="24" t="str">
        <f>_xlfn.XLOOKUP(F470,'TFS Details'!F:F,'TFS Details'!A:A)</f>
        <v>Value Shaping –Enhancements</v>
      </c>
      <c r="C470" s="64">
        <f>_xlfn.XLOOKUP(F470,'TFS Details'!F:F,'TFS Details'!E:E)</f>
        <v>4330994</v>
      </c>
      <c r="D470" s="17" t="s">
        <v>29</v>
      </c>
      <c r="E470" s="201" t="s">
        <v>1032</v>
      </c>
      <c r="F470" s="122">
        <v>4400201</v>
      </c>
      <c r="G470" s="18" t="s">
        <v>1031</v>
      </c>
      <c r="H470" s="17" t="s">
        <v>331</v>
      </c>
      <c r="J470" s="21" t="s">
        <v>124</v>
      </c>
      <c r="K470" s="17" t="s">
        <v>1</v>
      </c>
      <c r="L470" s="16"/>
      <c r="N470" s="17" t="s">
        <v>182</v>
      </c>
      <c r="O470" s="134">
        <v>10</v>
      </c>
      <c r="P470" s="33">
        <v>1</v>
      </c>
      <c r="Q470" s="176">
        <v>10</v>
      </c>
      <c r="R470" s="176">
        <v>10</v>
      </c>
      <c r="S470" s="176">
        <v>0</v>
      </c>
      <c r="T470" s="176">
        <v>10</v>
      </c>
      <c r="U470" s="33">
        <v>0.95</v>
      </c>
      <c r="V470" s="33">
        <v>0.95</v>
      </c>
      <c r="W470" s="17" t="s">
        <v>183</v>
      </c>
      <c r="X470" s="17" t="s">
        <v>183</v>
      </c>
      <c r="Y470" s="17" t="s">
        <v>183</v>
      </c>
      <c r="Z470" s="17" t="s">
        <v>183</v>
      </c>
      <c r="AA470" s="176">
        <v>52</v>
      </c>
      <c r="AB470" s="176">
        <v>23</v>
      </c>
      <c r="AC470" s="176">
        <v>2</v>
      </c>
      <c r="AD470" s="176">
        <v>10</v>
      </c>
      <c r="AE470" s="33">
        <v>0.75</v>
      </c>
      <c r="AF470" s="33">
        <v>0.9</v>
      </c>
      <c r="AG470" s="25" t="str">
        <f>_xlfn.XLOOKUP(F470,'TFS Details'!F:F,'TFS Details'!H:H)</f>
        <v>Test Complete</v>
      </c>
      <c r="AH470" s="44">
        <v>10</v>
      </c>
      <c r="AI470" s="44">
        <v>0</v>
      </c>
      <c r="AJ470" s="44">
        <v>0</v>
      </c>
      <c r="AK470" s="44">
        <v>0</v>
      </c>
      <c r="AL470" s="40">
        <f>SUM(AH470:AK470)</f>
        <v>10</v>
      </c>
      <c r="AM470" s="41">
        <f t="shared" si="47"/>
        <v>1</v>
      </c>
      <c r="AN470" s="41">
        <f t="shared" si="50"/>
        <v>1</v>
      </c>
      <c r="AO470" s="25" t="s">
        <v>510</v>
      </c>
      <c r="AP470" s="25" t="str">
        <f>_xlfn.XLOOKUP(F470,'TFS Details'!F:F,'TFS Details'!I:I)</f>
        <v>TechStars</v>
      </c>
      <c r="AQ470" s="25" t="str">
        <f>_xlfn.XLOOKUP(AP470,'TFS Details'!I:I,'TFS Details'!AE:AE)</f>
        <v>mohanraj.a.selvaraj</v>
      </c>
    </row>
    <row r="471" spans="1:43">
      <c r="A471" s="24" t="str">
        <f>_xlfn.XLOOKUP(F471,'TFS Details'!F:F,'TFS Details'!D:D)</f>
        <v>Impact of Productivity&amp;Impacted Screens_Employee&amp;HR _E2E_(Part 1)_(EmpSupport &amp; WFDA)_Test Only</v>
      </c>
      <c r="B471" s="24" t="str">
        <f>_xlfn.XLOOKUP(F471,'TFS Details'!F:F,'TFS Details'!A:A)</f>
        <v>FY26 [BPMS BAU] - Productivity Updates - Employee and HR</v>
      </c>
      <c r="C471" s="64">
        <f>_xlfn.XLOOKUP(F471,'TFS Details'!F:F,'TFS Details'!E:E)</f>
        <v>4386636</v>
      </c>
      <c r="D471" s="17" t="s">
        <v>62</v>
      </c>
      <c r="E471" s="165" t="s">
        <v>1033</v>
      </c>
      <c r="F471" s="32">
        <v>4387170</v>
      </c>
      <c r="G471" s="18" t="s">
        <v>1034</v>
      </c>
      <c r="H471" s="17" t="s">
        <v>1035</v>
      </c>
      <c r="K471" s="17" t="s">
        <v>18</v>
      </c>
      <c r="L471" s="16" t="s">
        <v>1036</v>
      </c>
      <c r="M471" s="16" t="s">
        <v>67</v>
      </c>
      <c r="N471" s="17"/>
      <c r="O471" s="134"/>
      <c r="Q471" s="176"/>
      <c r="R471" s="176"/>
      <c r="S471" s="176"/>
      <c r="T471" s="176"/>
      <c r="W471" s="17" t="s">
        <v>183</v>
      </c>
      <c r="X471" s="17" t="s">
        <v>183</v>
      </c>
      <c r="Y471" s="17" t="s">
        <v>183</v>
      </c>
      <c r="Z471" s="17" t="s">
        <v>201</v>
      </c>
      <c r="AA471" s="176"/>
      <c r="AB471" s="176"/>
      <c r="AC471" s="176"/>
      <c r="AD471" s="176"/>
      <c r="AE471" s="33"/>
      <c r="AF471" s="33"/>
      <c r="AG471" s="25" t="str">
        <f>_xlfn.XLOOKUP(F471,'TFS Details'!F:F,'TFS Details'!H:H)</f>
        <v>PT In Test</v>
      </c>
      <c r="AH471" s="44">
        <v>248</v>
      </c>
      <c r="AI471" s="44">
        <v>3</v>
      </c>
      <c r="AJ471" s="44">
        <v>0</v>
      </c>
      <c r="AK471" s="44">
        <v>4</v>
      </c>
      <c r="AL471" s="40">
        <f t="shared" si="49"/>
        <v>255</v>
      </c>
      <c r="AM471" s="41">
        <f t="shared" si="47"/>
        <v>0.98431372549019602</v>
      </c>
      <c r="AN471" s="41">
        <f t="shared" si="50"/>
        <v>0.98804780876494025</v>
      </c>
      <c r="AO471" s="25"/>
      <c r="AP471" s="25" t="str">
        <f>_xlfn.XLOOKUP(F471,'TFS Details'!F:F,'TFS Details'!I:I)</f>
        <v>Pinocchio</v>
      </c>
      <c r="AQ471" s="25" t="str">
        <f>_xlfn.XLOOKUP(AP471,'TFS Details'!I:I,'TFS Details'!AE:AE)</f>
        <v>m.ohlan</v>
      </c>
    </row>
    <row r="472" spans="1:43" ht="15">
      <c r="A472" s="24" t="str">
        <f>_xlfn.XLOOKUP(F472,'TFS Details'!F:F,'TFS Details'!D:D)</f>
        <v xml:space="preserve">AMS Solution Configuration Agent </v>
      </c>
      <c r="B472" s="24" t="str">
        <f>_xlfn.XLOOKUP(F472,'TFS Details'!F:F,'TFS Details'!A:A)</f>
        <v>AMS SCA MVP2 March 28th Release Scope</v>
      </c>
      <c r="C472" s="64">
        <f>_xlfn.XLOOKUP(F472,'TFS Details'!F:F,'TFS Details'!E:E)</f>
        <v>4318876</v>
      </c>
      <c r="D472" s="17" t="s">
        <v>46</v>
      </c>
      <c r="E472" s="19" t="s">
        <v>1037</v>
      </c>
      <c r="F472" s="104">
        <v>4399124</v>
      </c>
      <c r="G472" s="18" t="s">
        <v>937</v>
      </c>
      <c r="K472" s="17" t="s">
        <v>18</v>
      </c>
      <c r="L472" s="16" t="s">
        <v>923</v>
      </c>
      <c r="M472" s="16" t="s">
        <v>21</v>
      </c>
      <c r="N472" s="17"/>
      <c r="O472" s="134"/>
      <c r="Q472" s="176"/>
      <c r="R472" s="176"/>
      <c r="S472" s="176"/>
      <c r="T472" s="176"/>
      <c r="W472" s="17" t="s">
        <v>183</v>
      </c>
      <c r="X472" s="17" t="s">
        <v>183</v>
      </c>
      <c r="Y472" s="17" t="s">
        <v>183</v>
      </c>
      <c r="Z472" s="17" t="s">
        <v>183</v>
      </c>
      <c r="AA472" s="176">
        <v>40</v>
      </c>
      <c r="AB472" s="176">
        <v>13</v>
      </c>
      <c r="AC472" s="176">
        <v>20</v>
      </c>
      <c r="AD472" s="176">
        <v>33</v>
      </c>
      <c r="AE472" s="33">
        <v>0.33</v>
      </c>
      <c r="AF472" s="33">
        <v>0.4</v>
      </c>
      <c r="AG472" s="25" t="str">
        <f>_xlfn.XLOOKUP(F472,'TFS Details'!F:F,'TFS Details'!H:H)</f>
        <v>UAT In Test</v>
      </c>
      <c r="AH472" s="168">
        <v>35</v>
      </c>
      <c r="AI472" s="168">
        <v>0</v>
      </c>
      <c r="AJ472" s="168">
        <v>0</v>
      </c>
      <c r="AK472" s="168">
        <v>0</v>
      </c>
      <c r="AL472" s="40">
        <f>SUM(AH472:AK472)</f>
        <v>35</v>
      </c>
      <c r="AM472" s="41">
        <f t="shared" si="47"/>
        <v>1</v>
      </c>
      <c r="AN472" s="41">
        <f t="shared" si="50"/>
        <v>1</v>
      </c>
      <c r="AO472" s="25" t="s">
        <v>1038</v>
      </c>
      <c r="AP472" s="25" t="str">
        <f>_xlfn.XLOOKUP(F472,'TFS Details'!F:F,'TFS Details'!I:I)</f>
        <v>agentcrafters</v>
      </c>
      <c r="AQ472" s="25" t="str">
        <f>_xlfn.XLOOKUP(AP472,'TFS Details'!I:I,'TFS Details'!AE:AE)</f>
        <v>shwetha.shriyan</v>
      </c>
    </row>
    <row r="473" spans="1:43">
      <c r="A473" s="24" t="str">
        <f>_xlfn.XLOOKUP(F473,'TFS Details'!F:F,'TFS Details'!D:D)</f>
        <v>DFD-myISP</v>
      </c>
      <c r="B473" s="24" t="str">
        <f>_xlfn.XLOOKUP(F473,'TFS Details'!F:F,'TFS Details'!A:A)</f>
        <v>Song Deals Compliant Logic Update</v>
      </c>
      <c r="C473" s="64">
        <f>_xlfn.XLOOKUP(F473,'TFS Details'!F:F,'TFS Details'!E:E)</f>
        <v>4317244</v>
      </c>
      <c r="D473" s="17" t="s">
        <v>76</v>
      </c>
      <c r="E473" s="19" t="s">
        <v>1039</v>
      </c>
      <c r="F473" s="32">
        <v>4361802</v>
      </c>
      <c r="G473" s="18" t="s">
        <v>997</v>
      </c>
      <c r="H473" s="17" t="s">
        <v>998</v>
      </c>
      <c r="K473" s="17" t="s">
        <v>18</v>
      </c>
      <c r="L473" s="16" t="s">
        <v>38</v>
      </c>
      <c r="M473" s="16" t="s">
        <v>38</v>
      </c>
      <c r="N473" s="17"/>
      <c r="O473" s="134"/>
      <c r="Q473" s="176"/>
      <c r="R473" s="176"/>
      <c r="S473" s="176"/>
      <c r="T473" s="176"/>
      <c r="W473" s="17" t="s">
        <v>183</v>
      </c>
      <c r="X473" s="17" t="s">
        <v>183</v>
      </c>
      <c r="Y473" s="17" t="s">
        <v>183</v>
      </c>
      <c r="Z473" s="17" t="s">
        <v>201</v>
      </c>
      <c r="AA473" s="176"/>
      <c r="AB473" s="176"/>
      <c r="AC473" s="176"/>
      <c r="AD473" s="176"/>
      <c r="AE473" s="33"/>
      <c r="AF473" s="33"/>
      <c r="AG473" s="25" t="str">
        <f>_xlfn.XLOOKUP(F473,'TFS Details'!F:F,'TFS Details'!H:H)</f>
        <v>UAT In Test</v>
      </c>
      <c r="AH473" s="44">
        <v>8</v>
      </c>
      <c r="AI473" s="44">
        <v>0</v>
      </c>
      <c r="AJ473" s="44">
        <v>0</v>
      </c>
      <c r="AK473" s="44">
        <v>0</v>
      </c>
      <c r="AL473" s="40">
        <f>SUM(AH473:AK473)</f>
        <v>8</v>
      </c>
      <c r="AM473" s="41">
        <f t="shared" si="47"/>
        <v>1</v>
      </c>
      <c r="AN473" s="41">
        <f>IF(AH473=0,0,AH473/(SUM(AH473:AJ473)))</f>
        <v>1</v>
      </c>
      <c r="AP473" s="25" t="str">
        <f>_xlfn.XLOOKUP(F473,'TFS Details'!F:F,'TFS Details'!I:I)</f>
        <v>myISP_IMS</v>
      </c>
      <c r="AQ473" s="25" t="str">
        <f>_xlfn.XLOOKUP(AP473,'TFS Details'!I:I,'TFS Details'!AE:AE)</f>
        <v>supriya.a.dhingra</v>
      </c>
    </row>
    <row r="474" spans="1:43" ht="15">
      <c r="A474" s="24" t="str">
        <f>_xlfn.XLOOKUP(F474,'TFS Details'!F:F,'TFS Details'!D:D)</f>
        <v>Maintain Master Tech Tools</v>
      </c>
      <c r="B474" s="24" t="str">
        <f>_xlfn.XLOOKUP(F474,'TFS Details'!F:F,'TFS Details'!A:A)</f>
        <v>FY26 [BPMS BAU] - Defect Management (INSPIRE) and Service Request Management</v>
      </c>
      <c r="C474" s="64">
        <f>_xlfn.XLOOKUP(F474,'TFS Details'!F:F,'TFS Details'!E:E)</f>
        <v>4120361</v>
      </c>
      <c r="D474" s="17" t="s">
        <v>73</v>
      </c>
      <c r="E474" s="19" t="s">
        <v>1040</v>
      </c>
      <c r="F474" s="189">
        <v>4390214</v>
      </c>
      <c r="G474" s="18" t="s">
        <v>982</v>
      </c>
      <c r="K474" s="17" t="s">
        <v>18</v>
      </c>
      <c r="L474" s="16" t="s">
        <v>67</v>
      </c>
      <c r="M474" s="16" t="s">
        <v>67</v>
      </c>
      <c r="N474" s="17"/>
      <c r="O474" s="134"/>
      <c r="Q474" s="176"/>
      <c r="R474" s="176"/>
      <c r="S474" s="176"/>
      <c r="T474" s="176"/>
      <c r="W474" s="17" t="s">
        <v>183</v>
      </c>
      <c r="X474" s="17" t="s">
        <v>183</v>
      </c>
      <c r="Y474" s="17" t="s">
        <v>183</v>
      </c>
      <c r="Z474" s="17" t="s">
        <v>183</v>
      </c>
      <c r="AA474" s="176"/>
      <c r="AB474" s="176"/>
      <c r="AC474" s="176"/>
      <c r="AD474" s="176"/>
      <c r="AE474" s="33"/>
      <c r="AF474" s="33"/>
      <c r="AG474" s="25" t="str">
        <f>_xlfn.XLOOKUP(F474,'TFS Details'!F:F,'TFS Details'!H:H)</f>
        <v>Closed</v>
      </c>
      <c r="AH474" s="44">
        <v>4</v>
      </c>
      <c r="AI474" s="44">
        <v>0</v>
      </c>
      <c r="AJ474" s="44">
        <v>0</v>
      </c>
      <c r="AK474" s="44">
        <v>0</v>
      </c>
      <c r="AL474" s="40">
        <f>SUM(AH474:AK474)</f>
        <v>4</v>
      </c>
      <c r="AM474" s="41">
        <f t="shared" si="47"/>
        <v>1</v>
      </c>
      <c r="AN474" s="41">
        <f>IF(AH474=0,0,AH474/(SUM(AH474:AJ474)))</f>
        <v>1</v>
      </c>
      <c r="AP474" s="25" t="str">
        <f>_xlfn.XLOOKUP(F474,'TFS Details'!F:F,'TFS Details'!I:I)</f>
        <v>Pluto</v>
      </c>
      <c r="AQ474" s="25" t="str">
        <f>_xlfn.XLOOKUP(AP474,'TFS Details'!I:I,'TFS Details'!AE:AE)</f>
        <v>m.ohlan</v>
      </c>
    </row>
    <row r="475" spans="1:43">
      <c r="A475" s="24" t="str">
        <f>_xlfn.XLOOKUP(F475,'TFS Details'!F:F,'TFS Details'!D:D)</f>
        <v>March' 26 Release</v>
      </c>
      <c r="B475" s="24" t="str">
        <f>_xlfn.XLOOKUP(F475,'TFS Details'!F:F,'TFS Details'!A:A)</f>
        <v>Technical User Stories</v>
      </c>
      <c r="C475" s="64">
        <f>_xlfn.XLOOKUP(F475,'TFS Details'!F:F,'TFS Details'!E:E)</f>
        <v>4278294</v>
      </c>
      <c r="D475" s="17" t="s">
        <v>76</v>
      </c>
      <c r="E475" s="19" t="s">
        <v>1041</v>
      </c>
      <c r="F475" s="32">
        <v>4386164</v>
      </c>
      <c r="G475" s="18" t="s">
        <v>997</v>
      </c>
      <c r="H475" s="17" t="s">
        <v>998</v>
      </c>
      <c r="K475" s="17" t="s">
        <v>18</v>
      </c>
      <c r="L475" s="16" t="s">
        <v>38</v>
      </c>
      <c r="M475" s="16" t="s">
        <v>38</v>
      </c>
      <c r="N475" s="17"/>
      <c r="O475" s="134"/>
      <c r="Q475" s="176"/>
      <c r="R475" s="176"/>
      <c r="S475" s="176"/>
      <c r="T475" s="176"/>
      <c r="W475" s="17" t="s">
        <v>183</v>
      </c>
      <c r="X475" s="17" t="s">
        <v>183</v>
      </c>
      <c r="Y475" s="17" t="s">
        <v>183</v>
      </c>
      <c r="Z475" s="17" t="s">
        <v>201</v>
      </c>
      <c r="AA475" s="176"/>
      <c r="AB475" s="176"/>
      <c r="AC475" s="176"/>
      <c r="AD475" s="176"/>
      <c r="AE475" s="33"/>
      <c r="AF475" s="33"/>
      <c r="AG475" s="25" t="str">
        <f>_xlfn.XLOOKUP(F475,'TFS Details'!F:F,'TFS Details'!H:H)</f>
        <v>UAT In Test</v>
      </c>
      <c r="AH475" s="44">
        <v>0</v>
      </c>
      <c r="AI475" s="44">
        <v>0</v>
      </c>
      <c r="AJ475" s="44">
        <v>0</v>
      </c>
      <c r="AK475" s="44">
        <v>0</v>
      </c>
      <c r="AL475" s="40">
        <f>SUM(AH475:AK475)</f>
        <v>0</v>
      </c>
      <c r="AM475" s="41">
        <f t="shared" si="47"/>
        <v>0</v>
      </c>
      <c r="AN475" s="41">
        <f>IF(AH475=0,0,AH475/(SUM(AH475:AJ475)))</f>
        <v>0</v>
      </c>
      <c r="AP475" s="25" t="str">
        <f>_xlfn.XLOOKUP(F475,'TFS Details'!F:F,'TFS Details'!I:I)</f>
        <v>myISP_IMS</v>
      </c>
      <c r="AQ475" s="25" t="str">
        <f>_xlfn.XLOOKUP(AP475,'TFS Details'!I:I,'TFS Details'!AE:AE)</f>
        <v>supriya.a.dhingra</v>
      </c>
    </row>
    <row r="476" spans="1:43">
      <c r="A476" s="24" t="str">
        <f>_xlfn.XLOOKUP(F476,'TFS Details'!F:F,'TFS Details'!D:D)</f>
        <v>March' 26 Release</v>
      </c>
      <c r="B476" s="24" t="str">
        <f>_xlfn.XLOOKUP(F476,'TFS Details'!F:F,'TFS Details'!A:A)</f>
        <v>IMS BAU - Monthy MRDB</v>
      </c>
      <c r="C476" s="64">
        <f>_xlfn.XLOOKUP(F476,'TFS Details'!F:F,'TFS Details'!E:E)</f>
        <v>4386335</v>
      </c>
      <c r="D476" s="17" t="s">
        <v>76</v>
      </c>
      <c r="E476" s="19" t="s">
        <v>1042</v>
      </c>
      <c r="F476" s="32">
        <v>4370049</v>
      </c>
      <c r="G476" s="18" t="s">
        <v>997</v>
      </c>
      <c r="H476" s="17" t="s">
        <v>998</v>
      </c>
      <c r="K476" s="17" t="s">
        <v>18</v>
      </c>
      <c r="L476" s="16" t="s">
        <v>38</v>
      </c>
      <c r="M476" s="16" t="s">
        <v>38</v>
      </c>
      <c r="N476" s="17"/>
      <c r="O476" s="134"/>
      <c r="W476" s="17" t="s">
        <v>183</v>
      </c>
      <c r="X476" s="17" t="s">
        <v>183</v>
      </c>
      <c r="Y476" s="17" t="s">
        <v>183</v>
      </c>
      <c r="Z476" s="17" t="s">
        <v>201</v>
      </c>
      <c r="AA476" s="186"/>
      <c r="AB476" s="186"/>
      <c r="AC476" s="186"/>
      <c r="AD476" s="186"/>
      <c r="AE476" s="33"/>
      <c r="AF476" s="33"/>
      <c r="AG476" s="25" t="str">
        <f>_xlfn.XLOOKUP(F476,'TFS Details'!F:F,'TFS Details'!H:H)</f>
        <v>UAT In Test</v>
      </c>
      <c r="AH476" s="44">
        <v>75</v>
      </c>
      <c r="AI476" s="44">
        <v>0</v>
      </c>
      <c r="AJ476" s="44">
        <v>0</v>
      </c>
      <c r="AK476" s="44">
        <v>0</v>
      </c>
      <c r="AL476" s="40">
        <f>SUM(AH476:AK476)</f>
        <v>75</v>
      </c>
      <c r="AM476" s="41">
        <f t="shared" si="47"/>
        <v>1</v>
      </c>
      <c r="AN476" s="41">
        <f>IF(AH476=0,0,AH476/(SUM(AH476:AJ476)))</f>
        <v>1</v>
      </c>
    </row>
    <row r="477" spans="1:43" ht="23.25">
      <c r="F477" s="260" t="s">
        <v>1043</v>
      </c>
      <c r="G477" s="18" t="s">
        <v>574</v>
      </c>
      <c r="H477" s="17" t="s">
        <v>570</v>
      </c>
    </row>
    <row r="483" spans="8:38">
      <c r="H483" s="17" t="s">
        <v>1044</v>
      </c>
    </row>
    <row r="492" spans="8:38">
      <c r="P492" s="50"/>
    </row>
    <row r="495" spans="8:38">
      <c r="AL495" s="215"/>
    </row>
  </sheetData>
  <sheetProtection autoFilter="0"/>
  <autoFilter ref="A1:AR477" xr:uid="{35050070-D89D-45C4-9B95-2EC2400183B0}"/>
  <conditionalFormatting sqref="F1">
    <cfRule type="duplicateValues" dxfId="21" priority="1429"/>
    <cfRule type="duplicateValues" dxfId="20" priority="1430"/>
    <cfRule type="duplicateValues" dxfId="19" priority="1431"/>
  </conditionalFormatting>
  <conditionalFormatting sqref="W1:Y1">
    <cfRule type="cellIs" dxfId="18" priority="70" operator="equal">
      <formula>"In progress"</formula>
    </cfRule>
    <cfRule type="expression" dxfId="17" priority="71">
      <formula>$C1="Notstarted"</formula>
    </cfRule>
    <cfRule type="containsText" dxfId="16" priority="72" operator="containsText" text="In Progress">
      <formula>NOT(ISERROR(SEARCH("In Progress",W1)))</formula>
    </cfRule>
    <cfRule type="containsText" dxfId="15" priority="73" operator="containsText" text="Completed">
      <formula>NOT(ISERROR(SEARCH("Completed",W1)))</formula>
    </cfRule>
  </conditionalFormatting>
  <conditionalFormatting sqref="W1:Z1048576">
    <cfRule type="cellIs" dxfId="14" priority="154" operator="equal">
      <formula>"Blocked"</formula>
    </cfRule>
    <cfRule type="cellIs" dxfId="13" priority="155" operator="equal">
      <formula>"On Hold"</formula>
    </cfRule>
    <cfRule type="cellIs" dxfId="12" priority="156" operator="equal">
      <formula>"Completed"</formula>
    </cfRule>
    <cfRule type="cellIs" dxfId="11" priority="157" operator="equal">
      <formula>"Not Started"</formula>
    </cfRule>
  </conditionalFormatting>
  <conditionalFormatting sqref="W473:Y1048576 W475:Z476 W2:Z473">
    <cfRule type="cellIs" dxfId="10" priority="31" operator="equal">
      <formula>"In progress"</formula>
    </cfRule>
  </conditionalFormatting>
  <conditionalFormatting sqref="W325:Z332">
    <cfRule type="cellIs" dxfId="9" priority="79" operator="equal">
      <formula>"In Progress"</formula>
    </cfRule>
  </conditionalFormatting>
  <conditionalFormatting sqref="X222">
    <cfRule type="cellIs" dxfId="8" priority="21" operator="equal">
      <formula>"In Progress"</formula>
    </cfRule>
  </conditionalFormatting>
  <conditionalFormatting sqref="X33:Y33">
    <cfRule type="cellIs" dxfId="7" priority="22" operator="equal">
      <formula>"In Progress"</formula>
    </cfRule>
  </conditionalFormatting>
  <conditionalFormatting sqref="X189:Y189">
    <cfRule type="cellIs" dxfId="6" priority="7" operator="equal">
      <formula>"In Progress"</formula>
    </cfRule>
  </conditionalFormatting>
  <conditionalFormatting sqref="X194:Y195">
    <cfRule type="cellIs" dxfId="5" priority="1" operator="equal">
      <formula>"In Progress"</formula>
    </cfRule>
  </conditionalFormatting>
  <conditionalFormatting sqref="X212:Y214">
    <cfRule type="cellIs" dxfId="4" priority="3" operator="equal">
      <formula>"In Progress"</formula>
    </cfRule>
  </conditionalFormatting>
  <conditionalFormatting sqref="X121:Z138">
    <cfRule type="cellIs" dxfId="3" priority="34" operator="equal">
      <formula>"In progress"</formula>
    </cfRule>
  </conditionalFormatting>
  <conditionalFormatting sqref="Y37 Y43">
    <cfRule type="cellIs" dxfId="2" priority="13" operator="equal">
      <formula>"In Progress"</formula>
    </cfRule>
  </conditionalFormatting>
  <conditionalFormatting sqref="Y58:Y69">
    <cfRule type="cellIs" dxfId="1" priority="2" operator="equal">
      <formula>"In Progress"</formula>
    </cfRule>
  </conditionalFormatting>
  <conditionalFormatting sqref="Z1:Z1048576">
    <cfRule type="cellIs" dxfId="0" priority="9" operator="equal">
      <formula>"In Progress"</formula>
    </cfRule>
  </conditionalFormatting>
  <conditionalFormatting sqref="AM2:AN476">
    <cfRule type="colorScale" priority="2238">
      <colorScale>
        <cfvo type="min"/>
        <cfvo type="percentile" val="50"/>
        <cfvo type="max"/>
        <color rgb="FFF8696B"/>
        <color rgb="FFFFEB84"/>
        <color rgb="FF63BE7B"/>
      </colorScale>
    </cfRule>
  </conditionalFormatting>
  <dataValidations count="3">
    <dataValidation type="list" allowBlank="1" showInputMessage="1" showErrorMessage="1" sqref="K2:K1048576" xr:uid="{FE6F2394-0F9A-4C04-AE4C-D7C23DE14CDF}">
      <formula1>"Yes,No"</formula1>
    </dataValidation>
    <dataValidation type="list" allowBlank="1" showInputMessage="1" showErrorMessage="1" sqref="W1:Z1048576" xr:uid="{FB0E84E4-4097-4C0D-9271-13AFA609EF97}">
      <formula1>"Not Started, In Progress,Blocked,Completed"</formula1>
    </dataValidation>
    <dataValidation type="list" allowBlank="1" showInputMessage="1" showErrorMessage="1" sqref="N1:N1048576" xr:uid="{90C0C003-D9C1-453A-839E-1661BBB91FF8}">
      <formula1>"Simple,Medium,Complex"</formula1>
    </dataValidation>
  </dataValidations>
  <hyperlinks>
    <hyperlink ref="F139" r:id="rId1" display="4174505" xr:uid="{41590F4B-72BD-4870-8944-E36AB8EB16F8}"/>
    <hyperlink ref="F140" r:id="rId2" display="4266636" xr:uid="{C927D257-8963-471E-AC2C-55DD49419F3B}"/>
    <hyperlink ref="F141" r:id="rId3" display="4316367" xr:uid="{E3BDAD00-D782-495A-8362-110884CE1A5E}"/>
    <hyperlink ref="F142" r:id="rId4" display="4328943" xr:uid="{07AF52C2-D8E1-468F-B375-F47C892DA036}"/>
    <hyperlink ref="F143" r:id="rId5" display="4342214" xr:uid="{91A474C1-3DAC-417F-B347-FB4C972A21D6}"/>
    <hyperlink ref="F144" r:id="rId6" display="4350042" xr:uid="{D5C44B02-2EA0-4460-A4E7-317C1E2B4936}"/>
    <hyperlink ref="F145" r:id="rId7" display="4361793" xr:uid="{BDF8478A-DE48-472C-8A56-046BCD6F167F}"/>
    <hyperlink ref="F146" r:id="rId8" display="4361795" xr:uid="{FDB7933F-5B05-408A-BC5F-338E5F8E0C8D}"/>
    <hyperlink ref="F147" r:id="rId9" display="4361796" xr:uid="{E9B61807-06A1-4516-BC54-61C9EE9E4A8C}"/>
    <hyperlink ref="F148" r:id="rId10" display="4361798" xr:uid="{323BEBDF-B231-4A16-9736-3431DE7A59AF}"/>
    <hyperlink ref="F149" r:id="rId11" display="4361800" xr:uid="{7AE253A5-8B5C-4929-BCC9-54263A837608}"/>
    <hyperlink ref="F150" r:id="rId12" display="4361804" xr:uid="{C5B69E18-0093-4D6E-AFDA-D95BAD694086}"/>
    <hyperlink ref="F151" r:id="rId13" display="4361805" xr:uid="{05D2497F-918A-441B-A3A3-0DAA31CC3426}"/>
    <hyperlink ref="F152" r:id="rId14" display="4361806" xr:uid="{20186F57-79E6-46DE-86DB-141FE6DEE16A}"/>
    <hyperlink ref="F153" r:id="rId15" display="4361807" xr:uid="{A694BC6B-979F-47FC-A1E6-0362DD620594}"/>
    <hyperlink ref="F154" r:id="rId16" display="4361808" xr:uid="{7973E3B9-74D9-4363-94D9-BD64670021E8}"/>
    <hyperlink ref="F155" r:id="rId17" display="4367505" xr:uid="{6E53A504-0302-4E04-AEA8-5338317C6CF4}"/>
    <hyperlink ref="F156" r:id="rId18" display="4371749" xr:uid="{D1842E01-2B2C-4B12-AB39-5B989F8DA4C7}"/>
    <hyperlink ref="F157" r:id="rId19" display="4372653" xr:uid="{AC94977E-C212-4219-BDCD-47AE2AA70BA5}"/>
    <hyperlink ref="F158" r:id="rId20" display="4372897" xr:uid="{412A4E6B-E83B-4C94-A8A2-43C08151164B}"/>
    <hyperlink ref="F159" r:id="rId21" display="4373565" xr:uid="{E2DA68ED-0722-4F8F-A190-F09E06F13FC7}"/>
    <hyperlink ref="F160" r:id="rId22" display="4373585" xr:uid="{D91F4E7D-C1B0-4D0A-BE33-4DC521474554}"/>
    <hyperlink ref="F161" r:id="rId23" display="4373596" xr:uid="{DE2C5BF1-3DA3-4E8C-B38F-022E6AB84CA9}"/>
    <hyperlink ref="F162" r:id="rId24" display="4374045" xr:uid="{82173798-BD83-4930-9BC1-047AB285BFC5}"/>
    <hyperlink ref="F163" r:id="rId25" display="4378608" xr:uid="{EFD54AF3-594F-482F-9E62-354B3EDABDB2}"/>
    <hyperlink ref="F164" r:id="rId26" display="4378933" xr:uid="{884FBE4A-BE74-4641-A99F-D6E5047B12BD}"/>
    <hyperlink ref="F165" r:id="rId27" display="4381777" xr:uid="{71994BA7-59CB-4C37-B640-6330262FD02A}"/>
    <hyperlink ref="F166" r:id="rId28" display="4387497" xr:uid="{5CEF6F11-AB57-418F-ACF0-0949DE7767E5}"/>
    <hyperlink ref="F167" r:id="rId29" display="4387505" xr:uid="{0FF6FE46-87FA-49E7-AE74-8F7C03D18CB9}"/>
    <hyperlink ref="F168" r:id="rId30" display="4387512" xr:uid="{CB2F7641-212B-448C-A8E0-12CF2A4B4D71}"/>
    <hyperlink ref="F169" r:id="rId31" display="4385147" xr:uid="{2F5684EA-78E4-485E-8086-4E6BA7933006}"/>
    <hyperlink ref="F170" r:id="rId32" display="4386791" xr:uid="{4CFAE38D-003A-4441-8D77-AA6DAF9A7294}"/>
    <hyperlink ref="F171" r:id="rId33" display="4387669" xr:uid="{9BE1EA89-630C-4107-BF5B-F5B69F16A412}"/>
    <hyperlink ref="F172" r:id="rId34" display="4105358" xr:uid="{C185DF05-5B86-4927-AA82-73752517559E}"/>
    <hyperlink ref="F173" r:id="rId35" display="4260379" xr:uid="{E3A25495-3997-41E7-9763-B5801EEBAF9C}"/>
    <hyperlink ref="F174" r:id="rId36" display="4265988" xr:uid="{D9DAA9B1-2731-4959-8F4E-61655D194F3A}"/>
    <hyperlink ref="F175" r:id="rId37" display="4265998" xr:uid="{6AE41584-681F-4240-95B3-F34A0573DF0D}"/>
    <hyperlink ref="F176" r:id="rId38" display="4266022" xr:uid="{85E6C772-6B67-4AC0-A094-908B54AFB307}"/>
    <hyperlink ref="F177" r:id="rId39" display="4266024" xr:uid="{FC8259D1-2EC1-4E48-8407-AE1888A12913}"/>
    <hyperlink ref="F178" r:id="rId40" display="4267005" xr:uid="{49735C1A-2D8D-4DFC-94F7-AE0F914AB445}"/>
    <hyperlink ref="F179" r:id="rId41" display="4267410" xr:uid="{0C45C3EA-F325-4A64-8640-E588372B015E}"/>
    <hyperlink ref="F180" r:id="rId42" display="4267715" xr:uid="{4443B354-BB58-4054-B083-857F43F5B934}"/>
    <hyperlink ref="F181" r:id="rId43" display="4228339" xr:uid="{9B8B10A7-B1C1-4189-AF73-A8048DD5F46F}"/>
    <hyperlink ref="F182" r:id="rId44" display="4147643" xr:uid="{EB57A367-BECD-4DA6-A74D-4F818143F016}"/>
    <hyperlink ref="F183" r:id="rId45" display="4240160" xr:uid="{2F97F077-346C-4AA0-B180-1D811E97B3E6}"/>
    <hyperlink ref="F184" r:id="rId46" display="4271339" xr:uid="{56A99FA1-0798-4079-8F71-76F5E15FC30C}"/>
    <hyperlink ref="F185" r:id="rId47" display="4358867" xr:uid="{4C9B83C5-9B31-45CC-AFE3-EB86AB54026F}"/>
    <hyperlink ref="F186" r:id="rId48" display="4363949" xr:uid="{F4F0B22E-E67E-49D2-92A9-2F8DAA666C41}"/>
    <hyperlink ref="F187" r:id="rId49" display="4366164" xr:uid="{B162F8CA-BA2B-4BFC-BB7F-EC72ECCAFAEB}"/>
    <hyperlink ref="F188" r:id="rId50" display="4330981" xr:uid="{78C292AD-C0AE-452C-9BD0-014C41131523}"/>
    <hyperlink ref="F189" r:id="rId51" display="4337147" xr:uid="{137951E2-A4C3-47C0-B702-BEC644C08FA6}"/>
    <hyperlink ref="F190" r:id="rId52" display="4341515" xr:uid="{3230AB1F-8C88-4B11-8C7C-3FF3C78DDC90}"/>
    <hyperlink ref="F191" r:id="rId53" display="4344830" xr:uid="{02401759-215F-4EB4-85BF-D2E37FD3CC61}"/>
    <hyperlink ref="F192" r:id="rId54" display="4240154" xr:uid="{7334A56C-4053-43CF-B03C-615CC5CE1AFE}"/>
    <hyperlink ref="F193" r:id="rId55" display="4240155" xr:uid="{FB14B365-A99E-408F-BDD6-2D9D6EF2E7A4}"/>
    <hyperlink ref="F194" r:id="rId56" display="4240158" xr:uid="{1E76268D-BE96-431D-9252-10E5235577D8}"/>
    <hyperlink ref="F195" r:id="rId57" display="4278524" xr:uid="{4B8CBC35-6DCB-4CD6-A1A9-658A900112F4}"/>
    <hyperlink ref="F196" r:id="rId58" display="4372293" xr:uid="{4A1EA304-DCFE-4765-B86A-2D03BA469398}"/>
    <hyperlink ref="F197" r:id="rId59" display="4373745" xr:uid="{A8C051DF-7DD1-4877-9D19-D2DE9712234A}"/>
    <hyperlink ref="F198" r:id="rId60" display="4357665" xr:uid="{17269EF4-8724-4A87-8BE7-6274896ED638}"/>
    <hyperlink ref="F199" r:id="rId61" display="4372156" xr:uid="{29C7C227-FC76-415B-91C0-63CE9BC72016}"/>
    <hyperlink ref="F200" r:id="rId62" display="4368371" xr:uid="{09419931-8979-4B5F-B9FA-808E6D845728}"/>
    <hyperlink ref="F201" r:id="rId63" display="4368401" xr:uid="{E8803405-D6F5-4C6E-B7B5-DC5FC08BE067}"/>
    <hyperlink ref="F202" r:id="rId64" display="4368402" xr:uid="{38577A11-B30C-4937-A074-97B327AA3E89}"/>
    <hyperlink ref="F203" r:id="rId65" display="4368403" xr:uid="{69BA220B-9434-4F52-9A6A-A39BF8BD68A4}"/>
    <hyperlink ref="F204" r:id="rId66" display="4373635" xr:uid="{A1CA0B06-5C82-479B-92FD-481BB6C39933}"/>
    <hyperlink ref="F206" r:id="rId67" display="4368021" xr:uid="{87D5C66C-BB79-4C7C-8505-FAB4ECC932E4}"/>
    <hyperlink ref="F207" r:id="rId68" display="4368032" xr:uid="{C557AF09-9AD9-49AA-9931-172ACA45DEAF}"/>
    <hyperlink ref="F208" r:id="rId69" display="4368033" xr:uid="{FC7E0487-8F4A-4553-A79A-10DA6CDF449E}"/>
    <hyperlink ref="F209" r:id="rId70" display="4368053" xr:uid="{FB7B2C9A-C0FB-4DB1-A3DC-49F50FA4A551}"/>
    <hyperlink ref="F210" r:id="rId71" display="4368070" xr:uid="{0B56C32D-7B9B-43BB-8106-7337BECF2E2E}"/>
    <hyperlink ref="F211" r:id="rId72" display="4372288" xr:uid="{3D912C6B-9988-4FF8-BF28-900F6986AC24}"/>
    <hyperlink ref="F212" r:id="rId73" display="4367411" xr:uid="{84B0B2A1-B9E1-4A25-BA5E-9617424E10FB}"/>
    <hyperlink ref="F213" r:id="rId74" display="4367444" xr:uid="{7E222A87-E5AE-4CBC-8AB0-F8C27C31C599}"/>
    <hyperlink ref="F214" r:id="rId75" display="4367450" xr:uid="{3C14A025-DDA5-4820-8525-611F48CAF546}"/>
    <hyperlink ref="F215" r:id="rId76" display="4381593" xr:uid="{7A6BF043-D0C6-4D41-B160-140F0B0802F6}"/>
    <hyperlink ref="F216" r:id="rId77" display="4381594" xr:uid="{02E134AB-A31E-4940-A3EF-9E191DF9F577}"/>
    <hyperlink ref="F217" r:id="rId78" display="4339301" xr:uid="{472ACE77-DC64-4B9D-8EFD-3A1AC3F56CD2}"/>
    <hyperlink ref="F218" r:id="rId79" display="4311478" xr:uid="{5F7F8ABF-F4A9-4820-B2FB-405863BB754F}"/>
    <hyperlink ref="F219" r:id="rId80" display="4311483" xr:uid="{681D6F76-3BF4-4DA4-84F1-B7D8875E64CE}"/>
    <hyperlink ref="F220" r:id="rId81" display="4311485" xr:uid="{CA71901D-3275-4BCE-905F-A1902C80FF82}"/>
    <hyperlink ref="F221" r:id="rId82" display="4370867" xr:uid="{03792FC0-106C-43A7-BE80-D771BE6471EF}"/>
    <hyperlink ref="F222" r:id="rId83" display="4371050" xr:uid="{45BF769D-0A6A-4D58-8CDC-2CEE41EF0837}"/>
    <hyperlink ref="F223" r:id="rId84" display="4373686" xr:uid="{26E031D1-8757-45D0-A85E-E1BF21DC5C12}"/>
    <hyperlink ref="F224" r:id="rId85" display="4373712" xr:uid="{5E78F33F-A6B4-46A0-890C-1A814D1CB259}"/>
    <hyperlink ref="F225" r:id="rId86" display="4371414" xr:uid="{BD4913A6-2A6F-4116-A022-84D00538005C}"/>
    <hyperlink ref="F226" r:id="rId87" display="4373649" xr:uid="{7D98AF44-76F9-45A9-8234-DD38AC4492D8}"/>
    <hyperlink ref="F227" r:id="rId88" display="4373650" xr:uid="{A0A56E1D-E888-4EE5-B321-98864AD38FBE}"/>
    <hyperlink ref="F228" r:id="rId89" display="4373711" xr:uid="{CC99C26D-4D78-4397-9387-FF7DC353A8E9}"/>
    <hyperlink ref="F229" r:id="rId90" display="4373661" xr:uid="{9C454402-B674-4812-B451-735C82C40C2D}"/>
    <hyperlink ref="F230" r:id="rId91" display="4373654" xr:uid="{9F46C21C-B7AB-4D7D-BAB3-207A5FA52518}"/>
    <hyperlink ref="F231" r:id="rId92" display="4373656" xr:uid="{738ECEC7-3444-409E-9569-DBCECDAFAB28}"/>
    <hyperlink ref="F232" r:id="rId93" display="4373657" xr:uid="{5C49392D-6C1E-4180-960E-B6346AD815B0}"/>
    <hyperlink ref="F234" r:id="rId94" display="4381589" xr:uid="{6A097A90-18E0-4ADB-B3C6-7D0E72EDD28A}"/>
    <hyperlink ref="F235" r:id="rId95" display="4381591" xr:uid="{EC115E9F-027C-4BC6-BBCD-D6BB6282C1DE}"/>
    <hyperlink ref="F236" r:id="rId96" display="4381592" xr:uid="{BCA4CD03-F513-4154-BB28-68499EE0E9EA}"/>
    <hyperlink ref="F237" r:id="rId97" display="4373713" xr:uid="{206B88CE-4A62-459B-B8E2-0DB95A3FCB06}"/>
    <hyperlink ref="F238" r:id="rId98" display="4373716" xr:uid="{31111B6B-D68E-4C89-8355-1A4320E00E42}"/>
    <hyperlink ref="F239" r:id="rId99" display="4345085" xr:uid="{69128654-DDAE-4CD6-B3EC-0F90CFDEBA76}"/>
    <hyperlink ref="F240" r:id="rId100" display="4345110" xr:uid="{8481FF67-8716-4E61-881B-36C80981B101}"/>
    <hyperlink ref="F241" r:id="rId101" display="4240159" xr:uid="{24651F00-1B98-4D08-B695-DF1CBF215C0C}"/>
    <hyperlink ref="F242" r:id="rId102" display="4240156" xr:uid="{E88CF65F-1B6C-440D-B920-59EC4BF39A27}"/>
    <hyperlink ref="F243" r:id="rId103" display="4105351" xr:uid="{BB02ED1C-2D2B-4BF0-BE4B-C27DD0C7009F}"/>
    <hyperlink ref="F244" r:id="rId104" display="4105353" xr:uid="{E6985A38-85C7-4FB5-BF0C-0F00A2749A53}"/>
    <hyperlink ref="F245" r:id="rId105" display="4330982" xr:uid="{82EE22E7-C118-4485-8E65-76BD9A3464D7}"/>
    <hyperlink ref="F246" r:id="rId106" display="4330983" xr:uid="{2F26D149-734F-47BB-8ACF-B2F9BA7FFB5B}"/>
    <hyperlink ref="F247" r:id="rId107" display="4278575" xr:uid="{74B0AF48-02D1-478C-B144-B93F8F6C8587}"/>
    <hyperlink ref="F248" r:id="rId108" display="4287425" xr:uid="{7711B145-6969-47C2-85E8-33198AC3090B}"/>
    <hyperlink ref="F249" r:id="rId109" display="4240162" xr:uid="{B4253E4A-5839-4718-B63B-9B3CB4885CC2}"/>
    <hyperlink ref="F250" r:id="rId110" display="4270616" xr:uid="{01795FE7-145D-4748-9E5C-5C8621C92748}"/>
    <hyperlink ref="F251" r:id="rId111" display="4270617" xr:uid="{C0F9D413-44AD-49AF-89AE-C89831D2C3CC}"/>
    <hyperlink ref="F252" r:id="rId112" display="4147645" xr:uid="{4D9E262E-8E16-44A2-9BEA-8D05A610F65D}"/>
    <hyperlink ref="F253" r:id="rId113" display="4147648" xr:uid="{A9693C15-FD55-4D6E-9AB8-1FCA7FB384CC}"/>
    <hyperlink ref="F254" r:id="rId114" display="4147649" xr:uid="{A71099C5-C4A6-4656-896F-A4364603C13C}"/>
    <hyperlink ref="F255" r:id="rId115" display="4177442" xr:uid="{2C252C3E-5073-4C3F-9D1F-E458F52F3712}"/>
    <hyperlink ref="F256" r:id="rId116" display="4177443" xr:uid="{9B341945-8445-4427-9811-507BAAB3C531}"/>
    <hyperlink ref="F257" r:id="rId117" display="4183206" xr:uid="{DB6125A1-221F-4271-B317-884DCBB787B4}"/>
    <hyperlink ref="F258" r:id="rId118" display="4183207" xr:uid="{D5B69658-2A97-497E-8776-BE4AF3DC4551}"/>
    <hyperlink ref="F259" r:id="rId119" display="4223630" xr:uid="{A0A9A563-A1C9-42AC-ACC8-9C6A62F76618}"/>
    <hyperlink ref="F260" r:id="rId120" display="4240152" xr:uid="{B491D093-5B6A-4A66-8E1F-2759D6466B0C}"/>
    <hyperlink ref="F261" r:id="rId121" display="4240153" xr:uid="{0EE66262-755C-43C7-AC47-1C083540EB80}"/>
    <hyperlink ref="F262" r:id="rId122" display="4136042" xr:uid="{406A6C9B-EFF0-44ED-BC8D-C8BAB1302404}"/>
    <hyperlink ref="F263" r:id="rId123" display="4136044" xr:uid="{1B96BA9B-EF66-4988-9A45-60EA8400D47D}"/>
    <hyperlink ref="F264" r:id="rId124" display="4136068" xr:uid="{D81C2F7D-3FA5-4E76-A910-22EEF0A2E14D}"/>
    <hyperlink ref="F265" r:id="rId125" display="4136084" xr:uid="{FF01C73F-F591-4C67-8D82-EDD278BF04ED}"/>
    <hyperlink ref="F266" r:id="rId126" display="4136086" xr:uid="{506CC03D-29BA-4183-9F0A-E6866858F949}"/>
    <hyperlink ref="F267" r:id="rId127" display="4136089" xr:uid="{A0ADCEC0-2F90-4BC5-88E8-94B9EFDF01CF}"/>
    <hyperlink ref="F268" r:id="rId128" display="4136094" xr:uid="{2991E5FE-A014-409B-8C37-2FD923D75271}"/>
    <hyperlink ref="F269" r:id="rId129" display="4136098" xr:uid="{DCC91A2D-D930-4ACD-B932-08B0FBBA3CF2}"/>
    <hyperlink ref="F270" r:id="rId130" display="4147642" xr:uid="{00463000-8779-4312-B81B-BCD846E29BBF}"/>
    <hyperlink ref="F271" r:id="rId131" display="4371529" xr:uid="{AF981A8F-7C14-4181-B63A-1997981854E5}"/>
    <hyperlink ref="F272" r:id="rId132" display="4371574" xr:uid="{2F555A56-5574-4005-B4CB-8202DB414617}"/>
    <hyperlink ref="F273" r:id="rId133" display="4371614" xr:uid="{2138E237-F1A4-4571-98F3-E692BDA7558C}"/>
    <hyperlink ref="F274" r:id="rId134" display="4371751" xr:uid="{34BD170F-6D30-4BE3-9925-D5619A988B95}"/>
    <hyperlink ref="F275" r:id="rId135" display="4371760" xr:uid="{495FA122-F2A8-4372-9848-54959A57346C}"/>
    <hyperlink ref="F276" r:id="rId136" display="4368209" xr:uid="{5B94C63C-2238-4AFC-8087-6951B67908FA}"/>
    <hyperlink ref="F277" r:id="rId137" display="4368225" xr:uid="{69A0168F-A2B3-4585-BE0C-28FB04050FC8}"/>
    <hyperlink ref="F278" r:id="rId138" display="4368226" xr:uid="{C262E2FB-1864-4B08-9762-3107FA5E9732}"/>
    <hyperlink ref="F279" r:id="rId139" display="4319555" xr:uid="{0B7A6136-E5D1-44BB-A5B4-98FA5D0F3D2F}"/>
    <hyperlink ref="F280" r:id="rId140" display="4314722" xr:uid="{E6DDDF47-EEE9-4E35-BF87-21B68C5988C0}"/>
    <hyperlink ref="F281" r:id="rId141" display="4269661" xr:uid="{77C265A7-4D4D-4414-AAD7-7FE7824F2E64}"/>
    <hyperlink ref="F282" r:id="rId142" display="4387310" xr:uid="{FFF267C2-C1F3-45EB-B46B-E16EFFFB4425}"/>
    <hyperlink ref="F283" r:id="rId143" display="4387348" xr:uid="{FBCEED6B-1C77-4878-9214-1BDADCD32B65}"/>
    <hyperlink ref="F284" r:id="rId144" display="4387360" xr:uid="{C4253EB1-8030-43D5-AC5D-12EA1C3F70ED}"/>
    <hyperlink ref="F285" r:id="rId145" display="4387679" xr:uid="{33B537CE-2D39-4230-83BF-26D0F661877A}"/>
    <hyperlink ref="F286" r:id="rId146" display="4389820" xr:uid="{B1B821C6-FA64-4DFA-8580-3C15DD02657D}"/>
    <hyperlink ref="F288" r:id="rId147" display="4387511" xr:uid="{90E0DEBF-1B39-4563-B424-263793AAC2D7}"/>
    <hyperlink ref="F289" r:id="rId148" display="4387513" xr:uid="{FD2FB9B1-5498-43D1-9DBF-29558C9022FD}"/>
    <hyperlink ref="F291" r:id="rId149" display="4319914" xr:uid="{6316FDAF-1086-4DB4-8EDC-2FF7E158F060}"/>
    <hyperlink ref="F292" r:id="rId150" display="4319915" xr:uid="{B8C2ED27-D434-4262-929C-8769E78BA2A5}"/>
    <hyperlink ref="F293" r:id="rId151" display="4364540" xr:uid="{42D791DB-865E-4FF9-AE4C-A78862EF8035}"/>
    <hyperlink ref="F294" r:id="rId152" display="4364565" xr:uid="{D523A5D6-BB24-400F-BFAA-3B4FBF0E6F82}"/>
    <hyperlink ref="F295" r:id="rId153" display="4371466" xr:uid="{301B47F0-969A-40DC-9B54-9C3EC4373759}"/>
    <hyperlink ref="F352" r:id="rId154" display=" 4344835" xr:uid="{AE0BBB10-AD69-4D3F-BE49-DBCB83DD5D19}"/>
    <hyperlink ref="F351" r:id="rId155" display="4351345" xr:uid="{79E72098-8C21-4489-909B-EC984E9999D3}"/>
    <hyperlink ref="F350" r:id="rId156" display="4361171" xr:uid="{C5A0B970-A621-46FF-A19A-4F3178E6D211}"/>
    <hyperlink ref="F349" r:id="rId157" display="4378856" xr:uid="{16FC29CC-AB26-4CA8-8F38-A615B7A94C0F}"/>
    <hyperlink ref="F348" r:id="rId158" display="4271903" xr:uid="{A31F13EF-202C-4025-99DC-CB7B7CC020F7}"/>
    <hyperlink ref="F347" r:id="rId159" display="4361245" xr:uid="{696CDB04-CFC4-4615-9BA2-A3759AED6F30}"/>
    <hyperlink ref="F346" r:id="rId160" display="4288220" xr:uid="{3BF4798E-E0C8-45A0-9BB2-BDB884D96696}"/>
    <hyperlink ref="F345" r:id="rId161" display=" 4367405" xr:uid="{164FF3A3-648F-40A7-8D53-A05072994D9A}"/>
    <hyperlink ref="F344" r:id="rId162" display=" 4381661" xr:uid="{30FB73D5-3E34-47B2-90C6-F8C12B913D80}"/>
    <hyperlink ref="F343" r:id="rId163" display=" 4362959" xr:uid="{1F2F66E3-D165-48F9-B8D6-B3818AD74D75}"/>
    <hyperlink ref="F342" r:id="rId164" display=" 4359607" xr:uid="{F96ABE93-854E-4918-B59E-94579733BEDD}"/>
    <hyperlink ref="F341" r:id="rId165" display="4361790" xr:uid="{472A27FD-9921-437A-9206-B7BF72567DEE}"/>
    <hyperlink ref="F340" r:id="rId166" display="4371838" xr:uid="{242A2F47-1A54-478A-91AD-1CE617017B36}"/>
    <hyperlink ref="F339" r:id="rId167" display="4316297" xr:uid="{33800F1A-16CA-4ED0-B84E-948F7F0B1EF5}"/>
    <hyperlink ref="F338" r:id="rId168" display="4316299" xr:uid="{21AD5A88-2A1B-4297-B57E-754235764299}"/>
    <hyperlink ref="F337" r:id="rId169" display=" 4094562" xr:uid="{8E11C958-CEF9-41F4-B436-183251244E3A}"/>
    <hyperlink ref="F336" r:id="rId170" display="4364038" xr:uid="{7D2A4DA2-E43C-4203-A019-CC1B3122839F}"/>
    <hyperlink ref="F335" r:id="rId171" display=" 4364983" xr:uid="{4B844429-E33F-4EDA-9B8C-9F0A5022EDDE}"/>
    <hyperlink ref="F334" r:id="rId172" display="4352776" xr:uid="{B63EA789-B5AC-45D6-A5E2-AE9091DFB219}"/>
    <hyperlink ref="F333" r:id="rId173" display="4266989" xr:uid="{2151A627-203A-419A-8BEA-DB694027E7D0}"/>
    <hyperlink ref="F387" r:id="rId174" display="4364545" xr:uid="{188651BB-3519-48F2-8E9B-8B70979FB4B9}"/>
    <hyperlink ref="F389" r:id="rId175" display="4354180" xr:uid="{DF3082DF-7031-4043-8846-65B15FD1B11F}"/>
    <hyperlink ref="F391" r:id="rId176" display="4330638" xr:uid="{D23F1491-C71E-4D2C-97E4-46748DAAD370}"/>
    <hyperlink ref="F392" r:id="rId177" display="4361594" xr:uid="{0F0D8D5F-12B4-4CC9-9F29-362E7BC20016}"/>
    <hyperlink ref="F393" r:id="rId178" display="4381785" xr:uid="{22C0E6CD-5B9D-4C02-951A-BDCC588EC5F8}"/>
    <hyperlink ref="F394" r:id="rId179" display="4385949" xr:uid="{9FEA7CE5-0502-4C37-BC6C-0634B9EF8820}"/>
    <hyperlink ref="F395" r:id="rId180" display="4390250" xr:uid="{A2A969CE-741B-46D2-9257-86F49DD32F67}"/>
    <hyperlink ref="F396" r:id="rId181" display="4390301" xr:uid="{2F2ACF7E-7240-4B73-8CC4-598828D77AED}"/>
    <hyperlink ref="F397" r:id="rId182" display="4390312" xr:uid="{4BAF8434-FD81-48EE-8DE0-D957390A0F70}"/>
    <hyperlink ref="F398" r:id="rId183" display="4390744" xr:uid="{025DECAC-AB3A-4707-9B00-73CF5D3BC157}"/>
    <hyperlink ref="F399" r:id="rId184" display="4390789" xr:uid="{839B0E9F-A21C-4E2B-840F-8FC0D0AEE180}"/>
    <hyperlink ref="F406" r:id="rId185" display="4351206" xr:uid="{E95FECE1-9AE2-4589-8280-88C03E9AB376}"/>
    <hyperlink ref="F405" r:id="rId186" display="4351207" xr:uid="{E34FB0E3-A66D-40BB-A193-CE1DCB448417}"/>
    <hyperlink ref="F400" r:id="rId187" display="4351286" xr:uid="{1CA2661A-6160-4C90-992B-AA082E5782DD}"/>
    <hyperlink ref="F401" r:id="rId188" display="4351288" xr:uid="{E77ACF3F-AE0D-4152-BC25-8ED3B273D154}"/>
    <hyperlink ref="F402" r:id="rId189" display=" 4353128" xr:uid="{6699DD4D-7CAB-4FDB-8F23-63594CF72737}"/>
    <hyperlink ref="F403" r:id="rId190" display="4354556" xr:uid="{9195D7E6-A628-4F3C-A09F-3795E638C3AD}"/>
    <hyperlink ref="F404" r:id="rId191" display=" 4355494" xr:uid="{BDD7247B-7204-48D5-AD79-C205D3976087}"/>
    <hyperlink ref="F409" r:id="rId192" display="4364544" xr:uid="{7DA441CC-1E3E-4030-AE25-057DCDCD3BE9}"/>
    <hyperlink ref="F410" r:id="rId193" display=" 4390192" xr:uid="{E6E554B1-14C6-4AFE-A790-FC87C3C6B9E5}"/>
    <hyperlink ref="F390" r:id="rId194" display="4319762" xr:uid="{A3115E77-9605-47D6-9048-96F95AE57D2F}"/>
    <hyperlink ref="F385" r:id="rId195" display="4378867" xr:uid="{D99C8E13-D34A-46F5-8430-DA37D7732C56}"/>
    <hyperlink ref="F417" r:id="rId196" display="4393563" xr:uid="{F26CB2C4-6666-4CA6-A999-40859A0850F7}"/>
    <hyperlink ref="F418" r:id="rId197" display="4343700" xr:uid="{A5035BBF-70BD-47AC-8C02-A67C6E4D5CEE}"/>
    <hyperlink ref="F419" r:id="rId198" display="4343702" xr:uid="{FA5241F0-B54E-4759-954F-B83EF781A4A8}"/>
    <hyperlink ref="F420" r:id="rId199" display="4343704" xr:uid="{0A69F3B6-DC4A-4585-93DB-63CE3CE49327}"/>
    <hyperlink ref="F421" r:id="rId200" display="4343706" xr:uid="{771F5989-99D4-4EBA-836B-2A5902A17FAD}"/>
    <hyperlink ref="F422" r:id="rId201" display="4361207" xr:uid="{FBD67051-D659-4EE3-BE50-C76925E9A359}"/>
    <hyperlink ref="F425" r:id="rId202" display="4361788" xr:uid="{8FAAA30E-77C1-43BF-A0D3-8D14CF8DE5C5}"/>
    <hyperlink ref="F426" r:id="rId203" display="4365015" xr:uid="{08285884-1C02-4D3E-BDAA-B663DBDF625E}"/>
    <hyperlink ref="F427" r:id="rId204" display="4367218" xr:uid="{C6CC30E0-2D5C-4E18-807A-5D9C455E532C}"/>
    <hyperlink ref="F428" r:id="rId205" display="4385961" xr:uid="{6233A442-09BB-4479-B4F8-9B17254FCE0D}"/>
    <hyperlink ref="F355" r:id="rId206" display="User Story 4391655: As an Advisory song SA, I want to access the AMS OCP tile in read-only mode so that I can maintain and view workflow continuity." xr:uid="{18361704-4825-4AAA-BA00-B567D8B95A75}"/>
    <hyperlink ref="F2" r:id="rId207" display="4315785" xr:uid="{24779F50-8790-4756-A6FF-0F0CE4A6C190}"/>
    <hyperlink ref="F3" r:id="rId208" display="4174533" xr:uid="{9FFA0A92-548B-462D-8221-751420E0AA32}"/>
    <hyperlink ref="F4" r:id="rId209" display="4364563" xr:uid="{39A475DC-E254-4005-ACED-787CA2222ADA}"/>
    <hyperlink ref="F5" r:id="rId210" display="4364929" xr:uid="{F98B3633-8800-4771-84E5-A0DD2939DF07}"/>
    <hyperlink ref="F6" r:id="rId211" display="4364996" xr:uid="{6448AB56-5AF4-4F1D-9A60-B3A5454AC8B3}"/>
    <hyperlink ref="F7" r:id="rId212" display="4373517" xr:uid="{AAD4E74D-9B5C-4AFD-AD06-464D5B583B6F}"/>
    <hyperlink ref="F8" r:id="rId213" display="4373570" xr:uid="{9A006886-8FC4-4AB9-9E6C-95025B43E3F1}"/>
    <hyperlink ref="F9" r:id="rId214" display="4376380" xr:uid="{1C147174-1DD7-44A9-8848-1B3E0261F6B8}"/>
    <hyperlink ref="F10" r:id="rId215" display="4362465" xr:uid="{C9823998-5403-4443-A6DE-7AD2412D8CEC}"/>
    <hyperlink ref="F12" r:id="rId216" display="4363958" xr:uid="{B37BA985-F101-42B4-87AB-13E8A36FF3F9}"/>
    <hyperlink ref="F13" r:id="rId217" display="4364558" xr:uid="{698B9E22-893C-4E41-9E9F-5199312B506C}"/>
    <hyperlink ref="F14" r:id="rId218" display="4361791" xr:uid="{E218161C-514F-4391-BE15-844F4B08BC00}"/>
    <hyperlink ref="F15" r:id="rId219" display="4318918" xr:uid="{D41F5A7F-0A42-4C42-8A8E-FA9DF5448D8C}"/>
    <hyperlink ref="F16" r:id="rId220" display="4328732" xr:uid="{509312FE-06D1-48FA-8824-754B2C08E053}"/>
    <hyperlink ref="F17" r:id="rId221" display="4100102" xr:uid="{B88516F5-BD99-4813-93EF-48D492296F68}"/>
    <hyperlink ref="F18" r:id="rId222" display="4368404" xr:uid="{981FDA08-41FC-4D2B-BDE1-F2C3600F0ACD}"/>
    <hyperlink ref="F19" r:id="rId223" display="4368405" xr:uid="{246A1D82-E934-4CEB-89B7-9EFD1F6CB88E}"/>
    <hyperlink ref="F20" r:id="rId224" display="4368508" xr:uid="{163B2792-1055-414A-A18B-8D2AFA81B61C}"/>
    <hyperlink ref="F21" r:id="rId225" display="4372603" xr:uid="{E551ACD9-18A4-4897-B8EA-F1B094392007}"/>
    <hyperlink ref="F22" r:id="rId226" display="4352719" xr:uid="{19A96814-D1A5-4AE4-A9DB-DF45D2A2E104}"/>
    <hyperlink ref="F23" r:id="rId227" display="4381608" xr:uid="{3B82FB0E-E5F2-4EC4-A583-1AB782D9661F}"/>
    <hyperlink ref="F24" r:id="rId228" display="4365001" xr:uid="{BFCF5FD9-DA65-4F67-BC20-EA223FF019E5}"/>
    <hyperlink ref="F25" r:id="rId229" display="4391344" xr:uid="{2C83257D-6961-4AC7-BD43-A68204EC7546}"/>
    <hyperlink ref="F26" r:id="rId230" display="4373065" xr:uid="{B4EA5FD4-D8C8-4AAF-8C0E-7A10D7F3AC30}"/>
    <hyperlink ref="F356" r:id="rId231" display="4343705" xr:uid="{5F3E7603-A55D-433F-96D0-BCEC7F518842}"/>
    <hyperlink ref="F357" r:id="rId232" display="4358784" xr:uid="{643F1A81-6142-40CF-818C-C24E4326FF7C}"/>
    <hyperlink ref="F358" r:id="rId233" display="4366137" xr:uid="{559B3C89-ACE6-4C4E-B9C2-AF061A4EB64F}"/>
    <hyperlink ref="F359" r:id="rId234" display="4367327" xr:uid="{877734A9-5662-4968-A1A6-6E7AC7A1AC43}"/>
    <hyperlink ref="F360" r:id="rId235" display="4371950" xr:uid="{5C23E574-E1A2-4274-A6B1-385CED743956}"/>
    <hyperlink ref="F361" r:id="rId236" display="4371951" xr:uid="{1E301774-9D0A-4469-A2E9-725B2AE77D79}"/>
    <hyperlink ref="F362" r:id="rId237" display="4371954" xr:uid="{22A0AF66-0337-4F4C-AF0B-DA6135BC16A6}"/>
    <hyperlink ref="F363" r:id="rId238" display="4371955" xr:uid="{029106B6-6A8A-411E-A890-B33641B5FA3E}"/>
    <hyperlink ref="F364" r:id="rId239" display="4369456" xr:uid="{4CCA036B-E0CB-4903-B595-34C688D42F8E}"/>
    <hyperlink ref="F365" r:id="rId240" display="4369602" xr:uid="{13B540BC-A461-4F48-8941-FE4DB8473462}"/>
    <hyperlink ref="F366" r:id="rId241" display="4360851" xr:uid="{F5B5C75E-38A0-4B80-BC56-D8B6558E222D}"/>
    <hyperlink ref="F367" r:id="rId242" display="4362567" xr:uid="{4EB0BBF1-2724-4D5C-9F58-7F98525DB51B}"/>
    <hyperlink ref="F368" r:id="rId243" display="4346705" xr:uid="{32F4D9BD-45DF-4B46-ABD9-D3F4C15B2ED0}"/>
    <hyperlink ref="F369" r:id="rId244" display="4308725" xr:uid="{01522878-6707-4F6C-A90F-D4F992802214}"/>
    <hyperlink ref="F370" r:id="rId245" display="4368141" xr:uid="{40EF9926-994B-4B0B-931B-3A978B98F639}"/>
    <hyperlink ref="F371" r:id="rId246" display="4368158" xr:uid="{A8BFD6AC-2650-43C1-9A2D-A3F849F99B27}"/>
    <hyperlink ref="F372" r:id="rId247" display="4368160" xr:uid="{34F11E82-F682-476A-B23B-FF048E96BFFC}"/>
    <hyperlink ref="F373" r:id="rId248" display="4368163" xr:uid="{84475D2A-BF8D-41E4-9DD4-67D3B7D2BDFA}"/>
    <hyperlink ref="F374" r:id="rId249" display="4368210" xr:uid="{7A28586A-0050-4E43-A4D2-D1A2C6CCF3D8}"/>
    <hyperlink ref="F375" r:id="rId250" display="4368211" xr:uid="{6F92921D-6372-4342-A510-4B27319C1D1B}"/>
    <hyperlink ref="F376" r:id="rId251" display="4371933" xr:uid="{B0A53EE8-A94F-428A-A501-0F34939BC037}"/>
    <hyperlink ref="F377" r:id="rId252" display="4389863" xr:uid="{87C02A84-0F2F-4D7C-8D98-0A98BE765DCE}"/>
    <hyperlink ref="F378" r:id="rId253" display="4390101" xr:uid="{EC8CD533-2DED-4E75-9924-7FC2ED397B9C}"/>
    <hyperlink ref="F379" r:id="rId254" display="4391662" xr:uid="{85FAF4E3-8310-4AEC-AE40-AF51CE29E6F5}"/>
    <hyperlink ref="F296" r:id="rId255" display="4392669" xr:uid="{C1D1EBB8-973D-4D00-B836-E36C0487BFF9}"/>
    <hyperlink ref="F297" r:id="rId256" display="4392736" xr:uid="{D1E66B84-41B7-4ED2-B4CA-67817D433DE3}"/>
    <hyperlink ref="F298" r:id="rId257" display="4392742" xr:uid="{1E62C56D-53CA-4FF1-9D0C-A73A51E5BE50}"/>
    <hyperlink ref="F299" r:id="rId258" display="4356747" xr:uid="{45837478-2329-41F5-A42C-08FEA9F9F485}"/>
    <hyperlink ref="F300" r:id="rId259" display="4358656" xr:uid="{876E9EB1-62CE-46CD-A279-F26B10EC21E2}"/>
    <hyperlink ref="F301" r:id="rId260" display="4391349" xr:uid="{EAA76332-FEF1-4026-B70C-FE0BCC248CFF}"/>
    <hyperlink ref="F302" r:id="rId261" display="4373026" xr:uid="{CD87D756-DDF5-4A8C-A1B7-F34789069855}"/>
    <hyperlink ref="F303" r:id="rId262" display="4389974" xr:uid="{0F1A33A4-B5C2-4BD7-83AE-B54A36F2CB5E}"/>
    <hyperlink ref="F304" r:id="rId263" display="4389979" xr:uid="{B53B859D-78F8-4E16-98AC-FE230C10D57C}"/>
    <hyperlink ref="F131" r:id="rId264" display="https://dev.azure.com/accenturecio08/AutomationProcess_29697/_workitems/edit/4349409/?view=edit" xr:uid="{8B2E3981-2744-446B-8299-9EB62B68102E}"/>
    <hyperlink ref="F132" r:id="rId265" display="https://dev.azure.com/accenturecio08/AutomationProcess_29697/_workitems/edit/4349500/?view=edit" xr:uid="{2DB9F711-0D5A-41D0-B4D5-8DB20955BF46}"/>
    <hyperlink ref="F133" r:id="rId266" display="https://dev.azure.com/accenturecio08/AutomationProcess_29697/_workitems/edit/4349598/?view=edit" xr:uid="{B63429A8-5302-4E58-846D-5191B6319653}"/>
    <hyperlink ref="F134" r:id="rId267" display="https://dev.azure.com/accenturecio08/AutomationProcess_29697/_workitems/edit/4355655/?view=edit" xr:uid="{5999576A-46E8-4A82-90C8-423E5415B711}"/>
    <hyperlink ref="F135" r:id="rId268" display="https://dev.azure.com/accenturecio08/AutomationProcess_29697/_workitems/edit/4371407/?view=edit" xr:uid="{49F10C93-69C1-4395-A92F-7B6BB782CE98}"/>
    <hyperlink ref="F136" r:id="rId269" display="https://dev.azure.com/accenturecio08/AutomationProcess_29697/_workitems/edit/4315742/?view=edit" xr:uid="{AD5CE9C6-0024-4E87-8AD7-D4EEDFD0660D}"/>
    <hyperlink ref="F137" r:id="rId270" display="https://dev.azure.com/accenturecio08/AutomationProcess_29697/_workitems/edit/4163203/?view=edit" xr:uid="{B881D385-5952-4FC6-9300-FEC24770F148}"/>
    <hyperlink ref="F138" r:id="rId271" display="https://dev.azure.com/accenturecio08/AutomationProcess_29697/_workitems/edit/4167987/?view=edit" xr:uid="{35463F7B-25EB-46AE-B4C5-E7E9EB47919A}"/>
    <hyperlink ref="F130" r:id="rId272" display="https://dev.azure.com/accenturecio08/AutomationProcess_29697/_workitems/edit/4349408/?view=edit" xr:uid="{E40628CD-2981-40D0-9D26-2E7F333D40E8}"/>
    <hyperlink ref="F129" r:id="rId273" display="https://dev.azure.com/accenturecio08/AutomationProcess_29697/_workitems/edit/4358329/?view=edit" xr:uid="{F98A38CC-F507-48E6-877C-D5AB252F876C}"/>
    <hyperlink ref="F121" r:id="rId274" display="https://dev.azure.com/accenturecio08/AutomationProcess_29697/_workitems/edit/4392689/?view=edit" xr:uid="{18B6D164-588F-4D56-8EB9-DD08803A4E42}"/>
    <hyperlink ref="F122" r:id="rId275" display="https://dev.azure.com/accenturecio08/AutomationProcess_29697/_workitems/edit/4392716/?view=edit" xr:uid="{9D88D896-98C6-472B-93C3-BCE5051BE675}"/>
    <hyperlink ref="F123" r:id="rId276" display="https://dev.azure.com/accenturecio08/AutomationProcess_29697/_workitems/edit/4373916/?view=edit" xr:uid="{E6DA2494-6F0B-4DCF-928D-5B52441F7A77}"/>
    <hyperlink ref="F124" r:id="rId277" display="https://dev.azure.com/accenturecio08/AutomationProcess_29697/_workitems/edit/4373918/?view=edit" xr:uid="{2397A2E0-7D08-4086-92B7-8DAB817600BF}"/>
    <hyperlink ref="F125" r:id="rId278" display="https://dev.azure.com/accenturecio08/AutomationProcess_29697/_workitems/edit/4373922/?view=edit" xr:uid="{C506FF8E-3134-42BC-BA03-EF88F5408527}"/>
    <hyperlink ref="F126" r:id="rId279" display="https://dev.azure.com/accenturecio08/AutomationProcess_29697/_workitems/edit/4392685/?view=edit" xr:uid="{578DCF10-D8D6-4153-9911-946D40FE7A20}"/>
    <hyperlink ref="F127" r:id="rId280" display="https://dev.azure.com/accenturecio08/AutomationProcess_29697/_workitems/edit/4391372/?view=edit" xr:uid="{45C36B8D-DBF6-4EAC-8F6A-1390EB88F6AE}"/>
    <hyperlink ref="F128" r:id="rId281" display="https://dev.azure.com/accenturecio08/AutomationProcess_29697/_workitems/edit/4392316/?view=edit" xr:uid="{42C9051C-28C5-44EA-A778-F0C0D405F550}"/>
    <hyperlink ref="F429" r:id="rId282" display="https://dev.azure.com/accenturecio08/AutomationProcess_29697/_workitems/edit/4390222" xr:uid="{A4200D5D-E946-46D6-B0C4-F366A9B9E104}"/>
    <hyperlink ref="F305" r:id="rId283" display="4391661" xr:uid="{20557758-9315-409D-BDCC-398DA2C2919C}"/>
    <hyperlink ref="F307" r:id="rId284" display="4393837" xr:uid="{67485F54-DC15-4C00-92CB-0EC86DAB058E}"/>
    <hyperlink ref="F308" r:id="rId285" display="4393840" xr:uid="{7D46B29B-3164-430B-8AAB-77A9D0CF3FB1}"/>
    <hyperlink ref="F309" r:id="rId286" display="4393847" xr:uid="{064ABE00-FF4E-4679-B1CF-21E3EB60ABC2}"/>
    <hyperlink ref="F310" r:id="rId287" display="4395043" xr:uid="{F1A6EC01-1241-4FF7-BC7A-9D2290C3C04F}"/>
    <hyperlink ref="F311" r:id="rId288" display="4395049" xr:uid="{3493F87E-84E7-4483-B668-3A1033A86476}"/>
    <hyperlink ref="F312" r:id="rId289" display="4395050" xr:uid="{320EB6C8-7870-4DB0-8092-F7C19E7CA02F}"/>
    <hyperlink ref="F313" r:id="rId290" display="4395036" xr:uid="{7D714BC1-21B9-4924-B978-284482714613}"/>
    <hyperlink ref="F314" r:id="rId291" display="4395037" xr:uid="{EE5E0003-FE75-4846-99B3-D9E7EC969D6E}"/>
    <hyperlink ref="F315" r:id="rId292" display="4395038" xr:uid="{58F020F3-1765-4AFB-937C-4C723E41E78C}"/>
    <hyperlink ref="F316" r:id="rId293" display="4395039" xr:uid="{4FCE2E10-1E6A-44CC-9DF5-CD052B3A52E5}"/>
    <hyperlink ref="F317" r:id="rId294" display="4391360" xr:uid="{1A19352F-EFF3-45B7-8337-0C259AADEA11}"/>
    <hyperlink ref="F318" r:id="rId295" display="4395035" xr:uid="{1D355BB6-2F52-4DEA-8129-8466274FA228}"/>
    <hyperlink ref="F319" r:id="rId296" display="4395041" xr:uid="{5C6A1614-9061-4E78-88F0-841043F45207}"/>
    <hyperlink ref="F320" r:id="rId297" display="4395033" xr:uid="{3A48F5FC-A4AC-4C09-AEB6-05B1628BC0A2}"/>
    <hyperlink ref="F321" r:id="rId298" display="4395034" xr:uid="{1AE8CB97-10CD-4436-97B8-5C55584CF1B7}"/>
    <hyperlink ref="F322" r:id="rId299" display="4395040" xr:uid="{46EB43FB-E9F9-472D-9262-2B980B672F60}"/>
    <hyperlink ref="F468" r:id="rId300" display="https://dev.azure.com/accenturecio08/AutomationProcess_29697/_workitems/edit/4391370" xr:uid="{4848FBA4-0D23-4654-861D-BE27F5D659E2}"/>
    <hyperlink ref="F466" r:id="rId301" display="https://dev.azure.com/accenturecio08/AutomationProcess_29697/_workitems/edit/4399219" xr:uid="{BE9F11EC-0830-4F2C-B948-CB176F39831E}"/>
    <hyperlink ref="F467" r:id="rId302" display="https://dev.azure.com/accenturecio08/AutomationProcess_29697/_workitems/edit/4381766" xr:uid="{BAC255CB-C83E-457C-BB3D-F71AE222E42C}"/>
    <hyperlink ref="F380" r:id="rId303" display="4398531" xr:uid="{331A85D2-1B24-4DC0-84F2-F401A23DEDA9}"/>
    <hyperlink ref="F381" r:id="rId304" display="4398530" xr:uid="{099C9EFE-4998-41D7-AF8F-7C17AF00CBE5}"/>
    <hyperlink ref="J417" r:id="rId305" display="sathya.senthilkumar@accenture.com" xr:uid="{CA3C0492-9B1E-441D-B9DF-28E858915FE3}"/>
    <hyperlink ref="F472" r:id="rId306" display="4399124" xr:uid="{3ACA457A-298C-47EA-8FA3-E234B7DDCB62}"/>
    <hyperlink ref="F323" r:id="rId307" display="4407571" xr:uid="{7A9E71FC-0F17-4DCB-80C9-DB9393C26A1F}"/>
    <hyperlink ref="F324" r:id="rId308" display="4409429" xr:uid="{F817AC58-44DB-4F9E-A941-F7C49DB926C0}"/>
    <hyperlink ref="F306" r:id="rId309" display="4393713" xr:uid="{334BD354-D7DC-4AC0-AE5E-E629083620F4}"/>
    <hyperlink ref="J30" r:id="rId310" display="namrata.g.umardand@accenture.com" xr:uid="{7B7BEB10-36B0-4962-B619-6073198EBCC3}"/>
    <hyperlink ref="J63" r:id="rId311" display="namrata.g.umardand@accenture.com" xr:uid="{B6949CD8-AD9C-49A8-8727-E882E96A250F}"/>
    <hyperlink ref="J67" r:id="rId312" display="namrata.g.umardand@accenture.com" xr:uid="{4864773B-EAC7-4161-9C1C-C62DFA5DFCEA}"/>
    <hyperlink ref="F407" r:id="rId313" display="User Story 4387618: As an AMS SCA Agent User, I want to update the latest prompts in the SCA Prompt library so that users can refer to them and configure the solution." xr:uid="{E746D473-4B1A-4762-BBC6-3AAAAAABA3DF}"/>
    <hyperlink ref="F353" r:id="rId314" display="User Story 4416088: Song Compliant Logic Update - As a Overall Song Delivery Approver I want to access the AMS Solution Components - OCP/DCTA section and KDA reports in read-only mode and navigate the fixed breadcrumb path so that I can maintain workflow continuity." xr:uid="{6C0C55F5-5C52-431C-8FBC-AF7303C290ED}"/>
    <hyperlink ref="F354" r:id="rId315" display="User Story 4416161: Value Shaping - As a myISP User - Configurator V2V - I want to access the AMS Solution Components - OCP/DCTA section and KDA reports in read-only mode and navigate the fixed breadcrumb path so that I can maintain workflow continuity." xr:uid="{F4485374-7837-4921-9AD4-06EDB5C67EC1}"/>
    <hyperlink ref="F326" r:id="rId316" display="4341541" xr:uid="{9EC29D55-5CF7-46A6-A8E9-A672036669EB}"/>
    <hyperlink ref="F408" r:id="rId317" display="4351271" xr:uid="{DBC973DC-AC31-4149-BC95-99FC64733AD6}"/>
    <hyperlink ref="F327" r:id="rId318" display="4421995" xr:uid="{46C29DEC-CAB8-4F00-B7DB-445AD27C6041}"/>
    <hyperlink ref="AO73" r:id="rId319" display="4423055" xr:uid="{0574BCFC-8CB0-47C9-B557-0DF0BDFC3C08}"/>
    <hyperlink ref="AO86" r:id="rId320" display="4423775:" xr:uid="{7AD4D064-D5AA-4878-A27F-DC4EB9B9AF66}"/>
    <hyperlink ref="AO85" r:id="rId321" display="4423775:" xr:uid="{21F81E8F-3E76-4206-A0E3-04C2365EEE7C}"/>
    <hyperlink ref="F328" r:id="rId322" display="4393585:" xr:uid="{C0644B7C-51C9-4CF0-9C34-96003302846E}"/>
    <hyperlink ref="AO77" r:id="rId323" display="4426302" xr:uid="{C572D4A8-E48C-400E-B7E7-BCAFBE9587AD}"/>
    <hyperlink ref="F290" r:id="rId324" display="4388392" xr:uid="{A01953D7-7F98-40A7-8FAE-BB400B9DF312}"/>
    <hyperlink ref="F325" r:id="rId325" display="https://dev.azure.com/accenturecio08/AutomationProcess_29697/_workitems/edit/4391961" xr:uid="{D431190E-1F16-4590-B3B1-2C334D35B228}"/>
    <hyperlink ref="F11" r:id="rId326" display="4362711" xr:uid="{02CB346C-0AF3-4A92-94FA-B80DCE85651A}"/>
    <hyperlink ref="AO219" r:id="rId327" display="4436894" xr:uid="{36A5693A-8A7F-48AF-BC6F-5B6D79F37545}"/>
    <hyperlink ref="F233" r:id="rId328" display="4436203" xr:uid="{E55DEF9B-D276-476E-838B-53496ADC7348}"/>
    <hyperlink ref="F287" r:id="rId329" display="4389859" xr:uid="{D23215C1-AAD5-48F2-938C-7D28E1F18AC6}"/>
    <hyperlink ref="F329" r:id="rId330" display="4433979" xr:uid="{301A02C2-2F8F-4584-820D-4701943F14C6}"/>
    <hyperlink ref="F330" r:id="rId331" display="4445978" xr:uid="{3949A97C-9BB7-4FC1-832F-CF583F45E02D}"/>
    <hyperlink ref="F332" r:id="rId332" display="4444288" xr:uid="{F263A982-EE5C-4D36-A5FE-70C5CA3DFA87}"/>
    <hyperlink ref="F331" r:id="rId333" display="4445982" xr:uid="{6D450938-D072-4C83-B0E7-4FA0190CDCE3}"/>
  </hyperlinks>
  <pageMargins left="0.7" right="0.7" top="0.75" bottom="0.75" header="0.3" footer="0.3"/>
  <drawing r:id="rId33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B9146-D0D5-48A7-8118-0E9A8DAB68E8}">
  <dimension ref="A1:D10"/>
  <sheetViews>
    <sheetView workbookViewId="0">
      <selection activeCell="D23" sqref="D23"/>
    </sheetView>
  </sheetViews>
  <sheetFormatPr defaultColWidth="9.140625" defaultRowHeight="15"/>
  <cols>
    <col min="1" max="1" width="11.140625" style="36" bestFit="1" customWidth="1"/>
    <col min="2" max="2" width="40.42578125" style="36" bestFit="1" customWidth="1"/>
    <col min="3" max="3" width="29.140625" style="36" bestFit="1" customWidth="1"/>
    <col min="4" max="4" width="82.85546875" style="36" bestFit="1" customWidth="1"/>
    <col min="5" max="16384" width="9.140625" style="36"/>
  </cols>
  <sheetData>
    <row r="1" spans="1:4">
      <c r="A1" s="45" t="s">
        <v>1045</v>
      </c>
      <c r="B1" s="35" t="s">
        <v>1046</v>
      </c>
      <c r="C1" s="35" t="s">
        <v>1047</v>
      </c>
      <c r="D1" s="35"/>
    </row>
    <row r="2" spans="1:4" ht="63.95">
      <c r="A2" s="46" t="s">
        <v>15</v>
      </c>
      <c r="B2" s="47" t="s">
        <v>1048</v>
      </c>
      <c r="C2" s="35" t="s">
        <v>1049</v>
      </c>
      <c r="D2" s="37" t="s">
        <v>1050</v>
      </c>
    </row>
    <row r="3" spans="1:4" ht="45">
      <c r="A3" s="46" t="s">
        <v>22</v>
      </c>
      <c r="B3" s="47" t="s">
        <v>1051</v>
      </c>
      <c r="C3" s="35" t="s">
        <v>1052</v>
      </c>
      <c r="D3" s="35"/>
    </row>
    <row r="4" spans="1:4">
      <c r="A4" s="46" t="s">
        <v>32</v>
      </c>
      <c r="B4" s="47" t="s">
        <v>1053</v>
      </c>
      <c r="C4" s="35"/>
      <c r="D4" s="35"/>
    </row>
    <row r="5" spans="1:4">
      <c r="A5" s="46" t="s">
        <v>25</v>
      </c>
      <c r="B5" s="47" t="s">
        <v>111</v>
      </c>
      <c r="C5" s="35" t="s">
        <v>1054</v>
      </c>
      <c r="D5" s="35"/>
    </row>
    <row r="6" spans="1:4">
      <c r="A6" s="46" t="s">
        <v>65</v>
      </c>
      <c r="B6" s="47" t="s">
        <v>1055</v>
      </c>
      <c r="C6" s="35"/>
      <c r="D6" s="35"/>
    </row>
    <row r="7" spans="1:4">
      <c r="A7" s="46" t="s">
        <v>46</v>
      </c>
      <c r="B7" s="47" t="s">
        <v>1056</v>
      </c>
      <c r="C7" s="35" t="s">
        <v>1057</v>
      </c>
      <c r="D7" s="35"/>
    </row>
    <row r="8" spans="1:4">
      <c r="A8" s="46" t="s">
        <v>52</v>
      </c>
      <c r="B8" s="47" t="s">
        <v>1058</v>
      </c>
      <c r="C8" s="35" t="s">
        <v>1059</v>
      </c>
      <c r="D8" s="35"/>
    </row>
    <row r="9" spans="1:4">
      <c r="A9" s="46" t="s">
        <v>1060</v>
      </c>
      <c r="B9" s="47" t="s">
        <v>1061</v>
      </c>
      <c r="C9" s="35" t="s">
        <v>1062</v>
      </c>
      <c r="D9" s="35"/>
    </row>
    <row r="10" spans="1:4" ht="45">
      <c r="A10" s="46" t="s">
        <v>39</v>
      </c>
      <c r="B10" s="47" t="s">
        <v>1063</v>
      </c>
      <c r="C10" s="35" t="s">
        <v>1064</v>
      </c>
      <c r="D10" s="3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C79B-F496-4ECF-AD17-705D3D2757CB}">
  <dimension ref="A1:AE535"/>
  <sheetViews>
    <sheetView workbookViewId="0">
      <pane ySplit="1" topLeftCell="A103" activePane="bottomLeft" state="frozen"/>
      <selection pane="bottomLeft" activeCell="I103" sqref="I103"/>
    </sheetView>
  </sheetViews>
  <sheetFormatPr defaultColWidth="8.85546875" defaultRowHeight="15"/>
  <cols>
    <col min="1" max="1" width="35.140625" customWidth="1"/>
    <col min="2" max="2" width="21.140625" bestFit="1" customWidth="1"/>
    <col min="3" max="3" width="12.42578125" bestFit="1" customWidth="1"/>
    <col min="4" max="4" width="8.42578125" bestFit="1" customWidth="1"/>
    <col min="5" max="5" width="8.7109375" bestFit="1" customWidth="1"/>
    <col min="6" max="6" width="25.42578125" customWidth="1"/>
    <col min="7" max="7" width="13.42578125" bestFit="1" customWidth="1"/>
    <col min="8" max="8" width="13.85546875" customWidth="1"/>
    <col min="9" max="9" width="30.42578125" customWidth="1"/>
    <col min="10" max="10" width="17.140625" customWidth="1"/>
    <col min="11" max="11" width="18.42578125" bestFit="1" customWidth="1"/>
    <col min="12" max="12" width="21.140625" customWidth="1"/>
    <col min="13" max="13" width="17" bestFit="1" customWidth="1"/>
    <col min="14" max="14" width="16.42578125" bestFit="1" customWidth="1"/>
    <col min="15" max="15" width="27.42578125" bestFit="1" customWidth="1"/>
    <col min="16" max="16" width="28.42578125" bestFit="1" customWidth="1"/>
    <col min="17" max="17" width="16.42578125" bestFit="1" customWidth="1"/>
    <col min="18" max="18" width="7.42578125" bestFit="1" customWidth="1"/>
    <col min="19" max="19" width="14.140625" customWidth="1"/>
    <col min="20" max="20" width="19.140625" bestFit="1" customWidth="1"/>
    <col min="21" max="21" width="23.42578125" bestFit="1" customWidth="1"/>
    <col min="22" max="22" width="70.42578125" bestFit="1" customWidth="1"/>
    <col min="23" max="23" width="16.42578125" bestFit="1" customWidth="1"/>
    <col min="24" max="24" width="66.140625" bestFit="1" customWidth="1"/>
    <col min="25" max="25" width="81.140625" bestFit="1" customWidth="1"/>
    <col min="26" max="26" width="83.140625" bestFit="1" customWidth="1"/>
    <col min="27" max="27" width="10.42578125" customWidth="1"/>
    <col min="28" max="28" width="10.42578125" bestFit="1" customWidth="1"/>
    <col min="29" max="29" width="55.140625" customWidth="1"/>
    <col min="30" max="30" width="13.42578125" customWidth="1"/>
  </cols>
  <sheetData>
    <row r="1" spans="1:31">
      <c r="A1" s="108" t="s">
        <v>141</v>
      </c>
      <c r="B1" s="108" t="s">
        <v>1065</v>
      </c>
      <c r="C1" s="108" t="s">
        <v>1066</v>
      </c>
      <c r="D1" s="108" t="s">
        <v>1067</v>
      </c>
      <c r="E1" s="108" t="s">
        <v>1068</v>
      </c>
      <c r="F1" s="108" t="s">
        <v>144</v>
      </c>
      <c r="G1" s="108" t="s">
        <v>143</v>
      </c>
      <c r="H1" s="108" t="s">
        <v>1069</v>
      </c>
      <c r="I1" s="108" t="s">
        <v>177</v>
      </c>
      <c r="J1" s="108" t="s">
        <v>1070</v>
      </c>
      <c r="K1" s="108" t="s">
        <v>1071</v>
      </c>
      <c r="L1" s="108" t="s">
        <v>1072</v>
      </c>
      <c r="M1" s="108" t="s">
        <v>1073</v>
      </c>
      <c r="N1" s="108" t="s">
        <v>1074</v>
      </c>
      <c r="O1" s="108" t="s">
        <v>1075</v>
      </c>
      <c r="P1" s="108" t="s">
        <v>1076</v>
      </c>
      <c r="Q1" s="108" t="s">
        <v>1077</v>
      </c>
      <c r="R1" s="108" t="s">
        <v>1078</v>
      </c>
      <c r="S1" s="108" t="s">
        <v>1079</v>
      </c>
      <c r="T1" s="108" t="s">
        <v>1080</v>
      </c>
      <c r="U1" s="108" t="s">
        <v>1081</v>
      </c>
      <c r="V1" s="108" t="s">
        <v>1082</v>
      </c>
      <c r="W1" s="108" t="s">
        <v>1083</v>
      </c>
      <c r="X1" s="108" t="s">
        <v>1084</v>
      </c>
      <c r="Y1" s="108" t="s">
        <v>1085</v>
      </c>
      <c r="Z1" s="108" t="s">
        <v>1086</v>
      </c>
      <c r="AA1" s="108" t="s">
        <v>1087</v>
      </c>
      <c r="AB1" s="108" t="s">
        <v>1088</v>
      </c>
      <c r="AC1" s="108" t="s">
        <v>1089</v>
      </c>
      <c r="AD1" s="108" t="s">
        <v>1090</v>
      </c>
      <c r="AE1" s="108" t="s">
        <v>1091</v>
      </c>
    </row>
    <row r="2" spans="1:31">
      <c r="A2" s="226" t="s">
        <v>1092</v>
      </c>
      <c r="B2" s="226" t="s">
        <v>1093</v>
      </c>
      <c r="C2" s="226" t="s">
        <v>1094</v>
      </c>
      <c r="D2" s="226" t="s">
        <v>1095</v>
      </c>
      <c r="E2" s="226">
        <v>4318876</v>
      </c>
      <c r="F2" s="226">
        <v>4330638</v>
      </c>
      <c r="G2" s="226" t="s">
        <v>921</v>
      </c>
      <c r="H2" s="226" t="s">
        <v>218</v>
      </c>
      <c r="I2" s="226" t="s">
        <v>1096</v>
      </c>
      <c r="J2" s="226" t="s">
        <v>1097</v>
      </c>
      <c r="K2" s="227">
        <v>46087.229166666664</v>
      </c>
      <c r="L2" s="227">
        <v>46091.900694444441</v>
      </c>
      <c r="M2" s="227">
        <v>46091.020833333336</v>
      </c>
      <c r="N2" s="227">
        <v>46092.910416666666</v>
      </c>
      <c r="O2" s="226" t="s">
        <v>1098</v>
      </c>
      <c r="P2" s="227">
        <v>46109.229166666664</v>
      </c>
      <c r="Q2" s="226">
        <v>1.5</v>
      </c>
      <c r="R2" s="226"/>
      <c r="S2" s="226">
        <v>2</v>
      </c>
      <c r="T2" s="226"/>
      <c r="U2" s="226" t="s">
        <v>1</v>
      </c>
      <c r="V2" s="226" t="s">
        <v>1</v>
      </c>
      <c r="W2" s="226" t="s">
        <v>1099</v>
      </c>
      <c r="X2" s="227">
        <v>46041.8125</v>
      </c>
      <c r="Y2" s="226" t="s">
        <v>1100</v>
      </c>
      <c r="Z2" s="226" t="s">
        <v>1101</v>
      </c>
      <c r="AA2" s="226" t="s">
        <v>1102</v>
      </c>
      <c r="AB2" s="226"/>
      <c r="AC2" s="226"/>
      <c r="AD2" s="226" t="s">
        <v>1103</v>
      </c>
      <c r="AE2" s="226" t="s">
        <v>1104</v>
      </c>
    </row>
    <row r="3" spans="1:31">
      <c r="A3" s="226" t="s">
        <v>1092</v>
      </c>
      <c r="B3" s="226" t="s">
        <v>1093</v>
      </c>
      <c r="C3" s="226" t="s">
        <v>1094</v>
      </c>
      <c r="D3" s="226" t="s">
        <v>1095</v>
      </c>
      <c r="E3" s="226">
        <v>4318876</v>
      </c>
      <c r="F3" s="226">
        <v>4351206</v>
      </c>
      <c r="G3" s="226" t="s">
        <v>944</v>
      </c>
      <c r="H3" s="226" t="s">
        <v>218</v>
      </c>
      <c r="I3" s="226" t="s">
        <v>1096</v>
      </c>
      <c r="J3" s="226" t="s">
        <v>1097</v>
      </c>
      <c r="K3" s="227">
        <v>46085.229166666664</v>
      </c>
      <c r="L3" s="227">
        <v>46087.229166666664</v>
      </c>
      <c r="M3" s="227">
        <v>46091.020833333336</v>
      </c>
      <c r="N3" s="227">
        <v>46094.684027777781</v>
      </c>
      <c r="O3" s="226" t="s">
        <v>1098</v>
      </c>
      <c r="P3" s="227">
        <v>46109.229166666664</v>
      </c>
      <c r="Q3" s="226">
        <v>1.25</v>
      </c>
      <c r="R3" s="226"/>
      <c r="S3" s="226">
        <v>2</v>
      </c>
      <c r="T3" s="226"/>
      <c r="U3" s="226" t="s">
        <v>1</v>
      </c>
      <c r="V3" s="226" t="s">
        <v>1</v>
      </c>
      <c r="W3" s="226" t="s">
        <v>1105</v>
      </c>
      <c r="X3" s="227">
        <v>46055.929861111108</v>
      </c>
      <c r="Y3" s="226" t="s">
        <v>1100</v>
      </c>
      <c r="Z3" s="226" t="s">
        <v>1101</v>
      </c>
      <c r="AA3" s="226" t="s">
        <v>1106</v>
      </c>
      <c r="AB3" s="226"/>
      <c r="AC3" s="226"/>
      <c r="AD3" s="226" t="s">
        <v>1103</v>
      </c>
      <c r="AE3" s="226" t="s">
        <v>1104</v>
      </c>
    </row>
    <row r="4" spans="1:31">
      <c r="A4" s="226" t="s">
        <v>1092</v>
      </c>
      <c r="B4" s="226" t="s">
        <v>1093</v>
      </c>
      <c r="C4" s="226" t="s">
        <v>1094</v>
      </c>
      <c r="D4" s="226" t="s">
        <v>1095</v>
      </c>
      <c r="E4" s="226">
        <v>4318876</v>
      </c>
      <c r="F4" s="226">
        <v>4351207</v>
      </c>
      <c r="G4" s="226" t="s">
        <v>1107</v>
      </c>
      <c r="H4" s="226" t="s">
        <v>218</v>
      </c>
      <c r="I4" s="226" t="s">
        <v>1096</v>
      </c>
      <c r="J4" s="226" t="s">
        <v>1097</v>
      </c>
      <c r="K4" s="227">
        <v>46085.229166666664</v>
      </c>
      <c r="L4" s="227">
        <v>46086.861111111109</v>
      </c>
      <c r="M4" s="227">
        <v>46091.020833333336</v>
      </c>
      <c r="N4" s="227">
        <v>46090.821527777778</v>
      </c>
      <c r="O4" s="226" t="s">
        <v>1098</v>
      </c>
      <c r="P4" s="227">
        <v>46109.229166666664</v>
      </c>
      <c r="Q4" s="226">
        <v>0.75</v>
      </c>
      <c r="R4" s="226"/>
      <c r="S4" s="226">
        <v>2</v>
      </c>
      <c r="T4" s="226"/>
      <c r="U4" s="226" t="s">
        <v>1</v>
      </c>
      <c r="V4" s="226" t="s">
        <v>1</v>
      </c>
      <c r="W4" s="226" t="s">
        <v>1105</v>
      </c>
      <c r="X4" s="227">
        <v>46055.934027777781</v>
      </c>
      <c r="Y4" s="226" t="s">
        <v>1100</v>
      </c>
      <c r="Z4" s="226" t="s">
        <v>1101</v>
      </c>
      <c r="AA4" s="226" t="s">
        <v>1106</v>
      </c>
      <c r="AB4" s="226"/>
      <c r="AC4" s="226"/>
      <c r="AD4" s="226" t="s">
        <v>1103</v>
      </c>
      <c r="AE4" s="226" t="s">
        <v>1104</v>
      </c>
    </row>
    <row r="5" spans="1:31">
      <c r="A5" s="226" t="s">
        <v>1092</v>
      </c>
      <c r="B5" s="226" t="s">
        <v>1093</v>
      </c>
      <c r="C5" s="226" t="s">
        <v>1094</v>
      </c>
      <c r="D5" s="226" t="s">
        <v>1095</v>
      </c>
      <c r="E5" s="226">
        <v>4318876</v>
      </c>
      <c r="F5" s="226">
        <v>4351271</v>
      </c>
      <c r="G5" s="226" t="s">
        <v>1108</v>
      </c>
      <c r="H5" s="226" t="s">
        <v>218</v>
      </c>
      <c r="I5" s="226" t="s">
        <v>1096</v>
      </c>
      <c r="J5" s="226" t="s">
        <v>1097</v>
      </c>
      <c r="K5" s="227">
        <v>46085.229166666664</v>
      </c>
      <c r="L5" s="227">
        <v>46092.0625</v>
      </c>
      <c r="M5" s="227">
        <v>46088.020833333336</v>
      </c>
      <c r="N5" s="227">
        <v>46101.02847222222</v>
      </c>
      <c r="O5" s="226" t="s">
        <v>1098</v>
      </c>
      <c r="P5" s="227">
        <v>46109.229166666664</v>
      </c>
      <c r="Q5" s="226">
        <v>2.5</v>
      </c>
      <c r="R5" s="226"/>
      <c r="S5" s="226">
        <v>2</v>
      </c>
      <c r="T5" s="226"/>
      <c r="U5" s="226" t="s">
        <v>1</v>
      </c>
      <c r="V5" s="226" t="s">
        <v>1</v>
      </c>
      <c r="W5" s="226" t="s">
        <v>1105</v>
      </c>
      <c r="X5" s="227">
        <v>46055.975694444445</v>
      </c>
      <c r="Y5" s="226" t="s">
        <v>1100</v>
      </c>
      <c r="Z5" s="226" t="s">
        <v>1101</v>
      </c>
      <c r="AA5" s="226" t="s">
        <v>1106</v>
      </c>
      <c r="AB5" s="226"/>
      <c r="AC5" s="226"/>
      <c r="AD5" s="226" t="s">
        <v>1103</v>
      </c>
      <c r="AE5" s="226" t="s">
        <v>1104</v>
      </c>
    </row>
    <row r="6" spans="1:31">
      <c r="A6" s="226" t="s">
        <v>1092</v>
      </c>
      <c r="B6" s="226" t="s">
        <v>1093</v>
      </c>
      <c r="C6" s="226" t="s">
        <v>1094</v>
      </c>
      <c r="D6" s="226" t="s">
        <v>1095</v>
      </c>
      <c r="E6" s="226">
        <v>4318876</v>
      </c>
      <c r="F6" s="226">
        <v>4351286</v>
      </c>
      <c r="G6" s="226" t="s">
        <v>1109</v>
      </c>
      <c r="H6" s="226" t="s">
        <v>218</v>
      </c>
      <c r="I6" s="226" t="s">
        <v>1096</v>
      </c>
      <c r="J6" s="226" t="s">
        <v>1097</v>
      </c>
      <c r="K6" s="227">
        <v>46085.229166666664</v>
      </c>
      <c r="L6" s="227">
        <v>46087.011111111111</v>
      </c>
      <c r="M6" s="227">
        <v>46088.020833333336</v>
      </c>
      <c r="N6" s="227">
        <v>46091.956944444442</v>
      </c>
      <c r="O6" s="226" t="s">
        <v>1098</v>
      </c>
      <c r="P6" s="227">
        <v>46109.229166666664</v>
      </c>
      <c r="Q6" s="226">
        <v>1.25</v>
      </c>
      <c r="R6" s="226"/>
      <c r="S6" s="226">
        <v>2</v>
      </c>
      <c r="T6" s="226"/>
      <c r="U6" s="226" t="s">
        <v>1</v>
      </c>
      <c r="V6" s="226" t="s">
        <v>1</v>
      </c>
      <c r="W6" s="226" t="s">
        <v>1105</v>
      </c>
      <c r="X6" s="227">
        <v>46055.984027777777</v>
      </c>
      <c r="Y6" s="226" t="s">
        <v>1110</v>
      </c>
      <c r="Z6" s="226" t="s">
        <v>1101</v>
      </c>
      <c r="AA6" s="226" t="s">
        <v>1106</v>
      </c>
      <c r="AB6" s="226"/>
      <c r="AC6" s="226"/>
      <c r="AD6" s="226" t="s">
        <v>1103</v>
      </c>
      <c r="AE6" s="226" t="s">
        <v>1104</v>
      </c>
    </row>
    <row r="7" spans="1:31">
      <c r="A7" s="226" t="s">
        <v>1092</v>
      </c>
      <c r="B7" s="226" t="s">
        <v>1093</v>
      </c>
      <c r="C7" s="226" t="s">
        <v>1094</v>
      </c>
      <c r="D7" s="226" t="s">
        <v>1095</v>
      </c>
      <c r="E7" s="226">
        <v>4318876</v>
      </c>
      <c r="F7" s="226">
        <v>4351288</v>
      </c>
      <c r="G7" s="226" t="s">
        <v>1111</v>
      </c>
      <c r="H7" s="226" t="s">
        <v>218</v>
      </c>
      <c r="I7" s="226" t="s">
        <v>1096</v>
      </c>
      <c r="J7" s="226" t="s">
        <v>1097</v>
      </c>
      <c r="K7" s="227">
        <v>46085.229166666664</v>
      </c>
      <c r="L7" s="227">
        <v>46092.859027777777</v>
      </c>
      <c r="M7" s="227">
        <v>46088.020833333336</v>
      </c>
      <c r="N7" s="227">
        <v>46094.990277777775</v>
      </c>
      <c r="O7" s="226" t="s">
        <v>1098</v>
      </c>
      <c r="P7" s="227">
        <v>46109.229166666664</v>
      </c>
      <c r="Q7" s="226">
        <v>1.25</v>
      </c>
      <c r="R7" s="226"/>
      <c r="S7" s="226">
        <v>2</v>
      </c>
      <c r="T7" s="226"/>
      <c r="U7" s="226" t="s">
        <v>1</v>
      </c>
      <c r="V7" s="226" t="s">
        <v>1</v>
      </c>
      <c r="W7" s="226" t="s">
        <v>1105</v>
      </c>
      <c r="X7" s="227">
        <v>46055.986805555556</v>
      </c>
      <c r="Y7" s="226" t="s">
        <v>1112</v>
      </c>
      <c r="Z7" s="226" t="s">
        <v>1101</v>
      </c>
      <c r="AA7" s="226" t="s">
        <v>1106</v>
      </c>
      <c r="AB7" s="226"/>
      <c r="AC7" s="226"/>
      <c r="AD7" s="226" t="s">
        <v>1103</v>
      </c>
      <c r="AE7" s="226" t="s">
        <v>1104</v>
      </c>
    </row>
    <row r="8" spans="1:31">
      <c r="A8" s="226" t="s">
        <v>1092</v>
      </c>
      <c r="B8" s="226" t="s">
        <v>1093</v>
      </c>
      <c r="C8" s="226" t="s">
        <v>1094</v>
      </c>
      <c r="D8" s="226" t="s">
        <v>1095</v>
      </c>
      <c r="E8" s="226">
        <v>4318876</v>
      </c>
      <c r="F8" s="226">
        <v>4353128</v>
      </c>
      <c r="G8" s="226" t="s">
        <v>940</v>
      </c>
      <c r="H8" s="226" t="s">
        <v>218</v>
      </c>
      <c r="I8" s="226" t="s">
        <v>1096</v>
      </c>
      <c r="J8" s="226" t="s">
        <v>1097</v>
      </c>
      <c r="K8" s="227">
        <v>46085.229166666664</v>
      </c>
      <c r="L8" s="227">
        <v>46086.86041666667</v>
      </c>
      <c r="M8" s="227">
        <v>46088.020833333336</v>
      </c>
      <c r="N8" s="227">
        <v>46099.731249999997</v>
      </c>
      <c r="O8" s="226" t="s">
        <v>1098</v>
      </c>
      <c r="P8" s="227">
        <v>46109.229166666664</v>
      </c>
      <c r="Q8" s="226">
        <v>1</v>
      </c>
      <c r="R8" s="226"/>
      <c r="S8" s="226">
        <v>2</v>
      </c>
      <c r="T8" s="226"/>
      <c r="U8" s="226" t="s">
        <v>1</v>
      </c>
      <c r="V8" s="226" t="s">
        <v>1</v>
      </c>
      <c r="W8" s="226" t="s">
        <v>1099</v>
      </c>
      <c r="X8" s="227">
        <v>46056.71597222222</v>
      </c>
      <c r="Y8" s="226" t="s">
        <v>1100</v>
      </c>
      <c r="Z8" s="226" t="s">
        <v>1101</v>
      </c>
      <c r="AA8" s="226" t="s">
        <v>1106</v>
      </c>
      <c r="AB8" s="226"/>
      <c r="AC8" s="226"/>
      <c r="AD8" s="226" t="s">
        <v>1103</v>
      </c>
      <c r="AE8" s="226" t="s">
        <v>1104</v>
      </c>
    </row>
    <row r="9" spans="1:31">
      <c r="A9" s="226" t="s">
        <v>1092</v>
      </c>
      <c r="B9" s="226" t="s">
        <v>1093</v>
      </c>
      <c r="C9" s="226" t="s">
        <v>1094</v>
      </c>
      <c r="D9" s="226" t="s">
        <v>1095</v>
      </c>
      <c r="E9" s="226">
        <v>4318876</v>
      </c>
      <c r="F9" s="226">
        <v>4354556</v>
      </c>
      <c r="G9" s="226" t="s">
        <v>941</v>
      </c>
      <c r="H9" s="226" t="s">
        <v>218</v>
      </c>
      <c r="I9" s="226" t="s">
        <v>1096</v>
      </c>
      <c r="J9" s="226" t="s">
        <v>1097</v>
      </c>
      <c r="K9" s="227">
        <v>46085.229166666664</v>
      </c>
      <c r="L9" s="227">
        <v>46085.75277777778</v>
      </c>
      <c r="M9" s="227">
        <v>46088.020833333336</v>
      </c>
      <c r="N9" s="227">
        <v>46099.994444444441</v>
      </c>
      <c r="O9" s="226" t="s">
        <v>1098</v>
      </c>
      <c r="P9" s="227">
        <v>46109.229166666664</v>
      </c>
      <c r="Q9" s="226">
        <v>0.75</v>
      </c>
      <c r="R9" s="226"/>
      <c r="S9" s="226">
        <v>2</v>
      </c>
      <c r="T9" s="226"/>
      <c r="U9" s="226" t="s">
        <v>1</v>
      </c>
      <c r="V9" s="226" t="s">
        <v>1</v>
      </c>
      <c r="W9" s="226" t="s">
        <v>1099</v>
      </c>
      <c r="X9" s="227">
        <v>46057.727083333331</v>
      </c>
      <c r="Y9" s="226" t="s">
        <v>1112</v>
      </c>
      <c r="Z9" s="226" t="s">
        <v>1101</v>
      </c>
      <c r="AA9" s="226" t="s">
        <v>1106</v>
      </c>
      <c r="AB9" s="226"/>
      <c r="AC9" s="226"/>
      <c r="AD9" s="226" t="s">
        <v>1103</v>
      </c>
      <c r="AE9" s="226" t="s">
        <v>1104</v>
      </c>
    </row>
    <row r="10" spans="1:31">
      <c r="A10" s="226" t="s">
        <v>1092</v>
      </c>
      <c r="B10" s="226" t="s">
        <v>1093</v>
      </c>
      <c r="C10" s="226" t="s">
        <v>1094</v>
      </c>
      <c r="D10" s="226" t="s">
        <v>1095</v>
      </c>
      <c r="E10" s="226">
        <v>4318876</v>
      </c>
      <c r="F10" s="226">
        <v>4355494</v>
      </c>
      <c r="G10" s="226" t="s">
        <v>1113</v>
      </c>
      <c r="H10" s="226" t="s">
        <v>218</v>
      </c>
      <c r="I10" s="226" t="s">
        <v>1096</v>
      </c>
      <c r="J10" s="226" t="s">
        <v>1097</v>
      </c>
      <c r="K10" s="227">
        <v>46085.229166666664</v>
      </c>
      <c r="L10" s="227">
        <v>46085.753472222219</v>
      </c>
      <c r="M10" s="227">
        <v>46091.020833333336</v>
      </c>
      <c r="N10" s="227">
        <v>46091.940972222219</v>
      </c>
      <c r="O10" s="226" t="s">
        <v>1098</v>
      </c>
      <c r="P10" s="227">
        <v>46109.229166666664</v>
      </c>
      <c r="Q10" s="226">
        <v>1.25</v>
      </c>
      <c r="R10" s="226"/>
      <c r="S10" s="226">
        <v>2</v>
      </c>
      <c r="T10" s="226"/>
      <c r="U10" s="226" t="s">
        <v>1</v>
      </c>
      <c r="V10" s="226" t="s">
        <v>1</v>
      </c>
      <c r="W10" s="226" t="s">
        <v>1105</v>
      </c>
      <c r="X10" s="227">
        <v>46057.949305555558</v>
      </c>
      <c r="Y10" s="226" t="s">
        <v>1100</v>
      </c>
      <c r="Z10" s="226" t="s">
        <v>1101</v>
      </c>
      <c r="AA10" s="226" t="s">
        <v>1106</v>
      </c>
      <c r="AB10" s="226"/>
      <c r="AC10" s="226"/>
      <c r="AD10" s="226" t="s">
        <v>1103</v>
      </c>
      <c r="AE10" s="226" t="s">
        <v>1104</v>
      </c>
    </row>
    <row r="11" spans="1:31">
      <c r="A11" s="226" t="s">
        <v>1092</v>
      </c>
      <c r="B11" s="226" t="s">
        <v>1093</v>
      </c>
      <c r="C11" s="226" t="s">
        <v>1094</v>
      </c>
      <c r="D11" s="226" t="s">
        <v>1095</v>
      </c>
      <c r="E11" s="226">
        <v>4318876</v>
      </c>
      <c r="F11" s="226">
        <v>4361594</v>
      </c>
      <c r="G11" s="226" t="s">
        <v>924</v>
      </c>
      <c r="H11" s="226" t="s">
        <v>218</v>
      </c>
      <c r="I11" s="226" t="s">
        <v>1096</v>
      </c>
      <c r="J11" s="226" t="s">
        <v>1097</v>
      </c>
      <c r="K11" s="227">
        <v>46085.229166666664</v>
      </c>
      <c r="L11" s="227">
        <v>46084.049305555556</v>
      </c>
      <c r="M11" s="227">
        <v>46088.020833333336</v>
      </c>
      <c r="N11" s="227">
        <v>46091.859027777777</v>
      </c>
      <c r="O11" s="226" t="s">
        <v>1098</v>
      </c>
      <c r="P11" s="227">
        <v>46109.229166666664</v>
      </c>
      <c r="Q11" s="226">
        <v>1</v>
      </c>
      <c r="R11" s="226"/>
      <c r="S11" s="226">
        <v>2</v>
      </c>
      <c r="T11" s="226"/>
      <c r="U11" s="226" t="s">
        <v>1</v>
      </c>
      <c r="V11" s="226" t="s">
        <v>1</v>
      </c>
      <c r="W11" s="226" t="s">
        <v>1099</v>
      </c>
      <c r="X11" s="227">
        <v>46063.789583333331</v>
      </c>
      <c r="Y11" s="226" t="s">
        <v>1100</v>
      </c>
      <c r="Z11" s="226" t="s">
        <v>1101</v>
      </c>
      <c r="AA11" s="226" t="s">
        <v>1106</v>
      </c>
      <c r="AB11" s="226"/>
      <c r="AC11" s="226"/>
      <c r="AD11" s="226" t="s">
        <v>1103</v>
      </c>
      <c r="AE11" s="226" t="s">
        <v>1104</v>
      </c>
    </row>
    <row r="12" spans="1:31">
      <c r="A12" s="226" t="s">
        <v>1092</v>
      </c>
      <c r="B12" s="226" t="s">
        <v>1093</v>
      </c>
      <c r="C12" s="226" t="s">
        <v>1094</v>
      </c>
      <c r="D12" s="226" t="s">
        <v>1095</v>
      </c>
      <c r="E12" s="226">
        <v>4318876</v>
      </c>
      <c r="F12" s="226">
        <v>4381785</v>
      </c>
      <c r="G12" s="226" t="s">
        <v>927</v>
      </c>
      <c r="H12" s="226" t="s">
        <v>218</v>
      </c>
      <c r="I12" s="226" t="s">
        <v>1096</v>
      </c>
      <c r="J12" s="226" t="s">
        <v>1097</v>
      </c>
      <c r="K12" s="227">
        <v>46085.229166666664</v>
      </c>
      <c r="L12" s="227">
        <v>46084.979166666664</v>
      </c>
      <c r="M12" s="227">
        <v>46088.020833333336</v>
      </c>
      <c r="N12" s="227">
        <v>46087.97152777778</v>
      </c>
      <c r="O12" s="226" t="s">
        <v>1098</v>
      </c>
      <c r="P12" s="227">
        <v>46109.229166666664</v>
      </c>
      <c r="Q12" s="226">
        <v>1</v>
      </c>
      <c r="R12" s="226"/>
      <c r="S12" s="226">
        <v>2</v>
      </c>
      <c r="T12" s="226"/>
      <c r="U12" s="226" t="s">
        <v>1</v>
      </c>
      <c r="V12" s="226" t="s">
        <v>1</v>
      </c>
      <c r="W12" s="226" t="s">
        <v>1099</v>
      </c>
      <c r="X12" s="227">
        <v>46073.568749999999</v>
      </c>
      <c r="Y12" s="226" t="s">
        <v>1100</v>
      </c>
      <c r="Z12" s="226" t="s">
        <v>1101</v>
      </c>
      <c r="AA12" s="226" t="s">
        <v>1106</v>
      </c>
      <c r="AB12" s="226"/>
      <c r="AC12" s="226"/>
      <c r="AD12" s="226" t="s">
        <v>1103</v>
      </c>
      <c r="AE12" s="226" t="s">
        <v>1104</v>
      </c>
    </row>
    <row r="13" spans="1:31">
      <c r="A13" s="226" t="s">
        <v>1092</v>
      </c>
      <c r="B13" s="226" t="s">
        <v>1093</v>
      </c>
      <c r="C13" s="226" t="s">
        <v>1094</v>
      </c>
      <c r="D13" s="226" t="s">
        <v>1095</v>
      </c>
      <c r="E13" s="226">
        <v>4318876</v>
      </c>
      <c r="F13" s="226">
        <v>4385949</v>
      </c>
      <c r="G13" s="226" t="s">
        <v>928</v>
      </c>
      <c r="H13" s="226" t="s">
        <v>218</v>
      </c>
      <c r="I13" s="226" t="s">
        <v>1096</v>
      </c>
      <c r="J13" s="226" t="s">
        <v>1097</v>
      </c>
      <c r="K13" s="227">
        <v>46087.229166666664</v>
      </c>
      <c r="L13" s="227">
        <v>46090.716666666667</v>
      </c>
      <c r="M13" s="227">
        <v>46091.020833333336</v>
      </c>
      <c r="N13" s="227">
        <v>46091.797222222223</v>
      </c>
      <c r="O13" s="226" t="s">
        <v>1098</v>
      </c>
      <c r="P13" s="227">
        <v>46109.229166666664</v>
      </c>
      <c r="Q13" s="226">
        <v>1</v>
      </c>
      <c r="R13" s="226"/>
      <c r="S13" s="226">
        <v>2</v>
      </c>
      <c r="T13" s="226"/>
      <c r="U13" s="226" t="s">
        <v>1</v>
      </c>
      <c r="V13" s="226" t="s">
        <v>1</v>
      </c>
      <c r="W13" s="226" t="s">
        <v>1099</v>
      </c>
      <c r="X13" s="227">
        <v>46073.666666666664</v>
      </c>
      <c r="Y13" s="226" t="s">
        <v>1100</v>
      </c>
      <c r="Z13" s="226" t="s">
        <v>1101</v>
      </c>
      <c r="AA13" s="226" t="s">
        <v>1106</v>
      </c>
      <c r="AB13" s="226"/>
      <c r="AC13" s="226"/>
      <c r="AD13" s="226" t="s">
        <v>1103</v>
      </c>
      <c r="AE13" s="226" t="s">
        <v>1104</v>
      </c>
    </row>
    <row r="14" spans="1:31">
      <c r="A14" s="226" t="s">
        <v>1092</v>
      </c>
      <c r="B14" s="226" t="s">
        <v>1093</v>
      </c>
      <c r="C14" s="226" t="s">
        <v>1094</v>
      </c>
      <c r="D14" s="226" t="s">
        <v>1095</v>
      </c>
      <c r="E14" s="226">
        <v>4318876</v>
      </c>
      <c r="F14" s="226">
        <v>4387618</v>
      </c>
      <c r="G14" s="226" t="s">
        <v>946</v>
      </c>
      <c r="H14" s="226" t="s">
        <v>218</v>
      </c>
      <c r="I14" s="226" t="s">
        <v>1096</v>
      </c>
      <c r="J14" s="226" t="s">
        <v>1097</v>
      </c>
      <c r="K14" s="227">
        <v>46087.229166666664</v>
      </c>
      <c r="L14" s="227">
        <v>46099.0625</v>
      </c>
      <c r="M14" s="227">
        <v>46091.229166666664</v>
      </c>
      <c r="N14" s="227">
        <v>46099.716666666667</v>
      </c>
      <c r="O14" s="226" t="s">
        <v>1098</v>
      </c>
      <c r="P14" s="227">
        <v>46109.229166666664</v>
      </c>
      <c r="Q14" s="226">
        <v>1.25</v>
      </c>
      <c r="R14" s="226"/>
      <c r="S14" s="226">
        <v>2</v>
      </c>
      <c r="T14" s="226"/>
      <c r="U14" s="226" t="s">
        <v>1</v>
      </c>
      <c r="V14" s="226" t="s">
        <v>1</v>
      </c>
      <c r="W14" s="226" t="s">
        <v>1105</v>
      </c>
      <c r="X14" s="227">
        <v>46076.740972222222</v>
      </c>
      <c r="Y14" s="226" t="s">
        <v>1114</v>
      </c>
      <c r="Z14" s="226" t="s">
        <v>1101</v>
      </c>
      <c r="AA14" s="226" t="s">
        <v>1106</v>
      </c>
      <c r="AB14" s="226"/>
      <c r="AC14" s="226"/>
      <c r="AD14" s="226" t="s">
        <v>1103</v>
      </c>
      <c r="AE14" s="226" t="s">
        <v>1104</v>
      </c>
    </row>
    <row r="15" spans="1:31">
      <c r="A15" s="226" t="s">
        <v>1115</v>
      </c>
      <c r="B15" s="226" t="s">
        <v>1093</v>
      </c>
      <c r="C15" s="226" t="s">
        <v>1094</v>
      </c>
      <c r="D15" s="226" t="s">
        <v>1116</v>
      </c>
      <c r="E15" s="226">
        <v>4390112</v>
      </c>
      <c r="F15" s="226">
        <v>4390250</v>
      </c>
      <c r="G15" s="226" t="s">
        <v>1117</v>
      </c>
      <c r="H15" s="226" t="s">
        <v>218</v>
      </c>
      <c r="I15" s="226" t="s">
        <v>1096</v>
      </c>
      <c r="J15" s="226" t="s">
        <v>1097</v>
      </c>
      <c r="K15" s="227">
        <v>46092.979166666664</v>
      </c>
      <c r="L15" s="227">
        <v>46085.708333333336</v>
      </c>
      <c r="M15" s="227">
        <v>46094.0625</v>
      </c>
      <c r="N15" s="227">
        <v>46093.936805555553</v>
      </c>
      <c r="O15" s="226" t="s">
        <v>1098</v>
      </c>
      <c r="P15" s="227">
        <v>46109.229166666664</v>
      </c>
      <c r="Q15" s="226">
        <v>1.5</v>
      </c>
      <c r="R15" s="226"/>
      <c r="S15" s="226">
        <v>2</v>
      </c>
      <c r="T15" s="226"/>
      <c r="U15" s="226" t="s">
        <v>1</v>
      </c>
      <c r="V15" s="226" t="s">
        <v>1118</v>
      </c>
      <c r="W15" s="226" t="s">
        <v>1105</v>
      </c>
      <c r="X15" s="227">
        <v>46077.71597222222</v>
      </c>
      <c r="Y15" s="226" t="s">
        <v>1110</v>
      </c>
      <c r="Z15" s="226" t="s">
        <v>1101</v>
      </c>
      <c r="AA15" s="226" t="s">
        <v>1106</v>
      </c>
      <c r="AB15" s="226"/>
      <c r="AC15" s="226"/>
      <c r="AD15" s="226" t="s">
        <v>1119</v>
      </c>
      <c r="AE15" s="226" t="s">
        <v>1104</v>
      </c>
    </row>
    <row r="16" spans="1:31">
      <c r="A16" s="226" t="s">
        <v>1115</v>
      </c>
      <c r="B16" s="226" t="s">
        <v>1093</v>
      </c>
      <c r="C16" s="226" t="s">
        <v>1094</v>
      </c>
      <c r="D16" s="226" t="s">
        <v>1116</v>
      </c>
      <c r="E16" s="226">
        <v>4390112</v>
      </c>
      <c r="F16" s="226">
        <v>4390301</v>
      </c>
      <c r="G16" s="226" t="s">
        <v>1120</v>
      </c>
      <c r="H16" s="226" t="s">
        <v>218</v>
      </c>
      <c r="I16" s="226" t="s">
        <v>1096</v>
      </c>
      <c r="J16" s="226" t="s">
        <v>1097</v>
      </c>
      <c r="K16" s="227">
        <v>46092.979166666664</v>
      </c>
      <c r="L16" s="227">
        <v>46085.708333333336</v>
      </c>
      <c r="M16" s="227">
        <v>46094.0625</v>
      </c>
      <c r="N16" s="227">
        <v>46093.944444444445</v>
      </c>
      <c r="O16" s="226" t="s">
        <v>1098</v>
      </c>
      <c r="P16" s="227">
        <v>46109.229166666664</v>
      </c>
      <c r="Q16" s="226">
        <v>1.5</v>
      </c>
      <c r="R16" s="226"/>
      <c r="S16" s="226">
        <v>2</v>
      </c>
      <c r="T16" s="226"/>
      <c r="U16" s="226" t="s">
        <v>1</v>
      </c>
      <c r="V16" s="226" t="s">
        <v>1118</v>
      </c>
      <c r="W16" s="226" t="s">
        <v>1105</v>
      </c>
      <c r="X16" s="227">
        <v>46077.729861111111</v>
      </c>
      <c r="Y16" s="226" t="s">
        <v>1100</v>
      </c>
      <c r="Z16" s="226" t="s">
        <v>1101</v>
      </c>
      <c r="AA16" s="226" t="s">
        <v>1106</v>
      </c>
      <c r="AB16" s="226"/>
      <c r="AC16" s="226"/>
      <c r="AD16" s="226" t="s">
        <v>1119</v>
      </c>
      <c r="AE16" s="226" t="s">
        <v>1104</v>
      </c>
    </row>
    <row r="17" spans="1:31">
      <c r="A17" s="226" t="s">
        <v>1115</v>
      </c>
      <c r="B17" s="226" t="s">
        <v>1093</v>
      </c>
      <c r="C17" s="226" t="s">
        <v>1094</v>
      </c>
      <c r="D17" s="226" t="s">
        <v>1116</v>
      </c>
      <c r="E17" s="226">
        <v>4390112</v>
      </c>
      <c r="F17" s="226">
        <v>4390312</v>
      </c>
      <c r="G17" s="226" t="s">
        <v>934</v>
      </c>
      <c r="H17" s="226" t="s">
        <v>218</v>
      </c>
      <c r="I17" s="226" t="s">
        <v>1096</v>
      </c>
      <c r="J17" s="226" t="s">
        <v>1097</v>
      </c>
      <c r="K17" s="227">
        <v>46092.979166666664</v>
      </c>
      <c r="L17" s="227">
        <v>46085.708333333336</v>
      </c>
      <c r="M17" s="227">
        <v>46094.0625</v>
      </c>
      <c r="N17" s="227">
        <v>46092.229166666664</v>
      </c>
      <c r="O17" s="226" t="s">
        <v>1098</v>
      </c>
      <c r="P17" s="227">
        <v>46109.229166666664</v>
      </c>
      <c r="Q17" s="226">
        <v>1.25</v>
      </c>
      <c r="R17" s="226"/>
      <c r="S17" s="226">
        <v>2</v>
      </c>
      <c r="T17" s="226"/>
      <c r="U17" s="226"/>
      <c r="V17" s="226" t="s">
        <v>1118</v>
      </c>
      <c r="W17" s="226" t="s">
        <v>1105</v>
      </c>
      <c r="X17" s="227">
        <v>46077.740277777775</v>
      </c>
      <c r="Y17" s="226" t="s">
        <v>1100</v>
      </c>
      <c r="Z17" s="226" t="s">
        <v>1101</v>
      </c>
      <c r="AA17" s="226" t="s">
        <v>1106</v>
      </c>
      <c r="AB17" s="226"/>
      <c r="AC17" s="226"/>
      <c r="AD17" s="226" t="s">
        <v>1119</v>
      </c>
      <c r="AE17" s="226" t="s">
        <v>1104</v>
      </c>
    </row>
    <row r="18" spans="1:31">
      <c r="A18" s="226" t="s">
        <v>1115</v>
      </c>
      <c r="B18" s="226" t="s">
        <v>1093</v>
      </c>
      <c r="C18" s="226" t="s">
        <v>1094</v>
      </c>
      <c r="D18" s="226" t="s">
        <v>1116</v>
      </c>
      <c r="E18" s="226">
        <v>4390112</v>
      </c>
      <c r="F18" s="226">
        <v>4390744</v>
      </c>
      <c r="G18" s="226" t="s">
        <v>935</v>
      </c>
      <c r="H18" s="226" t="s">
        <v>218</v>
      </c>
      <c r="I18" s="226" t="s">
        <v>1096</v>
      </c>
      <c r="J18" s="226" t="s">
        <v>1097</v>
      </c>
      <c r="K18" s="227">
        <v>46092.979166666664</v>
      </c>
      <c r="L18" s="227">
        <v>46085.229166666664</v>
      </c>
      <c r="M18" s="227">
        <v>46094.0625</v>
      </c>
      <c r="N18" s="227">
        <v>46092.987500000003</v>
      </c>
      <c r="O18" s="226" t="s">
        <v>1098</v>
      </c>
      <c r="P18" s="227">
        <v>46109.229166666664</v>
      </c>
      <c r="Q18" s="226">
        <v>1.25</v>
      </c>
      <c r="R18" s="226"/>
      <c r="S18" s="226">
        <v>2</v>
      </c>
      <c r="T18" s="226"/>
      <c r="U18" s="226" t="s">
        <v>1</v>
      </c>
      <c r="V18" s="226" t="s">
        <v>1118</v>
      </c>
      <c r="W18" s="226" t="s">
        <v>1105</v>
      </c>
      <c r="X18" s="227">
        <v>46077.895138888889</v>
      </c>
      <c r="Y18" s="226" t="s">
        <v>1100</v>
      </c>
      <c r="Z18" s="226" t="s">
        <v>1101</v>
      </c>
      <c r="AA18" s="226" t="s">
        <v>1106</v>
      </c>
      <c r="AB18" s="226"/>
      <c r="AC18" s="226"/>
      <c r="AD18" s="226" t="s">
        <v>1119</v>
      </c>
      <c r="AE18" s="226" t="s">
        <v>1104</v>
      </c>
    </row>
    <row r="19" spans="1:31">
      <c r="A19" s="226" t="s">
        <v>1115</v>
      </c>
      <c r="B19" s="226" t="s">
        <v>1093</v>
      </c>
      <c r="C19" s="226" t="s">
        <v>1094</v>
      </c>
      <c r="D19" s="226" t="s">
        <v>1116</v>
      </c>
      <c r="E19" s="226">
        <v>4390112</v>
      </c>
      <c r="F19" s="226">
        <v>4390789</v>
      </c>
      <c r="G19" s="226" t="s">
        <v>936</v>
      </c>
      <c r="H19" s="226" t="s">
        <v>218</v>
      </c>
      <c r="I19" s="226" t="s">
        <v>1096</v>
      </c>
      <c r="J19" s="226" t="s">
        <v>1097</v>
      </c>
      <c r="K19" s="227">
        <v>46092.979166666664</v>
      </c>
      <c r="L19" s="227">
        <v>46090.856249999997</v>
      </c>
      <c r="M19" s="227">
        <v>46094.0625</v>
      </c>
      <c r="N19" s="227">
        <v>46093.017361111109</v>
      </c>
      <c r="O19" s="226" t="s">
        <v>1098</v>
      </c>
      <c r="P19" s="227">
        <v>46109.229166666664</v>
      </c>
      <c r="Q19" s="226">
        <v>2.1</v>
      </c>
      <c r="R19" s="226"/>
      <c r="S19" s="226">
        <v>2</v>
      </c>
      <c r="T19" s="226"/>
      <c r="U19" s="226" t="s">
        <v>1</v>
      </c>
      <c r="V19" s="226" t="s">
        <v>1118</v>
      </c>
      <c r="W19" s="226" t="s">
        <v>1105</v>
      </c>
      <c r="X19" s="227">
        <v>46077.938888888886</v>
      </c>
      <c r="Y19" s="226" t="s">
        <v>1100</v>
      </c>
      <c r="Z19" s="226" t="s">
        <v>1101</v>
      </c>
      <c r="AA19" s="226" t="s">
        <v>1106</v>
      </c>
      <c r="AB19" s="226"/>
      <c r="AC19" s="226"/>
      <c r="AD19" s="226" t="s">
        <v>1119</v>
      </c>
      <c r="AE19" s="226" t="s">
        <v>1104</v>
      </c>
    </row>
    <row r="20" spans="1:31">
      <c r="A20" s="226" t="s">
        <v>1092</v>
      </c>
      <c r="B20" s="226" t="s">
        <v>1093</v>
      </c>
      <c r="C20" s="226" t="s">
        <v>1094</v>
      </c>
      <c r="D20" s="226" t="s">
        <v>1095</v>
      </c>
      <c r="E20" s="226">
        <v>4318876</v>
      </c>
      <c r="F20" s="226">
        <v>4399124</v>
      </c>
      <c r="G20" s="226" t="s">
        <v>1037</v>
      </c>
      <c r="H20" s="226" t="s">
        <v>218</v>
      </c>
      <c r="I20" s="226" t="s">
        <v>1096</v>
      </c>
      <c r="J20" s="226" t="s">
        <v>1097</v>
      </c>
      <c r="K20" s="227">
        <v>46090.229166666664</v>
      </c>
      <c r="L20" s="227">
        <v>46090.870138888888</v>
      </c>
      <c r="M20" s="227">
        <v>46092.020833333336</v>
      </c>
      <c r="N20" s="227">
        <v>46091.915277777778</v>
      </c>
      <c r="O20" s="226" t="s">
        <v>1098</v>
      </c>
      <c r="P20" s="227">
        <v>46109.229166666664</v>
      </c>
      <c r="Q20" s="226">
        <v>1.25</v>
      </c>
      <c r="R20" s="226"/>
      <c r="S20" s="226">
        <v>2</v>
      </c>
      <c r="T20" s="226"/>
      <c r="U20" s="226" t="s">
        <v>1</v>
      </c>
      <c r="V20" s="226" t="s">
        <v>1</v>
      </c>
      <c r="W20" s="226" t="s">
        <v>1099</v>
      </c>
      <c r="X20" s="227">
        <v>46083.683333333334</v>
      </c>
      <c r="Y20" s="226" t="s">
        <v>1121</v>
      </c>
      <c r="Z20" s="226" t="s">
        <v>1101</v>
      </c>
      <c r="AA20" s="226" t="s">
        <v>1106</v>
      </c>
      <c r="AB20" s="226"/>
      <c r="AC20" s="226"/>
      <c r="AD20" s="226" t="s">
        <v>1103</v>
      </c>
      <c r="AE20" s="226" t="s">
        <v>1104</v>
      </c>
    </row>
    <row r="21" spans="1:31">
      <c r="A21" s="226" t="s">
        <v>1122</v>
      </c>
      <c r="B21" s="226" t="s">
        <v>1123</v>
      </c>
      <c r="C21" s="226" t="s">
        <v>1124</v>
      </c>
      <c r="D21" s="226" t="s">
        <v>1124</v>
      </c>
      <c r="E21" s="226">
        <v>4384974</v>
      </c>
      <c r="F21" s="226">
        <v>4385147</v>
      </c>
      <c r="G21" s="226" t="s">
        <v>1125</v>
      </c>
      <c r="H21" s="226" t="s">
        <v>218</v>
      </c>
      <c r="I21" s="226" t="s">
        <v>1126</v>
      </c>
      <c r="J21" s="226" t="s">
        <v>1127</v>
      </c>
      <c r="K21" s="227">
        <v>46091.229166666664</v>
      </c>
      <c r="L21" s="227">
        <v>46090.683333333334</v>
      </c>
      <c r="M21" s="227">
        <v>46094.229166666664</v>
      </c>
      <c r="N21" s="227">
        <v>46097.661111111112</v>
      </c>
      <c r="O21" s="226" t="s">
        <v>1128</v>
      </c>
      <c r="P21" s="227">
        <v>46109.229166666664</v>
      </c>
      <c r="Q21" s="226">
        <v>3</v>
      </c>
      <c r="R21" s="226"/>
      <c r="S21" s="226">
        <v>2</v>
      </c>
      <c r="T21" s="226"/>
      <c r="U21" s="226" t="s">
        <v>1</v>
      </c>
      <c r="V21" s="226" t="s">
        <v>1</v>
      </c>
      <c r="W21" s="226" t="s">
        <v>1129</v>
      </c>
      <c r="X21" s="227">
        <v>46073.645833333336</v>
      </c>
      <c r="Y21" s="226"/>
      <c r="Z21" s="226" t="s">
        <v>1130</v>
      </c>
      <c r="AA21" s="226" t="s">
        <v>1106</v>
      </c>
      <c r="AB21" s="226"/>
      <c r="AC21" s="226"/>
      <c r="AD21" s="226" t="s">
        <v>1131</v>
      </c>
      <c r="AE21" s="226" t="s">
        <v>1132</v>
      </c>
    </row>
    <row r="22" spans="1:31">
      <c r="A22" s="226" t="s">
        <v>1133</v>
      </c>
      <c r="B22" s="226" t="s">
        <v>1123</v>
      </c>
      <c r="C22" s="226" t="s">
        <v>1124</v>
      </c>
      <c r="D22" s="226" t="s">
        <v>1124</v>
      </c>
      <c r="E22" s="226">
        <v>4371748</v>
      </c>
      <c r="F22" s="226">
        <v>4373596</v>
      </c>
      <c r="G22" s="226" t="s">
        <v>472</v>
      </c>
      <c r="H22" s="226" t="s">
        <v>218</v>
      </c>
      <c r="I22" s="226" t="s">
        <v>1126</v>
      </c>
      <c r="J22" s="226" t="s">
        <v>1127</v>
      </c>
      <c r="K22" s="227">
        <v>46091.979166666664</v>
      </c>
      <c r="L22" s="227">
        <v>46085.977777777778</v>
      </c>
      <c r="M22" s="227">
        <v>46098.229166666664</v>
      </c>
      <c r="N22" s="227">
        <v>46097.875694444447</v>
      </c>
      <c r="O22" s="226" t="s">
        <v>1128</v>
      </c>
      <c r="P22" s="227">
        <v>46109.229166666664</v>
      </c>
      <c r="Q22" s="226">
        <v>5</v>
      </c>
      <c r="R22" s="226"/>
      <c r="S22" s="226">
        <v>2</v>
      </c>
      <c r="T22" s="226"/>
      <c r="U22" s="226" t="s">
        <v>1</v>
      </c>
      <c r="V22" s="226" t="s">
        <v>1</v>
      </c>
      <c r="W22" s="226" t="s">
        <v>1129</v>
      </c>
      <c r="X22" s="227">
        <v>46072.068749999999</v>
      </c>
      <c r="Y22" s="226"/>
      <c r="Z22" s="226" t="s">
        <v>1130</v>
      </c>
      <c r="AA22" s="226" t="s">
        <v>1106</v>
      </c>
      <c r="AB22" s="226"/>
      <c r="AC22" s="226"/>
      <c r="AD22" s="226" t="s">
        <v>1134</v>
      </c>
      <c r="AE22" s="226" t="s">
        <v>1132</v>
      </c>
    </row>
    <row r="23" spans="1:31">
      <c r="A23" s="226" t="s">
        <v>1135</v>
      </c>
      <c r="B23" s="226" t="s">
        <v>1123</v>
      </c>
      <c r="C23" s="226" t="s">
        <v>1124</v>
      </c>
      <c r="D23" s="226" t="s">
        <v>1124</v>
      </c>
      <c r="E23" s="226">
        <v>4328940</v>
      </c>
      <c r="F23" s="226">
        <v>4381777</v>
      </c>
      <c r="G23" s="226" t="s">
        <v>478</v>
      </c>
      <c r="H23" s="226" t="s">
        <v>866</v>
      </c>
      <c r="I23" s="226" t="s">
        <v>1126</v>
      </c>
      <c r="J23" s="226" t="s">
        <v>1127</v>
      </c>
      <c r="K23" s="227">
        <v>46086.979166666664</v>
      </c>
      <c r="L23" s="227">
        <v>46086.980555555558</v>
      </c>
      <c r="M23" s="227">
        <v>46092.229166666664</v>
      </c>
      <c r="N23" s="226"/>
      <c r="O23" s="226" t="s">
        <v>1136</v>
      </c>
      <c r="P23" s="227">
        <v>46109.229166666664</v>
      </c>
      <c r="Q23" s="226">
        <v>3</v>
      </c>
      <c r="R23" s="226"/>
      <c r="S23" s="226">
        <v>2</v>
      </c>
      <c r="T23" s="226"/>
      <c r="U23" s="226" t="s">
        <v>1</v>
      </c>
      <c r="V23" s="226" t="s">
        <v>1</v>
      </c>
      <c r="W23" s="226" t="s">
        <v>1129</v>
      </c>
      <c r="X23" s="227">
        <v>46073.561111111114</v>
      </c>
      <c r="Y23" s="226" t="s">
        <v>1137</v>
      </c>
      <c r="Z23" s="226" t="s">
        <v>1130</v>
      </c>
      <c r="AA23" s="226" t="s">
        <v>1106</v>
      </c>
      <c r="AB23" s="226"/>
      <c r="AC23" s="226"/>
      <c r="AD23" s="226" t="s">
        <v>1138</v>
      </c>
      <c r="AE23" s="226" t="s">
        <v>1132</v>
      </c>
    </row>
    <row r="24" spans="1:31">
      <c r="A24" s="226" t="s">
        <v>1135</v>
      </c>
      <c r="B24" s="226" t="s">
        <v>1123</v>
      </c>
      <c r="C24" s="226" t="s">
        <v>1124</v>
      </c>
      <c r="D24" s="226" t="s">
        <v>1124</v>
      </c>
      <c r="E24" s="226">
        <v>4328940</v>
      </c>
      <c r="F24" s="226">
        <v>4350042</v>
      </c>
      <c r="G24" s="226" t="s">
        <v>1139</v>
      </c>
      <c r="H24" s="226" t="s">
        <v>866</v>
      </c>
      <c r="I24" s="226" t="s">
        <v>1126</v>
      </c>
      <c r="J24" s="226" t="s">
        <v>1127</v>
      </c>
      <c r="K24" s="227">
        <v>46087.979166666664</v>
      </c>
      <c r="L24" s="227">
        <v>46087.977083333331</v>
      </c>
      <c r="M24" s="227">
        <v>46094.229166666664</v>
      </c>
      <c r="N24" s="226"/>
      <c r="O24" s="226" t="s">
        <v>1136</v>
      </c>
      <c r="P24" s="227">
        <v>46109.229166666664</v>
      </c>
      <c r="Q24" s="226">
        <v>5</v>
      </c>
      <c r="R24" s="226"/>
      <c r="S24" s="226">
        <v>2</v>
      </c>
      <c r="T24" s="226"/>
      <c r="U24" s="226" t="s">
        <v>1</v>
      </c>
      <c r="V24" s="226" t="s">
        <v>1</v>
      </c>
      <c r="W24" s="226" t="s">
        <v>1129</v>
      </c>
      <c r="X24" s="227">
        <v>46055.677083333336</v>
      </c>
      <c r="Y24" s="226" t="s">
        <v>1140</v>
      </c>
      <c r="Z24" s="226" t="s">
        <v>1130</v>
      </c>
      <c r="AA24" s="226" t="s">
        <v>1106</v>
      </c>
      <c r="AB24" s="226"/>
      <c r="AC24" s="226"/>
      <c r="AD24" s="226" t="s">
        <v>1141</v>
      </c>
      <c r="AE24" s="226" t="s">
        <v>1132</v>
      </c>
    </row>
    <row r="25" spans="1:31">
      <c r="A25" s="226" t="s">
        <v>1135</v>
      </c>
      <c r="B25" s="226" t="s">
        <v>1123</v>
      </c>
      <c r="C25" s="226" t="s">
        <v>1124</v>
      </c>
      <c r="D25" s="226" t="s">
        <v>1124</v>
      </c>
      <c r="E25" s="226">
        <v>4328940</v>
      </c>
      <c r="F25" s="226">
        <v>4328943</v>
      </c>
      <c r="G25" s="226" t="s">
        <v>443</v>
      </c>
      <c r="H25" s="226" t="s">
        <v>866</v>
      </c>
      <c r="I25" s="226" t="s">
        <v>1126</v>
      </c>
      <c r="J25" s="226" t="s">
        <v>1127</v>
      </c>
      <c r="K25" s="227">
        <v>46090.979166666664</v>
      </c>
      <c r="L25" s="227">
        <v>46090.998611111114</v>
      </c>
      <c r="M25" s="227">
        <v>46094.229166666664</v>
      </c>
      <c r="N25" s="226"/>
      <c r="O25" s="226" t="s">
        <v>1142</v>
      </c>
      <c r="P25" s="227">
        <v>46109.229166666664</v>
      </c>
      <c r="Q25" s="226">
        <v>5</v>
      </c>
      <c r="R25" s="226"/>
      <c r="S25" s="226">
        <v>2</v>
      </c>
      <c r="T25" s="226"/>
      <c r="U25" s="226" t="s">
        <v>1</v>
      </c>
      <c r="V25" s="226" t="s">
        <v>1</v>
      </c>
      <c r="W25" s="226" t="s">
        <v>1129</v>
      </c>
      <c r="X25" s="227">
        <v>46041.455555555556</v>
      </c>
      <c r="Y25" s="226" t="s">
        <v>1143</v>
      </c>
      <c r="Z25" s="226" t="s">
        <v>1130</v>
      </c>
      <c r="AA25" s="226" t="s">
        <v>1106</v>
      </c>
      <c r="AB25" s="226"/>
      <c r="AC25" s="226"/>
      <c r="AD25" s="226" t="s">
        <v>1144</v>
      </c>
      <c r="AE25" s="226" t="s">
        <v>1132</v>
      </c>
    </row>
    <row r="26" spans="1:31">
      <c r="A26" s="226" t="s">
        <v>1135</v>
      </c>
      <c r="B26" s="226" t="s">
        <v>1123</v>
      </c>
      <c r="C26" s="226" t="s">
        <v>1124</v>
      </c>
      <c r="D26" s="226" t="s">
        <v>1124</v>
      </c>
      <c r="E26" s="226">
        <v>4328940</v>
      </c>
      <c r="F26" s="226">
        <v>4342214</v>
      </c>
      <c r="G26" s="226" t="s">
        <v>444</v>
      </c>
      <c r="H26" s="226" t="s">
        <v>866</v>
      </c>
      <c r="I26" s="226" t="s">
        <v>1126</v>
      </c>
      <c r="J26" s="226" t="s">
        <v>1127</v>
      </c>
      <c r="K26" s="227">
        <v>46086.979166666664</v>
      </c>
      <c r="L26" s="227">
        <v>46086.968055555553</v>
      </c>
      <c r="M26" s="227">
        <v>46091.229166666664</v>
      </c>
      <c r="N26" s="226"/>
      <c r="O26" s="226" t="s">
        <v>1136</v>
      </c>
      <c r="P26" s="227">
        <v>46109.229166666664</v>
      </c>
      <c r="Q26" s="226">
        <v>3</v>
      </c>
      <c r="R26" s="226"/>
      <c r="S26" s="226">
        <v>2</v>
      </c>
      <c r="T26" s="226"/>
      <c r="U26" s="226" t="s">
        <v>1</v>
      </c>
      <c r="V26" s="226" t="s">
        <v>1</v>
      </c>
      <c r="W26" s="226" t="s">
        <v>1129</v>
      </c>
      <c r="X26" s="227">
        <v>46050.786805555559</v>
      </c>
      <c r="Y26" s="226" t="s">
        <v>1143</v>
      </c>
      <c r="Z26" s="226" t="s">
        <v>1130</v>
      </c>
      <c r="AA26" s="226" t="s">
        <v>1106</v>
      </c>
      <c r="AB26" s="226"/>
      <c r="AC26" s="226"/>
      <c r="AD26" s="226" t="s">
        <v>1145</v>
      </c>
      <c r="AE26" s="226" t="s">
        <v>1132</v>
      </c>
    </row>
    <row r="27" spans="1:31">
      <c r="A27" s="226" t="s">
        <v>1146</v>
      </c>
      <c r="B27" s="226" t="s">
        <v>1123</v>
      </c>
      <c r="C27" s="226" t="s">
        <v>1124</v>
      </c>
      <c r="D27" s="226" t="s">
        <v>1124</v>
      </c>
      <c r="E27" s="226">
        <v>4048583</v>
      </c>
      <c r="F27" s="226">
        <v>4316367</v>
      </c>
      <c r="G27" s="226" t="s">
        <v>439</v>
      </c>
      <c r="H27" s="226" t="s">
        <v>866</v>
      </c>
      <c r="I27" s="226" t="s">
        <v>1126</v>
      </c>
      <c r="J27" s="226" t="s">
        <v>1127</v>
      </c>
      <c r="K27" s="227">
        <v>46091.979166666664</v>
      </c>
      <c r="L27" s="227">
        <v>46091.998611111114</v>
      </c>
      <c r="M27" s="227">
        <v>46094.229166666664</v>
      </c>
      <c r="N27" s="227"/>
      <c r="O27" s="226" t="s">
        <v>1142</v>
      </c>
      <c r="P27" s="227">
        <v>46109.229166666664</v>
      </c>
      <c r="Q27" s="226">
        <v>3</v>
      </c>
      <c r="R27" s="226"/>
      <c r="S27" s="226">
        <v>3</v>
      </c>
      <c r="T27" s="226"/>
      <c r="U27" s="226" t="s">
        <v>1</v>
      </c>
      <c r="V27" s="226" t="s">
        <v>1</v>
      </c>
      <c r="W27" s="226" t="s">
        <v>1129</v>
      </c>
      <c r="X27" s="227">
        <v>46029.734027777777</v>
      </c>
      <c r="Y27" s="226" t="s">
        <v>1143</v>
      </c>
      <c r="Z27" s="226" t="s">
        <v>1130</v>
      </c>
      <c r="AA27" s="226" t="s">
        <v>1106</v>
      </c>
      <c r="AB27" s="226"/>
      <c r="AC27" s="226"/>
      <c r="AD27" s="226" t="s">
        <v>1147</v>
      </c>
      <c r="AE27" s="226" t="s">
        <v>1132</v>
      </c>
    </row>
    <row r="28" spans="1:31">
      <c r="A28" s="226" t="s">
        <v>1148</v>
      </c>
      <c r="B28" s="226" t="s">
        <v>1123</v>
      </c>
      <c r="C28" s="226" t="s">
        <v>1149</v>
      </c>
      <c r="D28" s="226" t="s">
        <v>1150</v>
      </c>
      <c r="E28" s="226">
        <v>4275996</v>
      </c>
      <c r="F28" s="226">
        <v>4337740</v>
      </c>
      <c r="G28" s="226" t="s">
        <v>342</v>
      </c>
      <c r="H28" s="226" t="s">
        <v>866</v>
      </c>
      <c r="I28" s="226" t="s">
        <v>1151</v>
      </c>
      <c r="J28" s="226" t="s">
        <v>1152</v>
      </c>
      <c r="K28" s="227">
        <v>46085.229166666664</v>
      </c>
      <c r="L28" s="227">
        <v>46085.833333333336</v>
      </c>
      <c r="M28" s="227">
        <v>46090.229166666664</v>
      </c>
      <c r="N28" s="227">
        <v>46093.847916666666</v>
      </c>
      <c r="O28" s="226" t="s">
        <v>1098</v>
      </c>
      <c r="P28" s="227">
        <v>46109.229166666664</v>
      </c>
      <c r="Q28" s="226">
        <v>3</v>
      </c>
      <c r="R28" s="226"/>
      <c r="S28" s="226">
        <v>2</v>
      </c>
      <c r="T28" s="226"/>
      <c r="U28" s="226" t="s">
        <v>1</v>
      </c>
      <c r="V28" s="226" t="s">
        <v>1</v>
      </c>
      <c r="W28" s="226" t="s">
        <v>1153</v>
      </c>
      <c r="X28" s="227">
        <v>46045.706250000003</v>
      </c>
      <c r="Y28" s="226" t="s">
        <v>1154</v>
      </c>
      <c r="Z28" s="226" t="s">
        <v>1155</v>
      </c>
      <c r="AA28" s="226" t="s">
        <v>1156</v>
      </c>
      <c r="AB28" s="226"/>
      <c r="AC28" s="226"/>
      <c r="AD28" s="226" t="s">
        <v>1157</v>
      </c>
      <c r="AE28" s="226" t="s">
        <v>1132</v>
      </c>
    </row>
    <row r="29" spans="1:31">
      <c r="A29" s="226" t="s">
        <v>1158</v>
      </c>
      <c r="B29" s="226" t="s">
        <v>1123</v>
      </c>
      <c r="C29" s="226" t="s">
        <v>1159</v>
      </c>
      <c r="D29" s="226" t="s">
        <v>1150</v>
      </c>
      <c r="E29" s="226">
        <v>4368357</v>
      </c>
      <c r="F29" s="226">
        <v>4368356</v>
      </c>
      <c r="G29" s="226" t="s">
        <v>1160</v>
      </c>
      <c r="H29" s="226" t="s">
        <v>866</v>
      </c>
      <c r="I29" s="226" t="s">
        <v>1151</v>
      </c>
      <c r="J29" s="226" t="s">
        <v>1152</v>
      </c>
      <c r="K29" s="227">
        <v>46080.229166666664</v>
      </c>
      <c r="L29" s="227">
        <v>46083.796527777777</v>
      </c>
      <c r="M29" s="227">
        <v>46091.020833333336</v>
      </c>
      <c r="N29" s="227">
        <v>46091.042361111111</v>
      </c>
      <c r="O29" s="226" t="s">
        <v>1098</v>
      </c>
      <c r="P29" s="227">
        <v>46109.229166666664</v>
      </c>
      <c r="Q29" s="226">
        <v>1</v>
      </c>
      <c r="R29" s="226"/>
      <c r="S29" s="226">
        <v>2</v>
      </c>
      <c r="T29" s="226"/>
      <c r="U29" s="226" t="s">
        <v>1</v>
      </c>
      <c r="V29" s="226" t="s">
        <v>1</v>
      </c>
      <c r="W29" s="226" t="s">
        <v>1153</v>
      </c>
      <c r="X29" s="227">
        <v>46067.805555555555</v>
      </c>
      <c r="Y29" s="226" t="s">
        <v>1161</v>
      </c>
      <c r="Z29" s="226" t="s">
        <v>1155</v>
      </c>
      <c r="AA29" s="226" t="s">
        <v>1156</v>
      </c>
      <c r="AB29" s="226"/>
      <c r="AC29" s="226"/>
      <c r="AD29" s="226" t="s">
        <v>1157</v>
      </c>
      <c r="AE29" s="226" t="s">
        <v>1132</v>
      </c>
    </row>
    <row r="30" spans="1:31">
      <c r="A30" s="226" t="s">
        <v>1162</v>
      </c>
      <c r="B30" s="226" t="s">
        <v>1123</v>
      </c>
      <c r="C30" s="226" t="s">
        <v>1159</v>
      </c>
      <c r="D30" s="226" t="s">
        <v>1150</v>
      </c>
      <c r="E30" s="226">
        <v>4368359</v>
      </c>
      <c r="F30" s="226">
        <v>4368358</v>
      </c>
      <c r="G30" s="226" t="s">
        <v>1163</v>
      </c>
      <c r="H30" s="226" t="s">
        <v>866</v>
      </c>
      <c r="I30" s="226" t="s">
        <v>1151</v>
      </c>
      <c r="J30" s="226" t="s">
        <v>1152</v>
      </c>
      <c r="K30" s="227">
        <v>46084.229166666664</v>
      </c>
      <c r="L30" s="227">
        <v>46084.810416666667</v>
      </c>
      <c r="M30" s="227">
        <v>46087.229166666664</v>
      </c>
      <c r="N30" s="227">
        <v>46088.054861111108</v>
      </c>
      <c r="O30" s="226" t="s">
        <v>1098</v>
      </c>
      <c r="P30" s="227">
        <v>46109.229166666664</v>
      </c>
      <c r="Q30" s="226">
        <v>3</v>
      </c>
      <c r="R30" s="226"/>
      <c r="S30" s="226">
        <v>2</v>
      </c>
      <c r="T30" s="226"/>
      <c r="U30" s="226" t="s">
        <v>1</v>
      </c>
      <c r="V30" s="226" t="s">
        <v>1</v>
      </c>
      <c r="W30" s="226" t="s">
        <v>1153</v>
      </c>
      <c r="X30" s="227">
        <v>46067.814583333333</v>
      </c>
      <c r="Y30" s="226" t="s">
        <v>1161</v>
      </c>
      <c r="Z30" s="226" t="s">
        <v>1155</v>
      </c>
      <c r="AA30" s="226" t="s">
        <v>1156</v>
      </c>
      <c r="AB30" s="226"/>
      <c r="AC30" s="226"/>
      <c r="AD30" s="226" t="s">
        <v>1157</v>
      </c>
      <c r="AE30" s="226" t="s">
        <v>1132</v>
      </c>
    </row>
    <row r="31" spans="1:31">
      <c r="A31" s="226" t="s">
        <v>1164</v>
      </c>
      <c r="B31" s="226" t="s">
        <v>1123</v>
      </c>
      <c r="C31" s="226" t="s">
        <v>1159</v>
      </c>
      <c r="D31" s="226" t="s">
        <v>1150</v>
      </c>
      <c r="E31" s="226">
        <v>4368361</v>
      </c>
      <c r="F31" s="226">
        <v>4368360</v>
      </c>
      <c r="G31" s="226" t="s">
        <v>1165</v>
      </c>
      <c r="H31" s="226" t="s">
        <v>866</v>
      </c>
      <c r="I31" s="226" t="s">
        <v>1151</v>
      </c>
      <c r="J31" s="226" t="s">
        <v>1152</v>
      </c>
      <c r="K31" s="227">
        <v>46087.229166666664</v>
      </c>
      <c r="L31" s="227">
        <v>46084.820138888892</v>
      </c>
      <c r="M31" s="227">
        <v>46093.229166666664</v>
      </c>
      <c r="N31" s="227">
        <v>46094.041666666664</v>
      </c>
      <c r="O31" s="226" t="s">
        <v>1098</v>
      </c>
      <c r="P31" s="227">
        <v>46109.229166666664</v>
      </c>
      <c r="Q31" s="226">
        <v>3</v>
      </c>
      <c r="R31" s="226"/>
      <c r="S31" s="226">
        <v>2</v>
      </c>
      <c r="T31" s="226"/>
      <c r="U31" s="226" t="s">
        <v>1</v>
      </c>
      <c r="V31" s="226" t="s">
        <v>1</v>
      </c>
      <c r="W31" s="226" t="s">
        <v>1153</v>
      </c>
      <c r="X31" s="227">
        <v>46067.827777777777</v>
      </c>
      <c r="Y31" s="226" t="s">
        <v>1161</v>
      </c>
      <c r="Z31" s="226" t="s">
        <v>1155</v>
      </c>
      <c r="AA31" s="226" t="s">
        <v>1156</v>
      </c>
      <c r="AB31" s="226"/>
      <c r="AC31" s="226"/>
      <c r="AD31" s="226" t="s">
        <v>1157</v>
      </c>
      <c r="AE31" s="226" t="s">
        <v>1132</v>
      </c>
    </row>
    <row r="32" spans="1:31">
      <c r="A32" s="226" t="s">
        <v>1166</v>
      </c>
      <c r="B32" s="226" t="s">
        <v>1123</v>
      </c>
      <c r="C32" s="226" t="s">
        <v>1159</v>
      </c>
      <c r="D32" s="226" t="s">
        <v>1150</v>
      </c>
      <c r="E32" s="226">
        <v>4378908</v>
      </c>
      <c r="F32" s="226">
        <v>4376360</v>
      </c>
      <c r="G32" s="226" t="s">
        <v>1167</v>
      </c>
      <c r="H32" s="226" t="s">
        <v>866</v>
      </c>
      <c r="I32" s="226" t="s">
        <v>1151</v>
      </c>
      <c r="J32" s="226" t="s">
        <v>1152</v>
      </c>
      <c r="K32" s="227">
        <v>46086.229166666664</v>
      </c>
      <c r="L32" s="227">
        <v>46086.679861111108</v>
      </c>
      <c r="M32" s="227">
        <v>46093.229166666664</v>
      </c>
      <c r="N32" s="227">
        <v>46093.848611111112</v>
      </c>
      <c r="O32" s="226" t="s">
        <v>1098</v>
      </c>
      <c r="P32" s="227">
        <v>46109.229166666664</v>
      </c>
      <c r="Q32" s="226">
        <v>1</v>
      </c>
      <c r="R32" s="226"/>
      <c r="S32" s="226">
        <v>2</v>
      </c>
      <c r="T32" s="226"/>
      <c r="U32" s="226" t="s">
        <v>1</v>
      </c>
      <c r="V32" s="226" t="s">
        <v>1</v>
      </c>
      <c r="W32" s="226" t="s">
        <v>1153</v>
      </c>
      <c r="X32" s="227">
        <v>46072.617361111108</v>
      </c>
      <c r="Y32" s="226" t="s">
        <v>1161</v>
      </c>
      <c r="Z32" s="226" t="s">
        <v>1155</v>
      </c>
      <c r="AA32" s="226" t="s">
        <v>1156</v>
      </c>
      <c r="AB32" s="226"/>
      <c r="AC32" s="226"/>
      <c r="AD32" s="226" t="s">
        <v>1157</v>
      </c>
      <c r="AE32" s="226" t="s">
        <v>1132</v>
      </c>
    </row>
    <row r="33" spans="1:31">
      <c r="A33" s="226" t="s">
        <v>1168</v>
      </c>
      <c r="B33" s="226" t="s">
        <v>1123</v>
      </c>
      <c r="C33" s="226" t="s">
        <v>1094</v>
      </c>
      <c r="D33" s="226" t="s">
        <v>44</v>
      </c>
      <c r="E33" s="226">
        <v>4260380</v>
      </c>
      <c r="F33" s="226">
        <v>4387310</v>
      </c>
      <c r="G33" s="226" t="s">
        <v>716</v>
      </c>
      <c r="H33" s="226" t="s">
        <v>218</v>
      </c>
      <c r="I33" s="226" t="s">
        <v>1169</v>
      </c>
      <c r="J33" s="226" t="s">
        <v>1170</v>
      </c>
      <c r="K33" s="227">
        <v>46094.625</v>
      </c>
      <c r="L33" s="227">
        <v>46097.695833333331</v>
      </c>
      <c r="M33" s="227">
        <v>46094.229166666664</v>
      </c>
      <c r="N33" s="227">
        <v>46098.667361111111</v>
      </c>
      <c r="O33" s="226" t="s">
        <v>1171</v>
      </c>
      <c r="P33" s="227">
        <v>46109.229166666664</v>
      </c>
      <c r="Q33" s="226">
        <v>3</v>
      </c>
      <c r="R33" s="226"/>
      <c r="S33" s="226">
        <v>2</v>
      </c>
      <c r="T33" s="226"/>
      <c r="U33" s="226" t="s">
        <v>1</v>
      </c>
      <c r="V33" s="226" t="s">
        <v>1</v>
      </c>
      <c r="W33" s="226" t="s">
        <v>1172</v>
      </c>
      <c r="X33" s="227">
        <v>46076.543055555558</v>
      </c>
      <c r="Y33" s="226" t="s">
        <v>1173</v>
      </c>
      <c r="Z33" s="226" t="s">
        <v>1174</v>
      </c>
      <c r="AA33" s="226" t="s">
        <v>1106</v>
      </c>
      <c r="AB33" s="226"/>
      <c r="AC33" s="226"/>
      <c r="AD33" s="226" t="s">
        <v>1175</v>
      </c>
      <c r="AE33" s="226" t="s">
        <v>1176</v>
      </c>
    </row>
    <row r="34" spans="1:31">
      <c r="A34" s="226" t="s">
        <v>1168</v>
      </c>
      <c r="B34" s="226" t="s">
        <v>1123</v>
      </c>
      <c r="C34" s="226" t="s">
        <v>1094</v>
      </c>
      <c r="D34" s="226" t="s">
        <v>44</v>
      </c>
      <c r="E34" s="226">
        <v>4260380</v>
      </c>
      <c r="F34" s="226">
        <v>4387348</v>
      </c>
      <c r="G34" s="226" t="s">
        <v>718</v>
      </c>
      <c r="H34" s="226" t="s">
        <v>218</v>
      </c>
      <c r="I34" s="226" t="s">
        <v>1169</v>
      </c>
      <c r="J34" s="226" t="s">
        <v>1170</v>
      </c>
      <c r="K34" s="227">
        <v>46090.229166666664</v>
      </c>
      <c r="L34" s="227">
        <v>46093.638888888891</v>
      </c>
      <c r="M34" s="227">
        <v>46094.229166666664</v>
      </c>
      <c r="N34" s="227">
        <v>46098.668749999997</v>
      </c>
      <c r="O34" s="226" t="s">
        <v>1171</v>
      </c>
      <c r="P34" s="227">
        <v>46109.229166666664</v>
      </c>
      <c r="Q34" s="226">
        <v>3</v>
      </c>
      <c r="R34" s="226"/>
      <c r="S34" s="226">
        <v>2</v>
      </c>
      <c r="T34" s="226"/>
      <c r="U34" s="226" t="s">
        <v>1</v>
      </c>
      <c r="V34" s="226" t="s">
        <v>1</v>
      </c>
      <c r="W34" s="226" t="s">
        <v>1172</v>
      </c>
      <c r="X34" s="227">
        <v>46076.5625</v>
      </c>
      <c r="Y34" s="226" t="s">
        <v>1173</v>
      </c>
      <c r="Z34" s="226" t="s">
        <v>1174</v>
      </c>
      <c r="AA34" s="226" t="s">
        <v>1106</v>
      </c>
      <c r="AB34" s="226"/>
      <c r="AC34" s="226"/>
      <c r="AD34" s="226" t="s">
        <v>1175</v>
      </c>
      <c r="AE34" s="226" t="s">
        <v>1176</v>
      </c>
    </row>
    <row r="35" spans="1:31">
      <c r="A35" s="226" t="s">
        <v>1168</v>
      </c>
      <c r="B35" s="226" t="s">
        <v>1123</v>
      </c>
      <c r="C35" s="226" t="s">
        <v>1094</v>
      </c>
      <c r="D35" s="226" t="s">
        <v>44</v>
      </c>
      <c r="E35" s="226">
        <v>4260380</v>
      </c>
      <c r="F35" s="226">
        <v>4387360</v>
      </c>
      <c r="G35" s="226" t="s">
        <v>720</v>
      </c>
      <c r="H35" s="226" t="s">
        <v>218</v>
      </c>
      <c r="I35" s="226" t="s">
        <v>1169</v>
      </c>
      <c r="J35" s="226" t="s">
        <v>1170</v>
      </c>
      <c r="K35" s="227">
        <v>46094.229166666664</v>
      </c>
      <c r="L35" s="227">
        <v>46097.695833333331</v>
      </c>
      <c r="M35" s="227">
        <v>46094.0625</v>
      </c>
      <c r="N35" s="227">
        <v>46098.674305555556</v>
      </c>
      <c r="O35" s="226" t="s">
        <v>1171</v>
      </c>
      <c r="P35" s="227">
        <v>46109.229166666664</v>
      </c>
      <c r="Q35" s="226">
        <v>5</v>
      </c>
      <c r="R35" s="226"/>
      <c r="S35" s="226">
        <v>2</v>
      </c>
      <c r="T35" s="226"/>
      <c r="U35" s="226" t="s">
        <v>1</v>
      </c>
      <c r="V35" s="226" t="s">
        <v>1</v>
      </c>
      <c r="W35" s="226" t="s">
        <v>1172</v>
      </c>
      <c r="X35" s="227">
        <v>46076.570138888892</v>
      </c>
      <c r="Y35" s="226" t="s">
        <v>1173</v>
      </c>
      <c r="Z35" s="226" t="s">
        <v>1174</v>
      </c>
      <c r="AA35" s="226" t="s">
        <v>1106</v>
      </c>
      <c r="AB35" s="226"/>
      <c r="AC35" s="226"/>
      <c r="AD35" s="226" t="s">
        <v>1175</v>
      </c>
      <c r="AE35" s="226" t="s">
        <v>1176</v>
      </c>
    </row>
    <row r="36" spans="1:31">
      <c r="A36" s="226" t="s">
        <v>1168</v>
      </c>
      <c r="B36" s="226" t="s">
        <v>1123</v>
      </c>
      <c r="C36" s="226" t="s">
        <v>1094</v>
      </c>
      <c r="D36" s="226" t="s">
        <v>44</v>
      </c>
      <c r="E36" s="226">
        <v>4260380</v>
      </c>
      <c r="F36" s="226">
        <v>4387679</v>
      </c>
      <c r="G36" s="226" t="s">
        <v>1177</v>
      </c>
      <c r="H36" s="226" t="s">
        <v>218</v>
      </c>
      <c r="I36" s="226" t="s">
        <v>1169</v>
      </c>
      <c r="J36" s="226" t="s">
        <v>1170</v>
      </c>
      <c r="K36" s="227">
        <v>46094.229166666664</v>
      </c>
      <c r="L36" s="227">
        <v>46097.694444444445</v>
      </c>
      <c r="M36" s="227">
        <v>46093.229166666664</v>
      </c>
      <c r="N36" s="227">
        <v>46098.674305555556</v>
      </c>
      <c r="O36" s="226" t="s">
        <v>1171</v>
      </c>
      <c r="P36" s="227">
        <v>46109.229166666664</v>
      </c>
      <c r="Q36" s="226">
        <v>5</v>
      </c>
      <c r="R36" s="226"/>
      <c r="S36" s="226">
        <v>2</v>
      </c>
      <c r="T36" s="226"/>
      <c r="U36" s="226" t="s">
        <v>1</v>
      </c>
      <c r="V36" s="226" t="s">
        <v>1</v>
      </c>
      <c r="W36" s="226" t="s">
        <v>1172</v>
      </c>
      <c r="X36" s="227">
        <v>46076.775000000001</v>
      </c>
      <c r="Y36" s="226" t="s">
        <v>1173</v>
      </c>
      <c r="Z36" s="226" t="s">
        <v>1174</v>
      </c>
      <c r="AA36" s="226" t="s">
        <v>1106</v>
      </c>
      <c r="AB36" s="226"/>
      <c r="AC36" s="226"/>
      <c r="AD36" s="226" t="s">
        <v>1175</v>
      </c>
      <c r="AE36" s="226" t="s">
        <v>1176</v>
      </c>
    </row>
    <row r="37" spans="1:31">
      <c r="A37" s="226" t="s">
        <v>1178</v>
      </c>
      <c r="B37" s="226" t="s">
        <v>1123</v>
      </c>
      <c r="C37" s="226" t="s">
        <v>1094</v>
      </c>
      <c r="D37" s="226" t="s">
        <v>44</v>
      </c>
      <c r="E37" s="226">
        <v>4319932</v>
      </c>
      <c r="F37" s="226">
        <v>4370867</v>
      </c>
      <c r="G37" s="226" t="s">
        <v>603</v>
      </c>
      <c r="H37" s="226" t="s">
        <v>218</v>
      </c>
      <c r="I37" s="226" t="s">
        <v>1169</v>
      </c>
      <c r="J37" s="226" t="s">
        <v>1179</v>
      </c>
      <c r="K37" s="227">
        <v>46090.229166666664</v>
      </c>
      <c r="L37" s="227">
        <v>46085.229166666664</v>
      </c>
      <c r="M37" s="227">
        <v>46094.229166666664</v>
      </c>
      <c r="N37" s="227">
        <v>46094.582638888889</v>
      </c>
      <c r="O37" s="226" t="s">
        <v>1171</v>
      </c>
      <c r="P37" s="227">
        <v>46109.229166666664</v>
      </c>
      <c r="Q37" s="226">
        <v>3</v>
      </c>
      <c r="R37" s="226"/>
      <c r="S37" s="226">
        <v>2</v>
      </c>
      <c r="T37" s="226"/>
      <c r="U37" s="226" t="s">
        <v>1</v>
      </c>
      <c r="V37" s="226" t="s">
        <v>1</v>
      </c>
      <c r="W37" s="226" t="s">
        <v>1180</v>
      </c>
      <c r="X37" s="227">
        <v>46070.427083333336</v>
      </c>
      <c r="Y37" s="226" t="s">
        <v>1181</v>
      </c>
      <c r="Z37" s="226" t="s">
        <v>1174</v>
      </c>
      <c r="AA37" s="226" t="s">
        <v>1106</v>
      </c>
      <c r="AB37" s="226"/>
      <c r="AC37" s="226"/>
      <c r="AD37" s="226" t="s">
        <v>1182</v>
      </c>
      <c r="AE37" s="226" t="s">
        <v>1176</v>
      </c>
    </row>
    <row r="38" spans="1:31">
      <c r="A38" s="226" t="s">
        <v>1178</v>
      </c>
      <c r="B38" s="226" t="s">
        <v>1123</v>
      </c>
      <c r="C38" s="226" t="s">
        <v>1094</v>
      </c>
      <c r="D38" s="226" t="s">
        <v>44</v>
      </c>
      <c r="E38" s="226">
        <v>4319932</v>
      </c>
      <c r="F38" s="226">
        <v>4371414</v>
      </c>
      <c r="G38" s="226" t="s">
        <v>610</v>
      </c>
      <c r="H38" s="226" t="s">
        <v>218</v>
      </c>
      <c r="I38" s="226" t="s">
        <v>1169</v>
      </c>
      <c r="J38" s="226" t="s">
        <v>1179</v>
      </c>
      <c r="K38" s="227">
        <v>46090.229166666664</v>
      </c>
      <c r="L38" s="227">
        <v>46085.229166666664</v>
      </c>
      <c r="M38" s="227">
        <v>46091.229166666664</v>
      </c>
      <c r="N38" s="227">
        <v>46091.658333333333</v>
      </c>
      <c r="O38" s="226" t="s">
        <v>1171</v>
      </c>
      <c r="P38" s="227">
        <v>46109.229166666664</v>
      </c>
      <c r="Q38" s="226">
        <v>5</v>
      </c>
      <c r="R38" s="226"/>
      <c r="S38" s="226">
        <v>2</v>
      </c>
      <c r="T38" s="226"/>
      <c r="U38" s="226" t="s">
        <v>1</v>
      </c>
      <c r="V38" s="226" t="s">
        <v>1</v>
      </c>
      <c r="W38" s="226" t="s">
        <v>1180</v>
      </c>
      <c r="X38" s="227">
        <v>46070.497916666667</v>
      </c>
      <c r="Y38" s="226" t="s">
        <v>1181</v>
      </c>
      <c r="Z38" s="226" t="s">
        <v>1174</v>
      </c>
      <c r="AA38" s="226" t="s">
        <v>1106</v>
      </c>
      <c r="AB38" s="226"/>
      <c r="AC38" s="226"/>
      <c r="AD38" s="226" t="s">
        <v>1182</v>
      </c>
      <c r="AE38" s="226" t="s">
        <v>1176</v>
      </c>
    </row>
    <row r="39" spans="1:31">
      <c r="A39" s="226" t="s">
        <v>1178</v>
      </c>
      <c r="B39" s="226" t="s">
        <v>1123</v>
      </c>
      <c r="C39" s="226" t="s">
        <v>1094</v>
      </c>
      <c r="D39" s="226" t="s">
        <v>44</v>
      </c>
      <c r="E39" s="226">
        <v>4319932</v>
      </c>
      <c r="F39" s="226">
        <v>4311485</v>
      </c>
      <c r="G39" s="226" t="s">
        <v>601</v>
      </c>
      <c r="H39" s="226" t="s">
        <v>218</v>
      </c>
      <c r="I39" s="226" t="s">
        <v>1169</v>
      </c>
      <c r="J39" s="226" t="s">
        <v>1179</v>
      </c>
      <c r="K39" s="227">
        <v>46091.229166666664</v>
      </c>
      <c r="L39" s="227">
        <v>46087.036805555559</v>
      </c>
      <c r="M39" s="227">
        <v>46094.0625</v>
      </c>
      <c r="N39" s="227">
        <v>46093.707638888889</v>
      </c>
      <c r="O39" s="226" t="s">
        <v>1171</v>
      </c>
      <c r="P39" s="227">
        <v>46109.229166666664</v>
      </c>
      <c r="Q39" s="226">
        <v>5</v>
      </c>
      <c r="R39" s="226"/>
      <c r="S39" s="226">
        <v>2</v>
      </c>
      <c r="T39" s="226"/>
      <c r="U39" s="226" t="s">
        <v>1</v>
      </c>
      <c r="V39" s="226" t="s">
        <v>1</v>
      </c>
      <c r="W39" s="226" t="s">
        <v>1180</v>
      </c>
      <c r="X39" s="227">
        <v>46027.386111111111</v>
      </c>
      <c r="Y39" s="226" t="s">
        <v>1181</v>
      </c>
      <c r="Z39" s="226" t="s">
        <v>1174</v>
      </c>
      <c r="AA39" s="226" t="s">
        <v>1106</v>
      </c>
      <c r="AB39" s="226"/>
      <c r="AC39" s="226"/>
      <c r="AD39" s="226" t="s">
        <v>1182</v>
      </c>
      <c r="AE39" s="226" t="s">
        <v>1176</v>
      </c>
    </row>
    <row r="40" spans="1:31">
      <c r="A40" s="226" t="s">
        <v>1178</v>
      </c>
      <c r="B40" s="226" t="s">
        <v>1123</v>
      </c>
      <c r="C40" s="226" t="s">
        <v>1094</v>
      </c>
      <c r="D40" s="226" t="s">
        <v>44</v>
      </c>
      <c r="E40" s="226">
        <v>4319932</v>
      </c>
      <c r="F40" s="226">
        <v>4311478</v>
      </c>
      <c r="G40" s="226" t="s">
        <v>597</v>
      </c>
      <c r="H40" s="226" t="s">
        <v>218</v>
      </c>
      <c r="I40" s="226" t="s">
        <v>1169</v>
      </c>
      <c r="J40" s="226" t="s">
        <v>1179</v>
      </c>
      <c r="K40" s="227">
        <v>46087.229166666664</v>
      </c>
      <c r="L40" s="227">
        <v>46087.229166666664</v>
      </c>
      <c r="M40" s="227">
        <v>46093.229166666664</v>
      </c>
      <c r="N40" s="227">
        <v>46093.709027777775</v>
      </c>
      <c r="O40" s="226" t="s">
        <v>1171</v>
      </c>
      <c r="P40" s="227">
        <v>46109.229166666664</v>
      </c>
      <c r="Q40" s="226">
        <v>5</v>
      </c>
      <c r="R40" s="226"/>
      <c r="S40" s="226">
        <v>2</v>
      </c>
      <c r="T40" s="226"/>
      <c r="U40" s="226" t="s">
        <v>1</v>
      </c>
      <c r="V40" s="226" t="s">
        <v>1</v>
      </c>
      <c r="W40" s="226" t="s">
        <v>1180</v>
      </c>
      <c r="X40" s="227">
        <v>46027.380555555559</v>
      </c>
      <c r="Y40" s="226" t="s">
        <v>1183</v>
      </c>
      <c r="Z40" s="226" t="s">
        <v>1174</v>
      </c>
      <c r="AA40" s="226" t="s">
        <v>1106</v>
      </c>
      <c r="AB40" s="226"/>
      <c r="AC40" s="226"/>
      <c r="AD40" s="226" t="s">
        <v>1184</v>
      </c>
      <c r="AE40" s="226" t="s">
        <v>1176</v>
      </c>
    </row>
    <row r="41" spans="1:31">
      <c r="A41" s="226" t="s">
        <v>1185</v>
      </c>
      <c r="B41" s="226" t="s">
        <v>1123</v>
      </c>
      <c r="C41" s="226" t="s">
        <v>1094</v>
      </c>
      <c r="D41" s="226" t="s">
        <v>44</v>
      </c>
      <c r="E41" s="226">
        <v>4319934</v>
      </c>
      <c r="F41" s="226">
        <v>4105358</v>
      </c>
      <c r="G41" s="226" t="s">
        <v>489</v>
      </c>
      <c r="H41" s="226" t="s">
        <v>218</v>
      </c>
      <c r="I41" s="226" t="s">
        <v>1169</v>
      </c>
      <c r="J41" s="226" t="s">
        <v>1179</v>
      </c>
      <c r="K41" s="227">
        <v>46085.229166666664</v>
      </c>
      <c r="L41" s="227">
        <v>46087.036111111112</v>
      </c>
      <c r="M41" s="227">
        <v>46086.229166666664</v>
      </c>
      <c r="N41" s="227">
        <v>46092.697916666664</v>
      </c>
      <c r="O41" s="226" t="s">
        <v>1171</v>
      </c>
      <c r="P41" s="227">
        <v>46109.229166666664</v>
      </c>
      <c r="Q41" s="226">
        <v>6</v>
      </c>
      <c r="R41" s="226"/>
      <c r="S41" s="226">
        <v>2</v>
      </c>
      <c r="T41" s="226"/>
      <c r="U41" s="226" t="s">
        <v>1</v>
      </c>
      <c r="V41" s="226" t="s">
        <v>1</v>
      </c>
      <c r="W41" s="226" t="s">
        <v>1180</v>
      </c>
      <c r="X41" s="227">
        <v>45893.98333333333</v>
      </c>
      <c r="Y41" s="226" t="s">
        <v>1186</v>
      </c>
      <c r="Z41" s="226" t="s">
        <v>1174</v>
      </c>
      <c r="AA41" s="226" t="s">
        <v>1106</v>
      </c>
      <c r="AB41" s="226"/>
      <c r="AC41" s="226"/>
      <c r="AD41" s="226" t="s">
        <v>1182</v>
      </c>
      <c r="AE41" s="226" t="s">
        <v>1176</v>
      </c>
    </row>
    <row r="42" spans="1:31">
      <c r="A42" s="226" t="s">
        <v>1178</v>
      </c>
      <c r="B42" s="226" t="s">
        <v>1123</v>
      </c>
      <c r="C42" s="226" t="s">
        <v>1094</v>
      </c>
      <c r="D42" s="226" t="s">
        <v>44</v>
      </c>
      <c r="E42" s="226">
        <v>4319932</v>
      </c>
      <c r="F42" s="226">
        <v>4228339</v>
      </c>
      <c r="G42" s="226" t="s">
        <v>509</v>
      </c>
      <c r="H42" s="226" t="s">
        <v>218</v>
      </c>
      <c r="I42" s="226" t="s">
        <v>1169</v>
      </c>
      <c r="J42" s="226" t="s">
        <v>1179</v>
      </c>
      <c r="K42" s="227">
        <v>46099.229166666664</v>
      </c>
      <c r="L42" s="227">
        <v>46100.669444444444</v>
      </c>
      <c r="M42" s="227">
        <v>46091.229166666664</v>
      </c>
      <c r="N42" s="227">
        <v>46101.781944444447</v>
      </c>
      <c r="O42" s="226" t="s">
        <v>1171</v>
      </c>
      <c r="P42" s="227">
        <v>46109.229166666664</v>
      </c>
      <c r="Q42" s="226">
        <v>1</v>
      </c>
      <c r="R42" s="226"/>
      <c r="S42" s="226">
        <v>2</v>
      </c>
      <c r="T42" s="226"/>
      <c r="U42" s="226" t="s">
        <v>1</v>
      </c>
      <c r="V42" s="226" t="s">
        <v>1</v>
      </c>
      <c r="W42" s="226" t="s">
        <v>1180</v>
      </c>
      <c r="X42" s="227">
        <v>45965.4</v>
      </c>
      <c r="Y42" s="226" t="s">
        <v>1187</v>
      </c>
      <c r="Z42" s="226" t="s">
        <v>1174</v>
      </c>
      <c r="AA42" s="226" t="s">
        <v>1106</v>
      </c>
      <c r="AB42" s="226"/>
      <c r="AC42" s="226"/>
      <c r="AD42" s="226" t="s">
        <v>1184</v>
      </c>
      <c r="AE42" s="226" t="s">
        <v>1176</v>
      </c>
    </row>
    <row r="43" spans="1:31">
      <c r="A43" s="226" t="s">
        <v>1168</v>
      </c>
      <c r="B43" s="226" t="s">
        <v>1123</v>
      </c>
      <c r="C43" s="226" t="s">
        <v>1094</v>
      </c>
      <c r="D43" s="226" t="s">
        <v>1188</v>
      </c>
      <c r="E43" s="226">
        <v>4260380</v>
      </c>
      <c r="F43" s="226">
        <v>4260379</v>
      </c>
      <c r="G43" s="226" t="s">
        <v>493</v>
      </c>
      <c r="H43" s="226" t="s">
        <v>218</v>
      </c>
      <c r="I43" s="226" t="s">
        <v>1169</v>
      </c>
      <c r="J43" s="226" t="s">
        <v>1179</v>
      </c>
      <c r="K43" s="227">
        <v>46091.229166666664</v>
      </c>
      <c r="L43" s="227">
        <v>46093.229166666664</v>
      </c>
      <c r="M43" s="227">
        <v>46092.229166666664</v>
      </c>
      <c r="N43" s="227">
        <v>46094.229166666664</v>
      </c>
      <c r="O43" s="226" t="s">
        <v>1171</v>
      </c>
      <c r="P43" s="227">
        <v>46109.229166666664</v>
      </c>
      <c r="Q43" s="226">
        <v>3</v>
      </c>
      <c r="R43" s="226"/>
      <c r="S43" s="226">
        <v>2</v>
      </c>
      <c r="T43" s="226"/>
      <c r="U43" s="226" t="s">
        <v>1</v>
      </c>
      <c r="V43" s="226" t="s">
        <v>1</v>
      </c>
      <c r="W43" s="226" t="s">
        <v>1189</v>
      </c>
      <c r="X43" s="227">
        <v>45989.879861111112</v>
      </c>
      <c r="Y43" s="226" t="s">
        <v>1190</v>
      </c>
      <c r="Z43" s="226" t="s">
        <v>1174</v>
      </c>
      <c r="AA43" s="226" t="s">
        <v>1106</v>
      </c>
      <c r="AB43" s="226"/>
      <c r="AC43" s="226"/>
      <c r="AD43" s="226" t="s">
        <v>1175</v>
      </c>
      <c r="AE43" s="226" t="s">
        <v>1176</v>
      </c>
    </row>
    <row r="44" spans="1:31">
      <c r="A44" s="226" t="s">
        <v>1168</v>
      </c>
      <c r="B44" s="226" t="s">
        <v>1123</v>
      </c>
      <c r="C44" s="226" t="s">
        <v>1094</v>
      </c>
      <c r="D44" s="226" t="s">
        <v>1188</v>
      </c>
      <c r="E44" s="226">
        <v>4260380</v>
      </c>
      <c r="F44" s="226">
        <v>4265988</v>
      </c>
      <c r="G44" s="226" t="s">
        <v>496</v>
      </c>
      <c r="H44" s="226" t="s">
        <v>218</v>
      </c>
      <c r="I44" s="226" t="s">
        <v>1169</v>
      </c>
      <c r="J44" s="226" t="s">
        <v>1179</v>
      </c>
      <c r="K44" s="227">
        <v>46090.229166666664</v>
      </c>
      <c r="L44" s="227">
        <v>46092.0625</v>
      </c>
      <c r="M44" s="227">
        <v>46086.229166666664</v>
      </c>
      <c r="N44" s="227">
        <v>46092.6875</v>
      </c>
      <c r="O44" s="226" t="s">
        <v>1171</v>
      </c>
      <c r="P44" s="227">
        <v>46109.229166666664</v>
      </c>
      <c r="Q44" s="226">
        <v>1</v>
      </c>
      <c r="R44" s="226"/>
      <c r="S44" s="226">
        <v>2</v>
      </c>
      <c r="T44" s="226"/>
      <c r="U44" s="226" t="s">
        <v>1</v>
      </c>
      <c r="V44" s="226" t="s">
        <v>1</v>
      </c>
      <c r="W44" s="226" t="s">
        <v>1189</v>
      </c>
      <c r="X44" s="227">
        <v>45992.865277777775</v>
      </c>
      <c r="Y44" s="226" t="s">
        <v>1190</v>
      </c>
      <c r="Z44" s="226" t="s">
        <v>1174</v>
      </c>
      <c r="AA44" s="226" t="s">
        <v>1106</v>
      </c>
      <c r="AB44" s="226"/>
      <c r="AC44" s="226"/>
      <c r="AD44" s="226" t="s">
        <v>1175</v>
      </c>
      <c r="AE44" s="226" t="s">
        <v>1176</v>
      </c>
    </row>
    <row r="45" spans="1:31">
      <c r="A45" s="226" t="s">
        <v>1168</v>
      </c>
      <c r="B45" s="226" t="s">
        <v>1123</v>
      </c>
      <c r="C45" s="226" t="s">
        <v>1094</v>
      </c>
      <c r="D45" s="226" t="s">
        <v>1188</v>
      </c>
      <c r="E45" s="226">
        <v>4260380</v>
      </c>
      <c r="F45" s="226">
        <v>4265998</v>
      </c>
      <c r="G45" s="226" t="s">
        <v>497</v>
      </c>
      <c r="H45" s="226" t="s">
        <v>218</v>
      </c>
      <c r="I45" s="226" t="s">
        <v>1169</v>
      </c>
      <c r="J45" s="226" t="s">
        <v>1179</v>
      </c>
      <c r="K45" s="227">
        <v>46091.229166666664</v>
      </c>
      <c r="L45" s="227">
        <v>46094.025694444441</v>
      </c>
      <c r="M45" s="227">
        <v>46087.229166666664</v>
      </c>
      <c r="N45" s="227">
        <v>46094.229166666664</v>
      </c>
      <c r="O45" s="226" t="s">
        <v>1171</v>
      </c>
      <c r="P45" s="227">
        <v>46109.229166666664</v>
      </c>
      <c r="Q45" s="226">
        <v>1</v>
      </c>
      <c r="R45" s="226"/>
      <c r="S45" s="226">
        <v>2</v>
      </c>
      <c r="T45" s="226"/>
      <c r="U45" s="226" t="s">
        <v>1</v>
      </c>
      <c r="V45" s="226" t="s">
        <v>1</v>
      </c>
      <c r="W45" s="226" t="s">
        <v>1189</v>
      </c>
      <c r="X45" s="227">
        <v>45992.876388888886</v>
      </c>
      <c r="Y45" s="226" t="s">
        <v>1190</v>
      </c>
      <c r="Z45" s="226" t="s">
        <v>1174</v>
      </c>
      <c r="AA45" s="226" t="s">
        <v>1106</v>
      </c>
      <c r="AB45" s="226"/>
      <c r="AC45" s="226"/>
      <c r="AD45" s="226" t="s">
        <v>1175</v>
      </c>
      <c r="AE45" s="226" t="s">
        <v>1176</v>
      </c>
    </row>
    <row r="46" spans="1:31">
      <c r="A46" s="226" t="s">
        <v>1168</v>
      </c>
      <c r="B46" s="226" t="s">
        <v>1123</v>
      </c>
      <c r="C46" s="226" t="s">
        <v>1094</v>
      </c>
      <c r="D46" s="226" t="s">
        <v>1188</v>
      </c>
      <c r="E46" s="226">
        <v>4260380</v>
      </c>
      <c r="F46" s="226">
        <v>4266022</v>
      </c>
      <c r="G46" s="226" t="s">
        <v>498</v>
      </c>
      <c r="H46" s="226" t="s">
        <v>218</v>
      </c>
      <c r="I46" s="226" t="s">
        <v>1169</v>
      </c>
      <c r="J46" s="226" t="s">
        <v>1179</v>
      </c>
      <c r="K46" s="227">
        <v>46094.229166666664</v>
      </c>
      <c r="L46" s="227">
        <v>46097.229166666664</v>
      </c>
      <c r="M46" s="227">
        <v>46094.229166666664</v>
      </c>
      <c r="N46" s="227">
        <v>46097.901388888888</v>
      </c>
      <c r="O46" s="226" t="s">
        <v>1171</v>
      </c>
      <c r="P46" s="227">
        <v>46109.229166666664</v>
      </c>
      <c r="Q46" s="226">
        <v>7</v>
      </c>
      <c r="R46" s="226"/>
      <c r="S46" s="226">
        <v>2</v>
      </c>
      <c r="T46" s="226"/>
      <c r="U46" s="226" t="s">
        <v>1</v>
      </c>
      <c r="V46" s="226" t="s">
        <v>1</v>
      </c>
      <c r="W46" s="226" t="s">
        <v>1189</v>
      </c>
      <c r="X46" s="227">
        <v>45992.982638888891</v>
      </c>
      <c r="Y46" s="226" t="s">
        <v>1190</v>
      </c>
      <c r="Z46" s="226" t="s">
        <v>1174</v>
      </c>
      <c r="AA46" s="226" t="s">
        <v>1106</v>
      </c>
      <c r="AB46" s="226"/>
      <c r="AC46" s="226"/>
      <c r="AD46" s="226" t="s">
        <v>1175</v>
      </c>
      <c r="AE46" s="226" t="s">
        <v>1176</v>
      </c>
    </row>
    <row r="47" spans="1:31">
      <c r="A47" s="226" t="s">
        <v>1168</v>
      </c>
      <c r="B47" s="226" t="s">
        <v>1123</v>
      </c>
      <c r="C47" s="226" t="s">
        <v>1094</v>
      </c>
      <c r="D47" s="226" t="s">
        <v>1188</v>
      </c>
      <c r="E47" s="226">
        <v>4260380</v>
      </c>
      <c r="F47" s="226">
        <v>4266024</v>
      </c>
      <c r="G47" s="226" t="s">
        <v>501</v>
      </c>
      <c r="H47" s="226" t="s">
        <v>218</v>
      </c>
      <c r="I47" s="226" t="s">
        <v>1169</v>
      </c>
      <c r="J47" s="226" t="s">
        <v>1179</v>
      </c>
      <c r="K47" s="227">
        <v>46097.229166666664</v>
      </c>
      <c r="L47" s="227">
        <v>46097.229166666664</v>
      </c>
      <c r="M47" s="227">
        <v>46092.229166666664</v>
      </c>
      <c r="N47" s="227">
        <v>46098.643750000003</v>
      </c>
      <c r="O47" s="226" t="s">
        <v>1171</v>
      </c>
      <c r="P47" s="227">
        <v>46109.229166666664</v>
      </c>
      <c r="Q47" s="226">
        <v>2</v>
      </c>
      <c r="R47" s="226"/>
      <c r="S47" s="226">
        <v>2</v>
      </c>
      <c r="T47" s="226"/>
      <c r="U47" s="226" t="s">
        <v>1</v>
      </c>
      <c r="V47" s="226" t="s">
        <v>1</v>
      </c>
      <c r="W47" s="226" t="s">
        <v>1189</v>
      </c>
      <c r="X47" s="227">
        <v>45992.99722222222</v>
      </c>
      <c r="Y47" s="226" t="s">
        <v>1190</v>
      </c>
      <c r="Z47" s="226" t="s">
        <v>1174</v>
      </c>
      <c r="AA47" s="226" t="s">
        <v>1106</v>
      </c>
      <c r="AB47" s="226"/>
      <c r="AC47" s="226"/>
      <c r="AD47" s="226" t="s">
        <v>1175</v>
      </c>
      <c r="AE47" s="226" t="s">
        <v>1176</v>
      </c>
    </row>
    <row r="48" spans="1:31">
      <c r="A48" s="226" t="s">
        <v>1168</v>
      </c>
      <c r="B48" s="226" t="s">
        <v>1123</v>
      </c>
      <c r="C48" s="226" t="s">
        <v>1094</v>
      </c>
      <c r="D48" s="226" t="s">
        <v>1188</v>
      </c>
      <c r="E48" s="226">
        <v>4260380</v>
      </c>
      <c r="F48" s="226">
        <v>4267005</v>
      </c>
      <c r="G48" s="226" t="s">
        <v>502</v>
      </c>
      <c r="H48" s="226" t="s">
        <v>218</v>
      </c>
      <c r="I48" s="226" t="s">
        <v>1169</v>
      </c>
      <c r="J48" s="226" t="s">
        <v>1179</v>
      </c>
      <c r="K48" s="227">
        <v>46097.229166666664</v>
      </c>
      <c r="L48" s="227">
        <v>46098.696527777778</v>
      </c>
      <c r="M48" s="227">
        <v>46093.229166666664</v>
      </c>
      <c r="N48" s="227">
        <v>46098.229166666664</v>
      </c>
      <c r="O48" s="226" t="s">
        <v>1171</v>
      </c>
      <c r="P48" s="227">
        <v>46109.229166666664</v>
      </c>
      <c r="Q48" s="226">
        <v>6</v>
      </c>
      <c r="R48" s="226"/>
      <c r="S48" s="226">
        <v>2</v>
      </c>
      <c r="T48" s="226"/>
      <c r="U48" s="226" t="s">
        <v>18</v>
      </c>
      <c r="V48" s="226" t="s">
        <v>18</v>
      </c>
      <c r="W48" s="226" t="s">
        <v>1189</v>
      </c>
      <c r="X48" s="227">
        <v>45993.605555555558</v>
      </c>
      <c r="Y48" s="226" t="s">
        <v>1190</v>
      </c>
      <c r="Z48" s="226" t="s">
        <v>1174</v>
      </c>
      <c r="AA48" s="226" t="s">
        <v>1106</v>
      </c>
      <c r="AB48" s="226"/>
      <c r="AC48" s="226"/>
      <c r="AD48" s="226" t="s">
        <v>1175</v>
      </c>
      <c r="AE48" s="226" t="s">
        <v>1176</v>
      </c>
    </row>
    <row r="49" spans="1:31">
      <c r="A49" s="226" t="s">
        <v>1168</v>
      </c>
      <c r="B49" s="226" t="s">
        <v>1123</v>
      </c>
      <c r="C49" s="226" t="s">
        <v>1094</v>
      </c>
      <c r="D49" s="226" t="s">
        <v>1188</v>
      </c>
      <c r="E49" s="226">
        <v>4260380</v>
      </c>
      <c r="F49" s="226">
        <v>4267410</v>
      </c>
      <c r="G49" s="226" t="s">
        <v>1191</v>
      </c>
      <c r="H49" s="226" t="s">
        <v>218</v>
      </c>
      <c r="I49" s="226" t="s">
        <v>1169</v>
      </c>
      <c r="J49" s="226" t="s">
        <v>1179</v>
      </c>
      <c r="K49" s="227">
        <v>46097.229166666664</v>
      </c>
      <c r="L49" s="227">
        <v>46098.624305555553</v>
      </c>
      <c r="M49" s="227">
        <v>46095.0625</v>
      </c>
      <c r="N49" s="227">
        <v>46098.756249999999</v>
      </c>
      <c r="O49" s="226" t="s">
        <v>1171</v>
      </c>
      <c r="P49" s="227">
        <v>46109.229166666664</v>
      </c>
      <c r="Q49" s="226">
        <v>2</v>
      </c>
      <c r="R49" s="226"/>
      <c r="S49" s="226">
        <v>2</v>
      </c>
      <c r="T49" s="226"/>
      <c r="U49" s="226" t="s">
        <v>1</v>
      </c>
      <c r="V49" s="226" t="s">
        <v>1</v>
      </c>
      <c r="W49" s="226" t="s">
        <v>1189</v>
      </c>
      <c r="X49" s="227">
        <v>45993.709722222222</v>
      </c>
      <c r="Y49" s="226" t="s">
        <v>1190</v>
      </c>
      <c r="Z49" s="226" t="s">
        <v>1174</v>
      </c>
      <c r="AA49" s="226" t="s">
        <v>1106</v>
      </c>
      <c r="AB49" s="226"/>
      <c r="AC49" s="226"/>
      <c r="AD49" s="226" t="s">
        <v>1175</v>
      </c>
      <c r="AE49" s="226" t="s">
        <v>1176</v>
      </c>
    </row>
    <row r="50" spans="1:31">
      <c r="A50" s="226" t="s">
        <v>1168</v>
      </c>
      <c r="B50" s="226" t="s">
        <v>1123</v>
      </c>
      <c r="C50" s="226" t="s">
        <v>1094</v>
      </c>
      <c r="D50" s="226" t="s">
        <v>1188</v>
      </c>
      <c r="E50" s="226">
        <v>4260380</v>
      </c>
      <c r="F50" s="226">
        <v>4267715</v>
      </c>
      <c r="G50" s="226" t="s">
        <v>1192</v>
      </c>
      <c r="H50" s="226" t="s">
        <v>218</v>
      </c>
      <c r="I50" s="226" t="s">
        <v>1169</v>
      </c>
      <c r="J50" s="226" t="s">
        <v>1179</v>
      </c>
      <c r="K50" s="227">
        <v>46097.229166666664</v>
      </c>
      <c r="L50" s="227">
        <v>46095.229166666664</v>
      </c>
      <c r="M50" s="227">
        <v>46094.229166666664</v>
      </c>
      <c r="N50" s="227">
        <v>46097.229166666664</v>
      </c>
      <c r="O50" s="226" t="s">
        <v>1171</v>
      </c>
      <c r="P50" s="227">
        <v>46109.229166666664</v>
      </c>
      <c r="Q50" s="226">
        <v>5</v>
      </c>
      <c r="R50" s="226"/>
      <c r="S50" s="226">
        <v>2</v>
      </c>
      <c r="T50" s="226"/>
      <c r="U50" s="226" t="s">
        <v>1</v>
      </c>
      <c r="V50" s="226" t="s">
        <v>1</v>
      </c>
      <c r="W50" s="226" t="s">
        <v>1189</v>
      </c>
      <c r="X50" s="227">
        <v>45993.761111111111</v>
      </c>
      <c r="Y50" s="226" t="s">
        <v>1190</v>
      </c>
      <c r="Z50" s="226" t="s">
        <v>1174</v>
      </c>
      <c r="AA50" s="226" t="s">
        <v>1106</v>
      </c>
      <c r="AB50" s="226"/>
      <c r="AC50" s="226"/>
      <c r="AD50" s="226" t="s">
        <v>1175</v>
      </c>
      <c r="AE50" s="226" t="s">
        <v>1176</v>
      </c>
    </row>
    <row r="51" spans="1:31">
      <c r="A51" s="226" t="s">
        <v>1193</v>
      </c>
      <c r="B51" s="226" t="s">
        <v>1194</v>
      </c>
      <c r="C51" s="226" t="s">
        <v>1195</v>
      </c>
      <c r="D51" s="226" t="s">
        <v>1196</v>
      </c>
      <c r="E51" s="226">
        <v>4358815</v>
      </c>
      <c r="F51" s="226">
        <v>4358192</v>
      </c>
      <c r="G51" s="226" t="s">
        <v>349</v>
      </c>
      <c r="H51" s="226" t="s">
        <v>866</v>
      </c>
      <c r="I51" s="226" t="s">
        <v>1197</v>
      </c>
      <c r="J51" s="226" t="s">
        <v>1152</v>
      </c>
      <c r="K51" s="227">
        <v>46087.9375</v>
      </c>
      <c r="L51" s="227">
        <v>46086.926388888889</v>
      </c>
      <c r="M51" s="227">
        <v>46097.229166666664</v>
      </c>
      <c r="N51" s="227">
        <v>46097.904861111114</v>
      </c>
      <c r="O51" s="226" t="s">
        <v>1098</v>
      </c>
      <c r="P51" s="227">
        <v>46109.229166666664</v>
      </c>
      <c r="Q51" s="226">
        <v>3</v>
      </c>
      <c r="R51" s="226"/>
      <c r="S51" s="226">
        <v>2</v>
      </c>
      <c r="T51" s="226"/>
      <c r="U51" s="226" t="s">
        <v>1</v>
      </c>
      <c r="V51" s="226" t="s">
        <v>1</v>
      </c>
      <c r="W51" s="226" t="s">
        <v>1198</v>
      </c>
      <c r="X51" s="227">
        <v>46062.64166666667</v>
      </c>
      <c r="Y51" s="226"/>
      <c r="Z51" s="226" t="s">
        <v>1199</v>
      </c>
      <c r="AA51" s="226" t="s">
        <v>1200</v>
      </c>
      <c r="AB51" s="226"/>
      <c r="AC51" s="226"/>
      <c r="AD51" s="226" t="s">
        <v>1201</v>
      </c>
      <c r="AE51" s="226" t="s">
        <v>1202</v>
      </c>
    </row>
    <row r="52" spans="1:31">
      <c r="A52" s="226" t="s">
        <v>1193</v>
      </c>
      <c r="B52" s="226" t="s">
        <v>1194</v>
      </c>
      <c r="C52" s="226" t="s">
        <v>1195</v>
      </c>
      <c r="D52" s="226" t="s">
        <v>1196</v>
      </c>
      <c r="E52" s="226">
        <v>4358815</v>
      </c>
      <c r="F52" s="226">
        <v>4358812</v>
      </c>
      <c r="G52" s="226" t="s">
        <v>1203</v>
      </c>
      <c r="H52" s="226" t="s">
        <v>866</v>
      </c>
      <c r="I52" s="226" t="s">
        <v>1197</v>
      </c>
      <c r="J52" s="226" t="s">
        <v>1152</v>
      </c>
      <c r="K52" s="227">
        <v>46092.9375</v>
      </c>
      <c r="L52" s="227">
        <v>46091.713194444441</v>
      </c>
      <c r="M52" s="227">
        <v>46097.229166666664</v>
      </c>
      <c r="N52" s="227">
        <v>46097.905555555553</v>
      </c>
      <c r="O52" s="226" t="s">
        <v>1098</v>
      </c>
      <c r="P52" s="227">
        <v>46109.229166666664</v>
      </c>
      <c r="Q52" s="226">
        <v>8</v>
      </c>
      <c r="R52" s="226"/>
      <c r="S52" s="226">
        <v>2</v>
      </c>
      <c r="T52" s="226"/>
      <c r="U52" s="226" t="s">
        <v>1</v>
      </c>
      <c r="V52" s="226" t="s">
        <v>1</v>
      </c>
      <c r="W52" s="226" t="s">
        <v>1198</v>
      </c>
      <c r="X52" s="227">
        <v>46063.03125</v>
      </c>
      <c r="Y52" s="226"/>
      <c r="Z52" s="226" t="s">
        <v>1199</v>
      </c>
      <c r="AA52" s="226" t="s">
        <v>1200</v>
      </c>
      <c r="AB52" s="226"/>
      <c r="AC52" s="226"/>
      <c r="AD52" s="226" t="s">
        <v>1201</v>
      </c>
      <c r="AE52" s="226" t="s">
        <v>1202</v>
      </c>
    </row>
    <row r="53" spans="1:31">
      <c r="A53" s="226" t="s">
        <v>1204</v>
      </c>
      <c r="B53" s="226" t="s">
        <v>1194</v>
      </c>
      <c r="C53" s="226" t="s">
        <v>1194</v>
      </c>
      <c r="D53" s="226" t="s">
        <v>1205</v>
      </c>
      <c r="E53" s="226">
        <v>4330994</v>
      </c>
      <c r="F53" s="226">
        <v>4364543</v>
      </c>
      <c r="G53" s="226" t="s">
        <v>302</v>
      </c>
      <c r="H53" s="226" t="s">
        <v>866</v>
      </c>
      <c r="I53" s="226" t="s">
        <v>1206</v>
      </c>
      <c r="J53" s="226" t="s">
        <v>1207</v>
      </c>
      <c r="K53" s="227">
        <v>46091.229166666664</v>
      </c>
      <c r="L53" s="227">
        <v>46087.032638888886</v>
      </c>
      <c r="M53" s="227">
        <v>46097.229166666664</v>
      </c>
      <c r="N53" s="227">
        <v>46095.000694444447</v>
      </c>
      <c r="O53" s="226" t="s">
        <v>1208</v>
      </c>
      <c r="P53" s="227">
        <v>46109.229166666664</v>
      </c>
      <c r="Q53" s="226">
        <v>1</v>
      </c>
      <c r="R53" s="226"/>
      <c r="S53" s="226">
        <v>2</v>
      </c>
      <c r="T53" s="226"/>
      <c r="U53" s="226" t="s">
        <v>1</v>
      </c>
      <c r="V53" s="226" t="s">
        <v>1</v>
      </c>
      <c r="W53" s="226" t="s">
        <v>1209</v>
      </c>
      <c r="X53" s="227">
        <v>46065.496527777781</v>
      </c>
      <c r="Y53" s="226"/>
      <c r="Z53" s="226" t="s">
        <v>1210</v>
      </c>
      <c r="AA53" s="226" t="s">
        <v>1156</v>
      </c>
      <c r="AB53" s="226"/>
      <c r="AC53" s="226"/>
      <c r="AD53" s="226" t="s">
        <v>1211</v>
      </c>
      <c r="AE53" s="226" t="s">
        <v>1132</v>
      </c>
    </row>
    <row r="54" spans="1:31">
      <c r="A54" s="226" t="s">
        <v>1212</v>
      </c>
      <c r="B54" s="226" t="s">
        <v>1123</v>
      </c>
      <c r="C54" s="226" t="s">
        <v>1149</v>
      </c>
      <c r="D54" s="226" t="s">
        <v>1213</v>
      </c>
      <c r="E54" s="226">
        <v>4365826</v>
      </c>
      <c r="F54" s="226">
        <v>4371399</v>
      </c>
      <c r="G54" s="226" t="s">
        <v>285</v>
      </c>
      <c r="H54" s="226" t="s">
        <v>218</v>
      </c>
      <c r="I54" s="226" t="s">
        <v>1206</v>
      </c>
      <c r="J54" s="226" t="s">
        <v>1207</v>
      </c>
      <c r="K54" s="227">
        <v>46085.229166666664</v>
      </c>
      <c r="L54" s="227">
        <v>46085.229166666664</v>
      </c>
      <c r="M54" s="227">
        <v>46090.229166666664</v>
      </c>
      <c r="N54" s="227">
        <v>46091.008333333331</v>
      </c>
      <c r="O54" s="226" t="s">
        <v>1214</v>
      </c>
      <c r="P54" s="227">
        <v>46109.229166666664</v>
      </c>
      <c r="Q54" s="226">
        <v>1</v>
      </c>
      <c r="R54" s="226"/>
      <c r="S54" s="226">
        <v>2</v>
      </c>
      <c r="T54" s="226"/>
      <c r="U54" s="226" t="s">
        <v>1</v>
      </c>
      <c r="V54" s="226" t="s">
        <v>1</v>
      </c>
      <c r="W54" s="226" t="s">
        <v>1189</v>
      </c>
      <c r="X54" s="227">
        <v>46070.488888888889</v>
      </c>
      <c r="Y54" s="226" t="s">
        <v>1215</v>
      </c>
      <c r="Z54" s="226" t="s">
        <v>1210</v>
      </c>
      <c r="AA54" s="226" t="s">
        <v>1216</v>
      </c>
      <c r="AB54" s="226"/>
      <c r="AC54" s="226"/>
      <c r="AD54" s="226" t="s">
        <v>1217</v>
      </c>
      <c r="AE54" s="226" t="s">
        <v>1132</v>
      </c>
    </row>
    <row r="55" spans="1:31">
      <c r="A55" s="226" t="s">
        <v>1218</v>
      </c>
      <c r="B55" s="226" t="s">
        <v>1123</v>
      </c>
      <c r="C55" s="226" t="s">
        <v>1159</v>
      </c>
      <c r="D55" s="226" t="s">
        <v>1150</v>
      </c>
      <c r="E55" s="226">
        <v>4387610</v>
      </c>
      <c r="F55" s="226">
        <v>4372114</v>
      </c>
      <c r="G55" s="226" t="s">
        <v>1219</v>
      </c>
      <c r="H55" s="226" t="s">
        <v>866</v>
      </c>
      <c r="I55" s="226" t="s">
        <v>1206</v>
      </c>
      <c r="J55" s="226" t="s">
        <v>1152</v>
      </c>
      <c r="K55" s="227">
        <v>46080.229166666664</v>
      </c>
      <c r="L55" s="227">
        <v>46087.229166666664</v>
      </c>
      <c r="M55" s="227">
        <v>46091.020833333336</v>
      </c>
      <c r="N55" s="227">
        <v>46092.68472222222</v>
      </c>
      <c r="O55" s="226" t="s">
        <v>1098</v>
      </c>
      <c r="P55" s="227">
        <v>46109.229166666664</v>
      </c>
      <c r="Q55" s="226">
        <v>1</v>
      </c>
      <c r="R55" s="226"/>
      <c r="S55" s="226">
        <v>2</v>
      </c>
      <c r="T55" s="226"/>
      <c r="U55" s="226" t="s">
        <v>1</v>
      </c>
      <c r="V55" s="226" t="s">
        <v>1</v>
      </c>
      <c r="W55" s="226" t="s">
        <v>1220</v>
      </c>
      <c r="X55" s="227">
        <v>46071.446527777778</v>
      </c>
      <c r="Y55" s="226" t="s">
        <v>1221</v>
      </c>
      <c r="Z55" s="226" t="s">
        <v>1210</v>
      </c>
      <c r="AA55" s="226" t="s">
        <v>1106</v>
      </c>
      <c r="AB55" s="226"/>
      <c r="AC55" s="226"/>
      <c r="AD55" s="226" t="s">
        <v>1222</v>
      </c>
      <c r="AE55" s="226" t="s">
        <v>1132</v>
      </c>
    </row>
    <row r="56" spans="1:31">
      <c r="A56" s="226" t="s">
        <v>1166</v>
      </c>
      <c r="B56" s="226" t="s">
        <v>1123</v>
      </c>
      <c r="C56" s="226" t="s">
        <v>1159</v>
      </c>
      <c r="D56" s="226" t="s">
        <v>1150</v>
      </c>
      <c r="E56" s="226">
        <v>4378908</v>
      </c>
      <c r="F56" s="226">
        <v>4367436</v>
      </c>
      <c r="G56" s="226" t="s">
        <v>394</v>
      </c>
      <c r="H56" s="226" t="s">
        <v>866</v>
      </c>
      <c r="I56" s="226" t="s">
        <v>1206</v>
      </c>
      <c r="J56" s="226" t="s">
        <v>1152</v>
      </c>
      <c r="K56" s="227">
        <v>46092.229166666664</v>
      </c>
      <c r="L56" s="227">
        <v>46086.927083333336</v>
      </c>
      <c r="M56" s="227">
        <v>46095.0625</v>
      </c>
      <c r="N56" s="227">
        <v>46094.713194444441</v>
      </c>
      <c r="O56" s="226" t="s">
        <v>1098</v>
      </c>
      <c r="P56" s="227">
        <v>46109.229166666664</v>
      </c>
      <c r="Q56" s="226">
        <v>1</v>
      </c>
      <c r="R56" s="226"/>
      <c r="S56" s="226">
        <v>2</v>
      </c>
      <c r="T56" s="226"/>
      <c r="U56" s="226" t="s">
        <v>1</v>
      </c>
      <c r="V56" s="226" t="s">
        <v>1</v>
      </c>
      <c r="W56" s="226" t="s">
        <v>1223</v>
      </c>
      <c r="X56" s="227">
        <v>46066.643750000003</v>
      </c>
      <c r="Y56" s="227">
        <v>46109</v>
      </c>
      <c r="Z56" s="226" t="s">
        <v>1210</v>
      </c>
      <c r="AA56" s="226" t="s">
        <v>1156</v>
      </c>
      <c r="AB56" s="226"/>
      <c r="AC56" s="226"/>
      <c r="AD56" s="226" t="s">
        <v>1224</v>
      </c>
      <c r="AE56" s="226" t="s">
        <v>1132</v>
      </c>
    </row>
    <row r="57" spans="1:31">
      <c r="A57" s="226" t="s">
        <v>1166</v>
      </c>
      <c r="B57" s="226" t="s">
        <v>1123</v>
      </c>
      <c r="C57" s="226" t="s">
        <v>1159</v>
      </c>
      <c r="D57" s="226" t="s">
        <v>1150</v>
      </c>
      <c r="E57" s="226">
        <v>4378908</v>
      </c>
      <c r="F57" s="226">
        <v>4367455</v>
      </c>
      <c r="G57" s="226" t="s">
        <v>1225</v>
      </c>
      <c r="H57" s="226" t="s">
        <v>866</v>
      </c>
      <c r="I57" s="226" t="s">
        <v>1206</v>
      </c>
      <c r="J57" s="226" t="s">
        <v>1152</v>
      </c>
      <c r="K57" s="227">
        <v>46092.229166666664</v>
      </c>
      <c r="L57" s="227">
        <v>46087.229166666664</v>
      </c>
      <c r="M57" s="227">
        <v>46095.0625</v>
      </c>
      <c r="N57" s="227">
        <v>46094.229166666664</v>
      </c>
      <c r="O57" s="226" t="s">
        <v>1098</v>
      </c>
      <c r="P57" s="227">
        <v>46109.229166666664</v>
      </c>
      <c r="Q57" s="226">
        <v>1</v>
      </c>
      <c r="R57" s="226"/>
      <c r="S57" s="226">
        <v>2</v>
      </c>
      <c r="T57" s="226"/>
      <c r="U57" s="226" t="s">
        <v>1</v>
      </c>
      <c r="V57" s="226" t="s">
        <v>1</v>
      </c>
      <c r="W57" s="226" t="s">
        <v>1223</v>
      </c>
      <c r="X57" s="227">
        <v>46066.655555555553</v>
      </c>
      <c r="Y57" s="226" t="s">
        <v>1226</v>
      </c>
      <c r="Z57" s="226" t="s">
        <v>1210</v>
      </c>
      <c r="AA57" s="226" t="s">
        <v>1156</v>
      </c>
      <c r="AB57" s="226"/>
      <c r="AC57" s="226"/>
      <c r="AD57" s="226" t="s">
        <v>1224</v>
      </c>
      <c r="AE57" s="226" t="s">
        <v>1132</v>
      </c>
    </row>
    <row r="58" spans="1:31">
      <c r="A58" s="226" t="s">
        <v>1227</v>
      </c>
      <c r="B58" s="226" t="s">
        <v>1194</v>
      </c>
      <c r="C58" s="226" t="s">
        <v>1195</v>
      </c>
      <c r="D58" s="226" t="s">
        <v>1228</v>
      </c>
      <c r="E58" s="226">
        <v>4341338</v>
      </c>
      <c r="F58" s="226">
        <v>4343702</v>
      </c>
      <c r="G58" s="226" t="s">
        <v>963</v>
      </c>
      <c r="H58" s="226" t="s">
        <v>229</v>
      </c>
      <c r="I58" s="226" t="s">
        <v>1206</v>
      </c>
      <c r="J58" s="226" t="s">
        <v>1229</v>
      </c>
      <c r="K58" s="227">
        <v>46090.229166666664</v>
      </c>
      <c r="L58" s="227">
        <v>46087.023611111108</v>
      </c>
      <c r="M58" s="227">
        <v>46098.229166666664</v>
      </c>
      <c r="N58" s="227">
        <v>46087.032638888886</v>
      </c>
      <c r="O58" s="226" t="s">
        <v>1230</v>
      </c>
      <c r="P58" s="227">
        <v>46109.229166666664</v>
      </c>
      <c r="Q58" s="226">
        <v>1</v>
      </c>
      <c r="R58" s="226"/>
      <c r="S58" s="226">
        <v>2</v>
      </c>
      <c r="T58" s="226"/>
      <c r="U58" s="226" t="s">
        <v>1</v>
      </c>
      <c r="V58" s="226" t="s">
        <v>1</v>
      </c>
      <c r="W58" s="226" t="s">
        <v>1209</v>
      </c>
      <c r="X58" s="227">
        <v>46051.612500000003</v>
      </c>
      <c r="Y58" s="226" t="s">
        <v>1137</v>
      </c>
      <c r="Z58" s="226" t="s">
        <v>1210</v>
      </c>
      <c r="AA58" s="226" t="s">
        <v>1156</v>
      </c>
      <c r="AB58" s="226"/>
      <c r="AC58" s="226"/>
      <c r="AD58" s="226" t="s">
        <v>1231</v>
      </c>
      <c r="AE58" s="226" t="s">
        <v>1132</v>
      </c>
    </row>
    <row r="59" spans="1:31">
      <c r="A59" s="226" t="s">
        <v>1232</v>
      </c>
      <c r="B59" s="226" t="s">
        <v>1093</v>
      </c>
      <c r="C59" s="226" t="s">
        <v>1233</v>
      </c>
      <c r="D59" s="226" t="s">
        <v>1234</v>
      </c>
      <c r="E59" s="226">
        <v>4316161</v>
      </c>
      <c r="F59" s="226">
        <v>4316297</v>
      </c>
      <c r="G59" s="226" t="s">
        <v>1235</v>
      </c>
      <c r="H59" s="226" t="s">
        <v>218</v>
      </c>
      <c r="I59" s="226" t="s">
        <v>1206</v>
      </c>
      <c r="J59" s="226" t="s">
        <v>1097</v>
      </c>
      <c r="K59" s="227">
        <v>46092.229166666664</v>
      </c>
      <c r="L59" s="227">
        <v>46090.650694444441</v>
      </c>
      <c r="M59" s="227">
        <v>46094.0625</v>
      </c>
      <c r="N59" s="227">
        <v>46094.979861111111</v>
      </c>
      <c r="O59" s="226" t="s">
        <v>1098</v>
      </c>
      <c r="P59" s="227">
        <v>46109.229166666664</v>
      </c>
      <c r="Q59" s="226">
        <v>3</v>
      </c>
      <c r="R59" s="226"/>
      <c r="S59" s="226">
        <v>2</v>
      </c>
      <c r="T59" s="226"/>
      <c r="U59" s="226" t="s">
        <v>1</v>
      </c>
      <c r="V59" s="226" t="s">
        <v>1</v>
      </c>
      <c r="W59" s="226" t="s">
        <v>1236</v>
      </c>
      <c r="X59" s="227">
        <v>46029.668055555558</v>
      </c>
      <c r="Y59" s="226" t="s">
        <v>1237</v>
      </c>
      <c r="Z59" s="226" t="s">
        <v>1210</v>
      </c>
      <c r="AA59" s="226" t="s">
        <v>1238</v>
      </c>
      <c r="AB59" s="226"/>
      <c r="AC59" s="226"/>
      <c r="AD59" s="226" t="s">
        <v>1231</v>
      </c>
      <c r="AE59" s="226" t="s">
        <v>1132</v>
      </c>
    </row>
    <row r="60" spans="1:31">
      <c r="A60" s="226" t="s">
        <v>1232</v>
      </c>
      <c r="B60" s="226" t="s">
        <v>1093</v>
      </c>
      <c r="C60" s="226" t="s">
        <v>1233</v>
      </c>
      <c r="D60" s="226" t="s">
        <v>1239</v>
      </c>
      <c r="E60" s="226">
        <v>4316161</v>
      </c>
      <c r="F60" s="226">
        <v>4316299</v>
      </c>
      <c r="G60" s="226" t="s">
        <v>1240</v>
      </c>
      <c r="H60" s="226" t="s">
        <v>218</v>
      </c>
      <c r="I60" s="226" t="s">
        <v>1206</v>
      </c>
      <c r="J60" s="226" t="s">
        <v>1097</v>
      </c>
      <c r="K60" s="227">
        <v>46092.229166666664</v>
      </c>
      <c r="L60" s="227">
        <v>46090.651388888888</v>
      </c>
      <c r="M60" s="227">
        <v>46094.0625</v>
      </c>
      <c r="N60" s="227">
        <v>46094.981944444444</v>
      </c>
      <c r="O60" s="226" t="s">
        <v>1098</v>
      </c>
      <c r="P60" s="227">
        <v>46109.229166666664</v>
      </c>
      <c r="Q60" s="226">
        <v>1</v>
      </c>
      <c r="R60" s="226"/>
      <c r="S60" s="226">
        <v>2</v>
      </c>
      <c r="T60" s="226"/>
      <c r="U60" s="226" t="s">
        <v>1</v>
      </c>
      <c r="V60" s="226" t="s">
        <v>1</v>
      </c>
      <c r="W60" s="226" t="s">
        <v>1236</v>
      </c>
      <c r="X60" s="227">
        <v>46029.668749999997</v>
      </c>
      <c r="Y60" s="226" t="s">
        <v>1241</v>
      </c>
      <c r="Z60" s="226" t="s">
        <v>1210</v>
      </c>
      <c r="AA60" s="226" t="s">
        <v>1238</v>
      </c>
      <c r="AB60" s="226"/>
      <c r="AC60" s="226"/>
      <c r="AD60" s="226" t="s">
        <v>1231</v>
      </c>
      <c r="AE60" s="226" t="s">
        <v>1132</v>
      </c>
    </row>
    <row r="61" spans="1:31">
      <c r="A61" s="226" t="s">
        <v>1242</v>
      </c>
      <c r="B61" s="226" t="s">
        <v>1123</v>
      </c>
      <c r="C61" s="226" t="s">
        <v>1195</v>
      </c>
      <c r="D61" s="226" t="s">
        <v>1243</v>
      </c>
      <c r="E61" s="226">
        <v>4317244</v>
      </c>
      <c r="F61" s="226">
        <v>4317269</v>
      </c>
      <c r="G61" s="226" t="s">
        <v>297</v>
      </c>
      <c r="H61" s="226" t="s">
        <v>218</v>
      </c>
      <c r="I61" s="226" t="s">
        <v>1206</v>
      </c>
      <c r="J61" s="226" t="s">
        <v>1207</v>
      </c>
      <c r="K61" s="227">
        <v>46092.229166666664</v>
      </c>
      <c r="L61" s="227">
        <v>46092.229166666664</v>
      </c>
      <c r="M61" s="227">
        <v>46097.979166666664</v>
      </c>
      <c r="N61" s="227">
        <v>46097.931944444441</v>
      </c>
      <c r="O61" s="226" t="s">
        <v>1214</v>
      </c>
      <c r="P61" s="227">
        <v>46109.229166666664</v>
      </c>
      <c r="Q61" s="226">
        <v>3</v>
      </c>
      <c r="R61" s="226"/>
      <c r="S61" s="226">
        <v>2</v>
      </c>
      <c r="T61" s="226"/>
      <c r="U61" s="226" t="s">
        <v>1</v>
      </c>
      <c r="V61" s="226" t="s">
        <v>1118</v>
      </c>
      <c r="W61" s="226" t="s">
        <v>1198</v>
      </c>
      <c r="X61" s="227">
        <v>46030.613888888889</v>
      </c>
      <c r="Y61" s="226" t="s">
        <v>1244</v>
      </c>
      <c r="Z61" s="226" t="s">
        <v>1210</v>
      </c>
      <c r="AA61" s="226" t="s">
        <v>1156</v>
      </c>
      <c r="AB61" s="226"/>
      <c r="AC61" s="226"/>
      <c r="AD61" s="226" t="s">
        <v>1245</v>
      </c>
      <c r="AE61" s="226" t="s">
        <v>1132</v>
      </c>
    </row>
    <row r="62" spans="1:31">
      <c r="A62" s="226" t="s">
        <v>1246</v>
      </c>
      <c r="B62" s="226" t="s">
        <v>1093</v>
      </c>
      <c r="C62" s="226" t="s">
        <v>1149</v>
      </c>
      <c r="D62" s="226" t="s">
        <v>1247</v>
      </c>
      <c r="E62" s="226">
        <v>4317843</v>
      </c>
      <c r="F62" s="226">
        <v>4317672</v>
      </c>
      <c r="G62" s="226" t="s">
        <v>290</v>
      </c>
      <c r="H62" s="226" t="s">
        <v>218</v>
      </c>
      <c r="I62" s="226" t="s">
        <v>1206</v>
      </c>
      <c r="J62" s="226" t="s">
        <v>1207</v>
      </c>
      <c r="K62" s="227">
        <v>46090.682638888888</v>
      </c>
      <c r="L62" s="227">
        <v>46091.672222222223</v>
      </c>
      <c r="M62" s="227">
        <v>46097.229166666664</v>
      </c>
      <c r="N62" s="227">
        <v>46097.961805555555</v>
      </c>
      <c r="O62" s="226" t="s">
        <v>1214</v>
      </c>
      <c r="P62" s="227">
        <v>46109.229166666664</v>
      </c>
      <c r="Q62" s="226">
        <v>3</v>
      </c>
      <c r="R62" s="226"/>
      <c r="S62" s="226">
        <v>2</v>
      </c>
      <c r="T62" s="226"/>
      <c r="U62" s="226" t="s">
        <v>1</v>
      </c>
      <c r="V62" s="226" t="s">
        <v>1</v>
      </c>
      <c r="W62" s="226" t="s">
        <v>1236</v>
      </c>
      <c r="X62" s="227">
        <v>46030.813888888886</v>
      </c>
      <c r="Y62" s="226" t="s">
        <v>1248</v>
      </c>
      <c r="Z62" s="226" t="s">
        <v>1210</v>
      </c>
      <c r="AA62" s="226" t="s">
        <v>1249</v>
      </c>
      <c r="AB62" s="226"/>
      <c r="AC62" s="226"/>
      <c r="AD62" s="226" t="s">
        <v>1250</v>
      </c>
      <c r="AE62" s="226" t="s">
        <v>1132</v>
      </c>
    </row>
    <row r="63" spans="1:31">
      <c r="A63" s="226" t="s">
        <v>1242</v>
      </c>
      <c r="B63" s="226" t="s">
        <v>1123</v>
      </c>
      <c r="C63" s="226" t="s">
        <v>1195</v>
      </c>
      <c r="D63" s="226" t="s">
        <v>1243</v>
      </c>
      <c r="E63" s="226">
        <v>4317244</v>
      </c>
      <c r="F63" s="226">
        <v>4320775</v>
      </c>
      <c r="G63" s="226" t="s">
        <v>300</v>
      </c>
      <c r="H63" s="226" t="s">
        <v>218</v>
      </c>
      <c r="I63" s="226" t="s">
        <v>1206</v>
      </c>
      <c r="J63" s="226" t="s">
        <v>1207</v>
      </c>
      <c r="K63" s="227">
        <v>46092.229166666664</v>
      </c>
      <c r="L63" s="227">
        <v>46092.890277777777</v>
      </c>
      <c r="M63" s="227">
        <v>46097.979166666664</v>
      </c>
      <c r="N63" s="227">
        <v>46097.939583333333</v>
      </c>
      <c r="O63" s="226" t="s">
        <v>1214</v>
      </c>
      <c r="P63" s="227">
        <v>46109.229166666664</v>
      </c>
      <c r="Q63" s="226">
        <v>3</v>
      </c>
      <c r="R63" s="226"/>
      <c r="S63" s="226">
        <v>2</v>
      </c>
      <c r="T63" s="226"/>
      <c r="U63" s="226" t="s">
        <v>1</v>
      </c>
      <c r="V63" s="226" t="s">
        <v>1</v>
      </c>
      <c r="W63" s="226" t="s">
        <v>1198</v>
      </c>
      <c r="X63" s="227">
        <v>46035.539583333331</v>
      </c>
      <c r="Y63" s="226" t="s">
        <v>1244</v>
      </c>
      <c r="Z63" s="226" t="s">
        <v>1210</v>
      </c>
      <c r="AA63" s="226" t="s">
        <v>1156</v>
      </c>
      <c r="AB63" s="226"/>
      <c r="AC63" s="226"/>
      <c r="AD63" s="226" t="s">
        <v>1245</v>
      </c>
      <c r="AE63" s="226" t="s">
        <v>1132</v>
      </c>
    </row>
    <row r="64" spans="1:31">
      <c r="A64" s="226" t="s">
        <v>1251</v>
      </c>
      <c r="B64" s="226" t="s">
        <v>1123</v>
      </c>
      <c r="C64" s="226" t="s">
        <v>1094</v>
      </c>
      <c r="D64" s="226" t="s">
        <v>1252</v>
      </c>
      <c r="E64" s="226">
        <v>4059417</v>
      </c>
      <c r="F64" s="226">
        <v>4269036</v>
      </c>
      <c r="G64" s="226" t="s">
        <v>287</v>
      </c>
      <c r="H64" s="226" t="s">
        <v>866</v>
      </c>
      <c r="I64" s="226" t="s">
        <v>1206</v>
      </c>
      <c r="J64" s="226" t="s">
        <v>1207</v>
      </c>
      <c r="K64" s="227">
        <v>46084.229166666664</v>
      </c>
      <c r="L64" s="227">
        <v>46083.833333333336</v>
      </c>
      <c r="M64" s="227"/>
      <c r="N64" s="227"/>
      <c r="O64" s="226" t="s">
        <v>1253</v>
      </c>
      <c r="P64" s="227">
        <v>46109.229166666664</v>
      </c>
      <c r="Q64" s="226">
        <v>1</v>
      </c>
      <c r="R64" s="226"/>
      <c r="S64" s="226">
        <v>2</v>
      </c>
      <c r="T64" s="226"/>
      <c r="U64" s="226" t="s">
        <v>1</v>
      </c>
      <c r="V64" s="226" t="s">
        <v>1</v>
      </c>
      <c r="W64" s="226" t="s">
        <v>1254</v>
      </c>
      <c r="X64" s="227">
        <v>45994.702777777777</v>
      </c>
      <c r="Y64" s="226" t="s">
        <v>1255</v>
      </c>
      <c r="Z64" s="226" t="s">
        <v>1210</v>
      </c>
      <c r="AA64" s="226" t="s">
        <v>1256</v>
      </c>
      <c r="AB64" s="226"/>
      <c r="AC64" s="226"/>
      <c r="AD64" s="226" t="s">
        <v>1252</v>
      </c>
      <c r="AE64" s="226" t="s">
        <v>1132</v>
      </c>
    </row>
    <row r="65" spans="1:31">
      <c r="A65" s="226" t="s">
        <v>1257</v>
      </c>
      <c r="B65" s="226" t="s">
        <v>1123</v>
      </c>
      <c r="C65" s="226" t="s">
        <v>1159</v>
      </c>
      <c r="D65" s="226" t="s">
        <v>1150</v>
      </c>
      <c r="E65" s="226">
        <v>4316945</v>
      </c>
      <c r="F65" s="226">
        <v>4279597</v>
      </c>
      <c r="G65" s="226" t="s">
        <v>334</v>
      </c>
      <c r="H65" s="226" t="s">
        <v>866</v>
      </c>
      <c r="I65" s="226" t="s">
        <v>1206</v>
      </c>
      <c r="J65" s="226" t="s">
        <v>1152</v>
      </c>
      <c r="K65" s="227">
        <v>46092.229166666664</v>
      </c>
      <c r="L65" s="227">
        <v>46085.869444444441</v>
      </c>
      <c r="M65" s="227">
        <v>46097.229166666664</v>
      </c>
      <c r="N65" s="227">
        <v>46098.709027777775</v>
      </c>
      <c r="O65" s="226" t="s">
        <v>1098</v>
      </c>
      <c r="P65" s="227">
        <v>46109.229166666664</v>
      </c>
      <c r="Q65" s="226">
        <v>3</v>
      </c>
      <c r="R65" s="226"/>
      <c r="S65" s="226">
        <v>1</v>
      </c>
      <c r="T65" s="226"/>
      <c r="U65" s="226" t="s">
        <v>1</v>
      </c>
      <c r="V65" s="226" t="s">
        <v>1</v>
      </c>
      <c r="W65" s="226" t="s">
        <v>1220</v>
      </c>
      <c r="X65" s="227">
        <v>46007.49722222222</v>
      </c>
      <c r="Y65" s="226" t="s">
        <v>1258</v>
      </c>
      <c r="Z65" s="226" t="s">
        <v>1210</v>
      </c>
      <c r="AA65" s="226" t="s">
        <v>1156</v>
      </c>
      <c r="AB65" s="226"/>
      <c r="AC65" s="226"/>
      <c r="AD65" s="226" t="s">
        <v>1259</v>
      </c>
      <c r="AE65" s="226" t="s">
        <v>1132</v>
      </c>
    </row>
    <row r="66" spans="1:31">
      <c r="A66" s="226" t="s">
        <v>1257</v>
      </c>
      <c r="B66" s="226" t="s">
        <v>1123</v>
      </c>
      <c r="C66" s="226" t="s">
        <v>1159</v>
      </c>
      <c r="D66" s="226" t="s">
        <v>1150</v>
      </c>
      <c r="E66" s="226">
        <v>4316945</v>
      </c>
      <c r="F66" s="226">
        <v>4279677</v>
      </c>
      <c r="G66" s="226" t="s">
        <v>336</v>
      </c>
      <c r="H66" s="226" t="s">
        <v>866</v>
      </c>
      <c r="I66" s="226" t="s">
        <v>1206</v>
      </c>
      <c r="J66" s="226" t="s">
        <v>1152</v>
      </c>
      <c r="K66" s="227">
        <v>46092.229166666664</v>
      </c>
      <c r="L66" s="227">
        <v>46085.870833333334</v>
      </c>
      <c r="M66" s="227">
        <v>46097.229166666664</v>
      </c>
      <c r="N66" s="227">
        <v>46097.229166666664</v>
      </c>
      <c r="O66" s="226" t="s">
        <v>1098</v>
      </c>
      <c r="P66" s="227">
        <v>46109.229166666664</v>
      </c>
      <c r="Q66" s="226">
        <v>3</v>
      </c>
      <c r="R66" s="226"/>
      <c r="S66" s="226">
        <v>1</v>
      </c>
      <c r="T66" s="226"/>
      <c r="U66" s="226" t="s">
        <v>1</v>
      </c>
      <c r="V66" s="226" t="s">
        <v>1</v>
      </c>
      <c r="W66" s="226" t="s">
        <v>1220</v>
      </c>
      <c r="X66" s="227">
        <v>46007.509722222225</v>
      </c>
      <c r="Y66" s="226" t="s">
        <v>1258</v>
      </c>
      <c r="Z66" s="226" t="s">
        <v>1210</v>
      </c>
      <c r="AA66" s="226" t="s">
        <v>1156</v>
      </c>
      <c r="AB66" s="226"/>
      <c r="AC66" s="226"/>
      <c r="AD66" s="226" t="s">
        <v>1260</v>
      </c>
      <c r="AE66" s="226" t="s">
        <v>1132</v>
      </c>
    </row>
    <row r="67" spans="1:31">
      <c r="A67" s="226" t="s">
        <v>1261</v>
      </c>
      <c r="B67" s="226" t="s">
        <v>1123</v>
      </c>
      <c r="C67" s="226" t="s">
        <v>1159</v>
      </c>
      <c r="D67" s="226" t="s">
        <v>1150</v>
      </c>
      <c r="E67" s="226">
        <v>4317373</v>
      </c>
      <c r="F67" s="226">
        <v>4309748</v>
      </c>
      <c r="G67" s="226" t="s">
        <v>338</v>
      </c>
      <c r="H67" s="226" t="s">
        <v>866</v>
      </c>
      <c r="I67" s="226" t="s">
        <v>1206</v>
      </c>
      <c r="J67" s="226" t="s">
        <v>1152</v>
      </c>
      <c r="K67" s="227">
        <v>46087.979166666664</v>
      </c>
      <c r="L67" s="227">
        <v>46087.229166666664</v>
      </c>
      <c r="M67" s="227">
        <v>46093.229166666664</v>
      </c>
      <c r="N67" s="227">
        <v>46093.745138888888</v>
      </c>
      <c r="O67" s="226" t="s">
        <v>1098</v>
      </c>
      <c r="P67" s="227">
        <v>46109.229166666664</v>
      </c>
      <c r="Q67" s="226">
        <v>1</v>
      </c>
      <c r="R67" s="226"/>
      <c r="S67" s="226">
        <v>2</v>
      </c>
      <c r="T67" s="226"/>
      <c r="U67" s="226" t="s">
        <v>1</v>
      </c>
      <c r="V67" s="226" t="s">
        <v>1</v>
      </c>
      <c r="W67" s="226" t="s">
        <v>1223</v>
      </c>
      <c r="X67" s="227">
        <v>46023.679166666669</v>
      </c>
      <c r="Y67" s="227">
        <v>46109</v>
      </c>
      <c r="Z67" s="226" t="s">
        <v>1210</v>
      </c>
      <c r="AA67" s="226" t="s">
        <v>1156</v>
      </c>
      <c r="AB67" s="226"/>
      <c r="AC67" s="226"/>
      <c r="AD67" s="226" t="s">
        <v>1262</v>
      </c>
      <c r="AE67" s="226" t="s">
        <v>1132</v>
      </c>
    </row>
    <row r="68" spans="1:31">
      <c r="A68" s="226" t="s">
        <v>1251</v>
      </c>
      <c r="B68" s="226" t="s">
        <v>1123</v>
      </c>
      <c r="C68" s="226" t="s">
        <v>1094</v>
      </c>
      <c r="D68" s="226" t="s">
        <v>1252</v>
      </c>
      <c r="E68" s="226">
        <v>4059417</v>
      </c>
      <c r="F68" s="226">
        <v>4233240</v>
      </c>
      <c r="G68" s="226" t="s">
        <v>288</v>
      </c>
      <c r="H68" s="226" t="s">
        <v>866</v>
      </c>
      <c r="I68" s="226" t="s">
        <v>1206</v>
      </c>
      <c r="J68" s="226" t="s">
        <v>1207</v>
      </c>
      <c r="K68" s="227">
        <v>46080.229166666664</v>
      </c>
      <c r="L68" s="227">
        <v>46084.229166666664</v>
      </c>
      <c r="M68" s="227"/>
      <c r="N68" s="227"/>
      <c r="O68" s="226" t="s">
        <v>1263</v>
      </c>
      <c r="P68" s="227">
        <v>46109.229166666664</v>
      </c>
      <c r="Q68" s="226">
        <v>1</v>
      </c>
      <c r="R68" s="226"/>
      <c r="S68" s="226">
        <v>2</v>
      </c>
      <c r="T68" s="226"/>
      <c r="U68" s="226" t="s">
        <v>1</v>
      </c>
      <c r="V68" s="226" t="s">
        <v>1</v>
      </c>
      <c r="W68" s="226" t="s">
        <v>1254</v>
      </c>
      <c r="X68" s="227">
        <v>45968.824305555558</v>
      </c>
      <c r="Y68" s="226" t="s">
        <v>1255</v>
      </c>
      <c r="Z68" s="226" t="s">
        <v>1210</v>
      </c>
      <c r="AA68" s="226" t="s">
        <v>1264</v>
      </c>
      <c r="AB68" s="226"/>
      <c r="AC68" s="226"/>
      <c r="AD68" s="226" t="s">
        <v>1252</v>
      </c>
      <c r="AE68" s="226" t="s">
        <v>1132</v>
      </c>
    </row>
    <row r="69" spans="1:31">
      <c r="A69" s="226" t="s">
        <v>1212</v>
      </c>
      <c r="B69" s="226" t="s">
        <v>1123</v>
      </c>
      <c r="C69" s="226" t="s">
        <v>1149</v>
      </c>
      <c r="D69" s="226" t="s">
        <v>1265</v>
      </c>
      <c r="E69" s="226">
        <v>4365826</v>
      </c>
      <c r="F69" s="226">
        <v>4227683</v>
      </c>
      <c r="G69" s="226" t="s">
        <v>289</v>
      </c>
      <c r="H69" s="226" t="s">
        <v>218</v>
      </c>
      <c r="I69" s="226" t="s">
        <v>1206</v>
      </c>
      <c r="J69" s="226" t="s">
        <v>1207</v>
      </c>
      <c r="K69" s="227">
        <v>46079.678472222222</v>
      </c>
      <c r="L69" s="227">
        <v>46083.833333333336</v>
      </c>
      <c r="M69" s="227">
        <v>46087.229166666664</v>
      </c>
      <c r="N69" s="227">
        <v>46088.015972222223</v>
      </c>
      <c r="O69" s="226" t="s">
        <v>1214</v>
      </c>
      <c r="P69" s="227">
        <v>46109.229166666664</v>
      </c>
      <c r="Q69" s="226">
        <v>1</v>
      </c>
      <c r="R69" s="226"/>
      <c r="S69" s="226">
        <v>2</v>
      </c>
      <c r="T69" s="226"/>
      <c r="U69" s="226" t="s">
        <v>1</v>
      </c>
      <c r="V69" s="226" t="s">
        <v>1</v>
      </c>
      <c r="W69" s="226" t="s">
        <v>1189</v>
      </c>
      <c r="X69" s="227">
        <v>45964.793055555558</v>
      </c>
      <c r="Y69" s="226" t="s">
        <v>1266</v>
      </c>
      <c r="Z69" s="226" t="s">
        <v>1210</v>
      </c>
      <c r="AA69" s="226" t="s">
        <v>1267</v>
      </c>
      <c r="AB69" s="226"/>
      <c r="AC69" s="226"/>
      <c r="AD69" s="226" t="s">
        <v>1224</v>
      </c>
      <c r="AE69" s="226" t="s">
        <v>1132</v>
      </c>
    </row>
    <row r="70" spans="1:31">
      <c r="A70" s="226" t="s">
        <v>1242</v>
      </c>
      <c r="B70" s="226" t="s">
        <v>1123</v>
      </c>
      <c r="C70" s="226" t="s">
        <v>1195</v>
      </c>
      <c r="D70" s="226" t="s">
        <v>1243</v>
      </c>
      <c r="E70" s="226">
        <v>4317244</v>
      </c>
      <c r="F70" s="226">
        <v>4174501</v>
      </c>
      <c r="G70" s="226" t="s">
        <v>295</v>
      </c>
      <c r="H70" s="226" t="s">
        <v>218</v>
      </c>
      <c r="I70" s="226" t="s">
        <v>1206</v>
      </c>
      <c r="J70" s="226" t="s">
        <v>1207</v>
      </c>
      <c r="K70" s="227">
        <v>46085.229166666664</v>
      </c>
      <c r="L70" s="227">
        <v>46084.229166666664</v>
      </c>
      <c r="M70" s="227">
        <v>46090.229166666664</v>
      </c>
      <c r="N70" s="227">
        <v>46093.771527777775</v>
      </c>
      <c r="O70" s="226" t="s">
        <v>1214</v>
      </c>
      <c r="P70" s="227">
        <v>46109.229166666664</v>
      </c>
      <c r="Q70" s="226">
        <v>5</v>
      </c>
      <c r="R70" s="226"/>
      <c r="S70" s="226">
        <v>2</v>
      </c>
      <c r="T70" s="226"/>
      <c r="U70" s="226" t="s">
        <v>1</v>
      </c>
      <c r="V70" s="226" t="s">
        <v>1</v>
      </c>
      <c r="W70" s="226" t="s">
        <v>1268</v>
      </c>
      <c r="X70" s="227">
        <v>45947.512499999997</v>
      </c>
      <c r="Y70" s="226" t="s">
        <v>1269</v>
      </c>
      <c r="Z70" s="226" t="s">
        <v>1210</v>
      </c>
      <c r="AA70" s="226" t="s">
        <v>1156</v>
      </c>
      <c r="AB70" s="226"/>
      <c r="AC70" s="226"/>
      <c r="AD70" s="226" t="s">
        <v>1245</v>
      </c>
      <c r="AE70" s="226" t="s">
        <v>1132</v>
      </c>
    </row>
    <row r="71" spans="1:31">
      <c r="A71" s="226" t="s">
        <v>1270</v>
      </c>
      <c r="B71" s="226" t="s">
        <v>1123</v>
      </c>
      <c r="C71" s="226" t="s">
        <v>1159</v>
      </c>
      <c r="D71" s="226" t="s">
        <v>1150</v>
      </c>
      <c r="E71" s="226">
        <v>4316934</v>
      </c>
      <c r="F71" s="226">
        <v>4113135</v>
      </c>
      <c r="G71" s="226" t="s">
        <v>326</v>
      </c>
      <c r="H71" s="226" t="s">
        <v>866</v>
      </c>
      <c r="I71" s="226" t="s">
        <v>1206</v>
      </c>
      <c r="J71" s="226" t="s">
        <v>1152</v>
      </c>
      <c r="K71" s="227">
        <v>46091.229166666664</v>
      </c>
      <c r="L71" s="227">
        <v>46085.865277777775</v>
      </c>
      <c r="M71" s="227">
        <v>46094.229166666664</v>
      </c>
      <c r="N71" s="227">
        <v>46094.902083333334</v>
      </c>
      <c r="O71" s="226" t="s">
        <v>1098</v>
      </c>
      <c r="P71" s="227">
        <v>46109.229166666664</v>
      </c>
      <c r="Q71" s="226">
        <v>3</v>
      </c>
      <c r="R71" s="226"/>
      <c r="S71" s="226">
        <v>2</v>
      </c>
      <c r="T71" s="226"/>
      <c r="U71" s="226" t="s">
        <v>1</v>
      </c>
      <c r="V71" s="226" t="s">
        <v>1</v>
      </c>
      <c r="W71" s="226" t="s">
        <v>1220</v>
      </c>
      <c r="X71" s="227">
        <v>45902.852777777778</v>
      </c>
      <c r="Y71" s="226" t="s">
        <v>1221</v>
      </c>
      <c r="Z71" s="226" t="s">
        <v>1210</v>
      </c>
      <c r="AA71" s="226" t="s">
        <v>1156</v>
      </c>
      <c r="AB71" s="226"/>
      <c r="AC71" s="226"/>
      <c r="AD71" s="226" t="s">
        <v>1271</v>
      </c>
      <c r="AE71" s="226" t="s">
        <v>1132</v>
      </c>
    </row>
    <row r="72" spans="1:31">
      <c r="A72" s="226" t="s">
        <v>1270</v>
      </c>
      <c r="B72" s="226" t="s">
        <v>1123</v>
      </c>
      <c r="C72" s="226" t="s">
        <v>1159</v>
      </c>
      <c r="D72" s="226" t="s">
        <v>1150</v>
      </c>
      <c r="E72" s="226">
        <v>4316934</v>
      </c>
      <c r="F72" s="226">
        <v>4113172</v>
      </c>
      <c r="G72" s="226" t="s">
        <v>328</v>
      </c>
      <c r="H72" s="226" t="s">
        <v>866</v>
      </c>
      <c r="I72" s="226" t="s">
        <v>1206</v>
      </c>
      <c r="J72" s="226" t="s">
        <v>1152</v>
      </c>
      <c r="K72" s="227">
        <v>46084.229166666664</v>
      </c>
      <c r="L72" s="227">
        <v>46083.800694444442</v>
      </c>
      <c r="M72" s="227">
        <v>46087.229166666664</v>
      </c>
      <c r="N72" s="227">
        <v>46087.986111111109</v>
      </c>
      <c r="O72" s="226" t="s">
        <v>1098</v>
      </c>
      <c r="P72" s="227">
        <v>46109.229166666664</v>
      </c>
      <c r="Q72" s="226">
        <v>1</v>
      </c>
      <c r="R72" s="226"/>
      <c r="S72" s="226">
        <v>2</v>
      </c>
      <c r="T72" s="226"/>
      <c r="U72" s="226" t="s">
        <v>1</v>
      </c>
      <c r="V72" s="226" t="s">
        <v>1</v>
      </c>
      <c r="W72" s="226" t="s">
        <v>1220</v>
      </c>
      <c r="X72" s="227">
        <v>45902.948611111111</v>
      </c>
      <c r="Y72" s="226" t="s">
        <v>1221</v>
      </c>
      <c r="Z72" s="226" t="s">
        <v>1210</v>
      </c>
      <c r="AA72" s="226" t="s">
        <v>1156</v>
      </c>
      <c r="AB72" s="226"/>
      <c r="AC72" s="226"/>
      <c r="AD72" s="226" t="s">
        <v>1272</v>
      </c>
      <c r="AE72" s="226" t="s">
        <v>1132</v>
      </c>
    </row>
    <row r="73" spans="1:31">
      <c r="A73" s="226" t="s">
        <v>1270</v>
      </c>
      <c r="B73" s="226" t="s">
        <v>1123</v>
      </c>
      <c r="C73" s="226" t="s">
        <v>1159</v>
      </c>
      <c r="D73" s="226" t="s">
        <v>1150</v>
      </c>
      <c r="E73" s="226">
        <v>4316934</v>
      </c>
      <c r="F73" s="226">
        <v>4113178</v>
      </c>
      <c r="G73" s="226" t="s">
        <v>329</v>
      </c>
      <c r="H73" s="226" t="s">
        <v>866</v>
      </c>
      <c r="I73" s="226" t="s">
        <v>1206</v>
      </c>
      <c r="J73" s="226" t="s">
        <v>1152</v>
      </c>
      <c r="K73" s="227">
        <v>46091.229166666664</v>
      </c>
      <c r="L73" s="227">
        <v>46083.798611111109</v>
      </c>
      <c r="M73" s="227">
        <v>46094.229166666664</v>
      </c>
      <c r="N73" s="227">
        <v>46094.901388888888</v>
      </c>
      <c r="O73" s="226" t="s">
        <v>1098</v>
      </c>
      <c r="P73" s="227">
        <v>46109.229166666664</v>
      </c>
      <c r="Q73" s="226">
        <v>1</v>
      </c>
      <c r="R73" s="226"/>
      <c r="S73" s="226">
        <v>2</v>
      </c>
      <c r="T73" s="226"/>
      <c r="U73" s="226" t="s">
        <v>1</v>
      </c>
      <c r="V73" s="226" t="s">
        <v>1</v>
      </c>
      <c r="W73" s="226" t="s">
        <v>1220</v>
      </c>
      <c r="X73" s="227">
        <v>45902.961805555555</v>
      </c>
      <c r="Y73" s="226" t="s">
        <v>1221</v>
      </c>
      <c r="Z73" s="226" t="s">
        <v>1210</v>
      </c>
      <c r="AA73" s="226" t="s">
        <v>1156</v>
      </c>
      <c r="AB73" s="226"/>
      <c r="AC73" s="226"/>
      <c r="AD73" s="226" t="s">
        <v>1271</v>
      </c>
      <c r="AE73" s="226" t="s">
        <v>1132</v>
      </c>
    </row>
    <row r="74" spans="1:31">
      <c r="A74" s="226" t="s">
        <v>1166</v>
      </c>
      <c r="B74" s="226" t="s">
        <v>1123</v>
      </c>
      <c r="C74" s="226" t="s">
        <v>1159</v>
      </c>
      <c r="D74" s="226" t="s">
        <v>1150</v>
      </c>
      <c r="E74" s="226">
        <v>4378908</v>
      </c>
      <c r="F74" s="226">
        <v>4392743</v>
      </c>
      <c r="G74" s="226" t="s">
        <v>1273</v>
      </c>
      <c r="H74" s="226" t="s">
        <v>866</v>
      </c>
      <c r="I74" s="226" t="s">
        <v>1206</v>
      </c>
      <c r="J74" s="226" t="s">
        <v>1152</v>
      </c>
      <c r="K74" s="227">
        <v>46092.229166666664</v>
      </c>
      <c r="L74" s="227">
        <v>46094.72152777778</v>
      </c>
      <c r="M74" s="227">
        <v>46095.0625</v>
      </c>
      <c r="N74" s="227">
        <v>46094.229166666664</v>
      </c>
      <c r="O74" s="226" t="s">
        <v>1098</v>
      </c>
      <c r="P74" s="227">
        <v>46109.229166666664</v>
      </c>
      <c r="Q74" s="226">
        <v>1</v>
      </c>
      <c r="R74" s="226"/>
      <c r="S74" s="226">
        <v>2</v>
      </c>
      <c r="T74" s="226"/>
      <c r="U74" s="226" t="s">
        <v>1</v>
      </c>
      <c r="V74" s="226" t="s">
        <v>1</v>
      </c>
      <c r="W74" s="226" t="s">
        <v>1220</v>
      </c>
      <c r="X74" s="227">
        <v>46078.99722222222</v>
      </c>
      <c r="Y74" s="226" t="s">
        <v>1274</v>
      </c>
      <c r="Z74" s="226" t="s">
        <v>1210</v>
      </c>
      <c r="AA74" s="226" t="s">
        <v>1275</v>
      </c>
      <c r="AB74" s="226"/>
      <c r="AC74" s="226"/>
      <c r="AD74" s="226" t="s">
        <v>1276</v>
      </c>
      <c r="AE74" s="226" t="s">
        <v>1132</v>
      </c>
    </row>
    <row r="75" spans="1:31">
      <c r="A75" s="226" t="s">
        <v>1277</v>
      </c>
      <c r="B75" s="226" t="s">
        <v>1123</v>
      </c>
      <c r="C75" s="226" t="s">
        <v>1149</v>
      </c>
      <c r="D75" s="226" t="s">
        <v>1278</v>
      </c>
      <c r="E75" s="226">
        <v>4386527</v>
      </c>
      <c r="F75" s="226">
        <v>4373043</v>
      </c>
      <c r="G75" s="226" t="s">
        <v>1279</v>
      </c>
      <c r="H75" s="226" t="s">
        <v>218</v>
      </c>
      <c r="I75" s="226" t="s">
        <v>1206</v>
      </c>
      <c r="J75" s="226" t="s">
        <v>1207</v>
      </c>
      <c r="K75" s="227">
        <v>46092.229166666664</v>
      </c>
      <c r="L75" s="227">
        <v>46087.03402777778</v>
      </c>
      <c r="M75" s="227">
        <v>46097.979166666664</v>
      </c>
      <c r="N75" s="227">
        <v>46095.001388888886</v>
      </c>
      <c r="O75" s="226" t="s">
        <v>1214</v>
      </c>
      <c r="P75" s="227">
        <v>46109.229166666664</v>
      </c>
      <c r="Q75" s="226">
        <v>3</v>
      </c>
      <c r="R75" s="226"/>
      <c r="S75" s="226">
        <v>2</v>
      </c>
      <c r="T75" s="226"/>
      <c r="U75" s="226" t="s">
        <v>1</v>
      </c>
      <c r="V75" s="226" t="s">
        <v>1</v>
      </c>
      <c r="W75" s="226" t="s">
        <v>1280</v>
      </c>
      <c r="X75" s="227">
        <v>46071.693749999999</v>
      </c>
      <c r="Y75" s="226"/>
      <c r="Z75" s="226" t="s">
        <v>1210</v>
      </c>
      <c r="AA75" s="226" t="s">
        <v>1156</v>
      </c>
      <c r="AB75" s="226"/>
      <c r="AC75" s="226"/>
      <c r="AD75" s="226" t="s">
        <v>1281</v>
      </c>
      <c r="AE75" s="226" t="s">
        <v>1132</v>
      </c>
    </row>
    <row r="76" spans="1:31">
      <c r="A76" s="226" t="s">
        <v>1166</v>
      </c>
      <c r="B76" s="226" t="s">
        <v>1123</v>
      </c>
      <c r="C76" s="226" t="s">
        <v>1159</v>
      </c>
      <c r="D76" s="226" t="s">
        <v>1150</v>
      </c>
      <c r="E76" s="226">
        <v>4378908</v>
      </c>
      <c r="F76" s="226">
        <v>4378825</v>
      </c>
      <c r="G76" s="226" t="s">
        <v>1282</v>
      </c>
      <c r="H76" s="226" t="s">
        <v>866</v>
      </c>
      <c r="I76" s="226" t="s">
        <v>1206</v>
      </c>
      <c r="J76" s="226" t="s">
        <v>1152</v>
      </c>
      <c r="K76" s="227">
        <v>46092.229166666664</v>
      </c>
      <c r="L76" s="227">
        <v>46086.929861111108</v>
      </c>
      <c r="M76" s="227">
        <v>46095.0625</v>
      </c>
      <c r="N76" s="227">
        <v>46094.229166666664</v>
      </c>
      <c r="O76" s="226" t="s">
        <v>1098</v>
      </c>
      <c r="P76" s="227">
        <v>46109.229166666664</v>
      </c>
      <c r="Q76" s="226">
        <v>1</v>
      </c>
      <c r="R76" s="226"/>
      <c r="S76" s="226">
        <v>2</v>
      </c>
      <c r="T76" s="226"/>
      <c r="U76" s="226" t="s">
        <v>1</v>
      </c>
      <c r="V76" s="226" t="s">
        <v>1</v>
      </c>
      <c r="W76" s="226" t="s">
        <v>1223</v>
      </c>
      <c r="X76" s="227">
        <v>46072.685416666667</v>
      </c>
      <c r="Y76" s="226" t="s">
        <v>1274</v>
      </c>
      <c r="Z76" s="226" t="s">
        <v>1210</v>
      </c>
      <c r="AA76" s="226" t="s">
        <v>1275</v>
      </c>
      <c r="AB76" s="226"/>
      <c r="AC76" s="226"/>
      <c r="AD76" s="226" t="s">
        <v>1283</v>
      </c>
      <c r="AE76" s="226" t="s">
        <v>1132</v>
      </c>
    </row>
    <row r="77" spans="1:31">
      <c r="A77" s="226" t="s">
        <v>1284</v>
      </c>
      <c r="B77" s="226" t="s">
        <v>1194</v>
      </c>
      <c r="C77" s="226" t="s">
        <v>1195</v>
      </c>
      <c r="D77" s="226" t="s">
        <v>1285</v>
      </c>
      <c r="E77" s="226">
        <v>4405953</v>
      </c>
      <c r="F77" s="226">
        <v>4373570</v>
      </c>
      <c r="G77" s="226" t="s">
        <v>199</v>
      </c>
      <c r="H77" s="226" t="s">
        <v>866</v>
      </c>
      <c r="I77" s="226" t="s">
        <v>1286</v>
      </c>
      <c r="J77" s="226" t="s">
        <v>1287</v>
      </c>
      <c r="K77" s="227">
        <v>46092.229166666664</v>
      </c>
      <c r="L77" s="227">
        <v>46093.666666666664</v>
      </c>
      <c r="M77" s="226"/>
      <c r="N77" s="226"/>
      <c r="O77" s="226" t="s">
        <v>1288</v>
      </c>
      <c r="P77" s="227">
        <v>46109.229166666664</v>
      </c>
      <c r="Q77" s="226">
        <v>8</v>
      </c>
      <c r="R77" s="226"/>
      <c r="S77" s="226">
        <v>1</v>
      </c>
      <c r="T77" s="226"/>
      <c r="U77" s="226" t="s">
        <v>1</v>
      </c>
      <c r="V77" s="226" t="s">
        <v>1</v>
      </c>
      <c r="W77" s="226" t="s">
        <v>1289</v>
      </c>
      <c r="X77" s="227">
        <v>46071.944444444445</v>
      </c>
      <c r="Y77" s="226" t="s">
        <v>1137</v>
      </c>
      <c r="Z77" s="226" t="s">
        <v>1290</v>
      </c>
      <c r="AA77" s="226" t="s">
        <v>1156</v>
      </c>
      <c r="AB77" s="226"/>
      <c r="AC77" s="226"/>
      <c r="AD77" s="226" t="s">
        <v>1291</v>
      </c>
      <c r="AE77" s="226" t="s">
        <v>1202</v>
      </c>
    </row>
    <row r="78" spans="1:31">
      <c r="A78" s="226" t="s">
        <v>1284</v>
      </c>
      <c r="B78" s="226" t="s">
        <v>1194</v>
      </c>
      <c r="C78" s="226" t="s">
        <v>1195</v>
      </c>
      <c r="D78" s="226" t="s">
        <v>1285</v>
      </c>
      <c r="E78" s="226">
        <v>4405953</v>
      </c>
      <c r="F78" s="226">
        <v>4362711</v>
      </c>
      <c r="G78" s="226" t="s">
        <v>204</v>
      </c>
      <c r="H78" s="226" t="s">
        <v>866</v>
      </c>
      <c r="I78" s="226" t="s">
        <v>1286</v>
      </c>
      <c r="J78" s="226" t="s">
        <v>1287</v>
      </c>
      <c r="K78" s="227">
        <v>46090.229166666664</v>
      </c>
      <c r="L78" s="227">
        <v>46091.0625</v>
      </c>
      <c r="M78" s="226"/>
      <c r="N78" s="226"/>
      <c r="O78" s="226" t="s">
        <v>1288</v>
      </c>
      <c r="P78" s="227">
        <v>46109.229166666664</v>
      </c>
      <c r="Q78" s="226">
        <v>5</v>
      </c>
      <c r="R78" s="226"/>
      <c r="S78" s="226">
        <v>1</v>
      </c>
      <c r="T78" s="226"/>
      <c r="U78" s="226" t="s">
        <v>1</v>
      </c>
      <c r="V78" s="226" t="s">
        <v>1</v>
      </c>
      <c r="W78" s="226" t="s">
        <v>1289</v>
      </c>
      <c r="X78" s="227">
        <v>46064.621527777781</v>
      </c>
      <c r="Y78" s="226" t="s">
        <v>1137</v>
      </c>
      <c r="Z78" s="226" t="s">
        <v>1290</v>
      </c>
      <c r="AA78" s="226" t="s">
        <v>1156</v>
      </c>
      <c r="AB78" s="226"/>
      <c r="AC78" s="226"/>
      <c r="AD78" s="226" t="s">
        <v>1291</v>
      </c>
      <c r="AE78" s="226" t="s">
        <v>1202</v>
      </c>
    </row>
    <row r="79" spans="1:31">
      <c r="A79" s="226" t="s">
        <v>1284</v>
      </c>
      <c r="B79" s="226" t="s">
        <v>1194</v>
      </c>
      <c r="C79" s="226" t="s">
        <v>1195</v>
      </c>
      <c r="D79" s="226" t="s">
        <v>1285</v>
      </c>
      <c r="E79" s="226">
        <v>4405953</v>
      </c>
      <c r="F79" s="226">
        <v>4364996</v>
      </c>
      <c r="G79" s="226" t="s">
        <v>196</v>
      </c>
      <c r="H79" s="226" t="s">
        <v>866</v>
      </c>
      <c r="I79" s="226" t="s">
        <v>1286</v>
      </c>
      <c r="J79" s="226" t="s">
        <v>1287</v>
      </c>
      <c r="K79" s="227">
        <v>46091.229166666664</v>
      </c>
      <c r="L79" s="227">
        <v>46092.65902777778</v>
      </c>
      <c r="M79" s="226"/>
      <c r="N79" s="226"/>
      <c r="O79" s="226" t="s">
        <v>1288</v>
      </c>
      <c r="P79" s="227">
        <v>46109.229166666664</v>
      </c>
      <c r="Q79" s="226">
        <v>5</v>
      </c>
      <c r="R79" s="226"/>
      <c r="S79" s="226">
        <v>1</v>
      </c>
      <c r="T79" s="226"/>
      <c r="U79" s="226" t="s">
        <v>1</v>
      </c>
      <c r="V79" s="226" t="s">
        <v>1</v>
      </c>
      <c r="W79" s="226" t="s">
        <v>1289</v>
      </c>
      <c r="X79" s="227">
        <v>46065.609027777777</v>
      </c>
      <c r="Y79" s="226" t="s">
        <v>1137</v>
      </c>
      <c r="Z79" s="226" t="s">
        <v>1290</v>
      </c>
      <c r="AA79" s="226" t="s">
        <v>1156</v>
      </c>
      <c r="AB79" s="226"/>
      <c r="AC79" s="226"/>
      <c r="AD79" s="226" t="s">
        <v>1291</v>
      </c>
      <c r="AE79" s="226" t="s">
        <v>1202</v>
      </c>
    </row>
    <row r="80" spans="1:31">
      <c r="A80" s="226" t="s">
        <v>1284</v>
      </c>
      <c r="B80" s="226" t="s">
        <v>1194</v>
      </c>
      <c r="C80" s="226" t="s">
        <v>1195</v>
      </c>
      <c r="D80" s="226" t="s">
        <v>1285</v>
      </c>
      <c r="E80" s="226">
        <v>4405953</v>
      </c>
      <c r="F80" s="226">
        <v>4365001</v>
      </c>
      <c r="G80" s="226" t="s">
        <v>230</v>
      </c>
      <c r="H80" s="226" t="s">
        <v>866</v>
      </c>
      <c r="I80" s="226" t="s">
        <v>1286</v>
      </c>
      <c r="J80" s="226" t="s">
        <v>1287</v>
      </c>
      <c r="K80" s="227">
        <v>46091.229166666664</v>
      </c>
      <c r="L80" s="227">
        <v>46092.65902777778</v>
      </c>
      <c r="M80" s="227"/>
      <c r="N80" s="226"/>
      <c r="O80" s="226" t="s">
        <v>1288</v>
      </c>
      <c r="P80" s="227">
        <v>46109.229166666664</v>
      </c>
      <c r="Q80" s="226">
        <v>8</v>
      </c>
      <c r="R80" s="226"/>
      <c r="S80" s="226">
        <v>1</v>
      </c>
      <c r="T80" s="226"/>
      <c r="U80" s="226" t="s">
        <v>1</v>
      </c>
      <c r="V80" s="226" t="s">
        <v>1</v>
      </c>
      <c r="W80" s="226" t="s">
        <v>1289</v>
      </c>
      <c r="X80" s="227">
        <v>46065.613194444442</v>
      </c>
      <c r="Y80" s="226" t="s">
        <v>1137</v>
      </c>
      <c r="Z80" s="226" t="s">
        <v>1290</v>
      </c>
      <c r="AA80" s="226" t="s">
        <v>1156</v>
      </c>
      <c r="AB80" s="226"/>
      <c r="AC80" s="226"/>
      <c r="AD80" s="226" t="s">
        <v>1291</v>
      </c>
      <c r="AE80" s="226" t="s">
        <v>1202</v>
      </c>
    </row>
    <row r="81" spans="1:31">
      <c r="A81" s="226" t="s">
        <v>1292</v>
      </c>
      <c r="B81" s="226" t="s">
        <v>1093</v>
      </c>
      <c r="C81" s="226" t="s">
        <v>1293</v>
      </c>
      <c r="D81" s="226" t="s">
        <v>1294</v>
      </c>
      <c r="E81" s="226">
        <v>4371610</v>
      </c>
      <c r="F81" s="226">
        <v>4367405</v>
      </c>
      <c r="G81" s="226" t="s">
        <v>824</v>
      </c>
      <c r="H81" s="226" t="s">
        <v>218</v>
      </c>
      <c r="I81" s="226" t="s">
        <v>1295</v>
      </c>
      <c r="J81" s="226" t="s">
        <v>1229</v>
      </c>
      <c r="K81" s="227">
        <v>46095.0625</v>
      </c>
      <c r="L81" s="227">
        <v>46093.986111111109</v>
      </c>
      <c r="M81" s="227">
        <v>46098.229166666664</v>
      </c>
      <c r="N81" s="227">
        <v>46099.663194444445</v>
      </c>
      <c r="O81" s="226" t="s">
        <v>1296</v>
      </c>
      <c r="P81" s="227">
        <v>46109.229166666664</v>
      </c>
      <c r="Q81" s="226">
        <v>11</v>
      </c>
      <c r="R81" s="226"/>
      <c r="S81" s="226">
        <v>2</v>
      </c>
      <c r="T81" s="226"/>
      <c r="U81" s="226" t="s">
        <v>1</v>
      </c>
      <c r="V81" s="226" t="s">
        <v>1</v>
      </c>
      <c r="W81" s="226" t="s">
        <v>1297</v>
      </c>
      <c r="X81" s="227">
        <v>46066.603472222225</v>
      </c>
      <c r="Y81" s="226" t="s">
        <v>1244</v>
      </c>
      <c r="Z81" s="226" t="s">
        <v>1298</v>
      </c>
      <c r="AA81" s="226" t="s">
        <v>1299</v>
      </c>
      <c r="AB81" s="226"/>
      <c r="AC81" s="226"/>
      <c r="AD81" s="226" t="s">
        <v>1294</v>
      </c>
      <c r="AE81" s="226" t="s">
        <v>1300</v>
      </c>
    </row>
    <row r="82" spans="1:31">
      <c r="A82" s="226" t="s">
        <v>1301</v>
      </c>
      <c r="B82" s="226" t="s">
        <v>1093</v>
      </c>
      <c r="C82" s="226" t="s">
        <v>1233</v>
      </c>
      <c r="D82" s="226" t="s">
        <v>1302</v>
      </c>
      <c r="E82" s="226">
        <v>4272104</v>
      </c>
      <c r="F82" s="226">
        <v>4271903</v>
      </c>
      <c r="G82" s="226" t="s">
        <v>831</v>
      </c>
      <c r="H82" s="226" t="s">
        <v>218</v>
      </c>
      <c r="I82" s="226" t="s">
        <v>1295</v>
      </c>
      <c r="J82" s="226" t="s">
        <v>1097</v>
      </c>
      <c r="K82" s="227">
        <v>46095.0625</v>
      </c>
      <c r="L82" s="227">
        <v>46093.986111111109</v>
      </c>
      <c r="M82" s="227">
        <v>46098.229166666664</v>
      </c>
      <c r="N82" s="227">
        <v>46099.088888888888</v>
      </c>
      <c r="O82" s="226" t="s">
        <v>1098</v>
      </c>
      <c r="P82" s="227">
        <v>46109.229166666664</v>
      </c>
      <c r="Q82" s="226">
        <v>14</v>
      </c>
      <c r="R82" s="226"/>
      <c r="S82" s="226">
        <v>2</v>
      </c>
      <c r="T82" s="226"/>
      <c r="U82" s="226" t="s">
        <v>1</v>
      </c>
      <c r="V82" s="226" t="s">
        <v>1</v>
      </c>
      <c r="W82" s="226" t="s">
        <v>1236</v>
      </c>
      <c r="X82" s="227">
        <v>45999.384722222225</v>
      </c>
      <c r="Y82" s="226" t="s">
        <v>1303</v>
      </c>
      <c r="Z82" s="226" t="s">
        <v>1298</v>
      </c>
      <c r="AA82" s="226" t="s">
        <v>1299</v>
      </c>
      <c r="AB82" s="226"/>
      <c r="AC82" s="226"/>
      <c r="AD82" s="226" t="s">
        <v>1304</v>
      </c>
      <c r="AE82" s="226" t="s">
        <v>1300</v>
      </c>
    </row>
    <row r="83" spans="1:31">
      <c r="A83" s="226" t="s">
        <v>1305</v>
      </c>
      <c r="B83" s="226" t="s">
        <v>1093</v>
      </c>
      <c r="C83" s="226" t="s">
        <v>1233</v>
      </c>
      <c r="D83" s="226" t="s">
        <v>1306</v>
      </c>
      <c r="E83" s="226">
        <v>4351343</v>
      </c>
      <c r="F83" s="226">
        <v>4344835</v>
      </c>
      <c r="G83" s="226" t="s">
        <v>839</v>
      </c>
      <c r="H83" s="226" t="s">
        <v>218</v>
      </c>
      <c r="I83" s="226" t="s">
        <v>1295</v>
      </c>
      <c r="J83" s="226" t="s">
        <v>1097</v>
      </c>
      <c r="K83" s="227">
        <v>46092.0625</v>
      </c>
      <c r="L83" s="227">
        <v>46090.986805555556</v>
      </c>
      <c r="M83" s="227">
        <v>46094.229166666664</v>
      </c>
      <c r="N83" s="227">
        <v>46094.05972222222</v>
      </c>
      <c r="O83" s="226" t="s">
        <v>1098</v>
      </c>
      <c r="P83" s="227">
        <v>46109.229166666664</v>
      </c>
      <c r="Q83" s="226">
        <v>5</v>
      </c>
      <c r="R83" s="226"/>
      <c r="S83" s="226">
        <v>2</v>
      </c>
      <c r="T83" s="226"/>
      <c r="U83" s="226" t="s">
        <v>1</v>
      </c>
      <c r="V83" s="226" t="s">
        <v>1</v>
      </c>
      <c r="W83" s="226" t="s">
        <v>1129</v>
      </c>
      <c r="X83" s="227">
        <v>46052.435416666667</v>
      </c>
      <c r="Y83" s="226" t="s">
        <v>1307</v>
      </c>
      <c r="Z83" s="226" t="s">
        <v>1298</v>
      </c>
      <c r="AA83" s="226" t="s">
        <v>1106</v>
      </c>
      <c r="AB83" s="226"/>
      <c r="AC83" s="226"/>
      <c r="AD83" s="226" t="s">
        <v>1308</v>
      </c>
      <c r="AE83" s="226" t="s">
        <v>1300</v>
      </c>
    </row>
    <row r="84" spans="1:31">
      <c r="A84" s="226" t="s">
        <v>1227</v>
      </c>
      <c r="B84" s="226" t="s">
        <v>1194</v>
      </c>
      <c r="C84" s="226" t="s">
        <v>1195</v>
      </c>
      <c r="D84" s="226" t="s">
        <v>1228</v>
      </c>
      <c r="E84" s="226">
        <v>4341338</v>
      </c>
      <c r="F84" s="226">
        <v>4343705</v>
      </c>
      <c r="G84" s="226" t="s">
        <v>844</v>
      </c>
      <c r="H84" s="226" t="s">
        <v>866</v>
      </c>
      <c r="I84" s="226" t="s">
        <v>1309</v>
      </c>
      <c r="J84" s="226" t="s">
        <v>1310</v>
      </c>
      <c r="K84" s="227">
        <v>46091.104166666664</v>
      </c>
      <c r="L84" s="227">
        <v>46091.085416666669</v>
      </c>
      <c r="M84" s="227">
        <v>46097.979166666664</v>
      </c>
      <c r="N84" s="227"/>
      <c r="O84" s="226" t="s">
        <v>1311</v>
      </c>
      <c r="P84" s="227">
        <v>46109.229166666664</v>
      </c>
      <c r="Q84" s="226">
        <v>4</v>
      </c>
      <c r="R84" s="226"/>
      <c r="S84" s="226">
        <v>2</v>
      </c>
      <c r="T84" s="226"/>
      <c r="U84" s="226" t="s">
        <v>1</v>
      </c>
      <c r="V84" s="226" t="s">
        <v>1</v>
      </c>
      <c r="W84" s="226" t="s">
        <v>1209</v>
      </c>
      <c r="X84" s="227">
        <v>46051.613888888889</v>
      </c>
      <c r="Y84" s="226" t="s">
        <v>1137</v>
      </c>
      <c r="Z84" s="226" t="s">
        <v>1312</v>
      </c>
      <c r="AA84" s="226" t="s">
        <v>1156</v>
      </c>
      <c r="AB84" s="226"/>
      <c r="AC84" s="226"/>
      <c r="AD84" s="226" t="s">
        <v>1313</v>
      </c>
      <c r="AE84" s="226" t="s">
        <v>1314</v>
      </c>
    </row>
    <row r="85" spans="1:31">
      <c r="A85" s="226" t="s">
        <v>1315</v>
      </c>
      <c r="B85" s="226" t="s">
        <v>1123</v>
      </c>
      <c r="C85" s="226" t="s">
        <v>1159</v>
      </c>
      <c r="D85" s="226" t="s">
        <v>1150</v>
      </c>
      <c r="E85" s="226">
        <v>4385941</v>
      </c>
      <c r="F85" s="226">
        <v>4367327</v>
      </c>
      <c r="G85" s="226" t="s">
        <v>1316</v>
      </c>
      <c r="H85" s="226" t="s">
        <v>866</v>
      </c>
      <c r="I85" s="226" t="s">
        <v>1309</v>
      </c>
      <c r="J85" s="226" t="s">
        <v>1310</v>
      </c>
      <c r="K85" s="227">
        <v>46092.229166666664</v>
      </c>
      <c r="L85" s="227">
        <v>46092.927777777775</v>
      </c>
      <c r="M85" s="227">
        <v>46094.0625</v>
      </c>
      <c r="N85" s="227">
        <v>46098.234027777777</v>
      </c>
      <c r="O85" s="226" t="s">
        <v>1098</v>
      </c>
      <c r="P85" s="227">
        <v>46109.229166666664</v>
      </c>
      <c r="Q85" s="226">
        <v>5</v>
      </c>
      <c r="R85" s="226"/>
      <c r="S85" s="226">
        <v>2</v>
      </c>
      <c r="T85" s="226"/>
      <c r="U85" s="226" t="s">
        <v>1</v>
      </c>
      <c r="V85" s="226" t="s">
        <v>1</v>
      </c>
      <c r="W85" s="226" t="s">
        <v>1223</v>
      </c>
      <c r="X85" s="227">
        <v>46066.541666666664</v>
      </c>
      <c r="Y85" s="227">
        <v>46109</v>
      </c>
      <c r="Z85" s="226" t="s">
        <v>1312</v>
      </c>
      <c r="AA85" s="226" t="s">
        <v>1156</v>
      </c>
      <c r="AB85" s="226"/>
      <c r="AC85" s="226"/>
      <c r="AD85" s="226" t="s">
        <v>1317</v>
      </c>
      <c r="AE85" s="226" t="s">
        <v>1314</v>
      </c>
    </row>
    <row r="86" spans="1:31">
      <c r="A86" s="226" t="s">
        <v>1318</v>
      </c>
      <c r="B86" s="226" t="s">
        <v>1123</v>
      </c>
      <c r="C86" s="226" t="s">
        <v>1159</v>
      </c>
      <c r="D86" s="226" t="s">
        <v>1150</v>
      </c>
      <c r="E86" s="226">
        <v>4371914</v>
      </c>
      <c r="F86" s="226">
        <v>4371950</v>
      </c>
      <c r="G86" s="226" t="s">
        <v>852</v>
      </c>
      <c r="H86" s="226" t="s">
        <v>866</v>
      </c>
      <c r="I86" s="226" t="s">
        <v>1309</v>
      </c>
      <c r="J86" s="226" t="s">
        <v>1310</v>
      </c>
      <c r="K86" s="227">
        <v>46093.104166666664</v>
      </c>
      <c r="L86" s="227">
        <v>46092.927083333336</v>
      </c>
      <c r="M86" s="227">
        <v>46098.979166666664</v>
      </c>
      <c r="N86" s="227">
        <v>46097.724999999999</v>
      </c>
      <c r="O86" s="226" t="s">
        <v>1214</v>
      </c>
      <c r="P86" s="227">
        <v>46109.229166666664</v>
      </c>
      <c r="Q86" s="226">
        <v>5</v>
      </c>
      <c r="R86" s="226"/>
      <c r="S86" s="226">
        <v>2</v>
      </c>
      <c r="T86" s="226"/>
      <c r="U86" s="226" t="s">
        <v>1</v>
      </c>
      <c r="V86" s="226" t="s">
        <v>1</v>
      </c>
      <c r="W86" s="226" t="s">
        <v>1220</v>
      </c>
      <c r="X86" s="227">
        <v>46071.019444444442</v>
      </c>
      <c r="Y86" s="226" t="s">
        <v>1302</v>
      </c>
      <c r="Z86" s="226" t="s">
        <v>1312</v>
      </c>
      <c r="AA86" s="226" t="s">
        <v>1156</v>
      </c>
      <c r="AB86" s="226"/>
      <c r="AC86" s="226"/>
      <c r="AD86" s="226" t="s">
        <v>1319</v>
      </c>
      <c r="AE86" s="226" t="s">
        <v>1314</v>
      </c>
    </row>
    <row r="87" spans="1:31">
      <c r="A87" s="226" t="s">
        <v>1320</v>
      </c>
      <c r="B87" s="226" t="s">
        <v>1123</v>
      </c>
      <c r="C87" s="226" t="s">
        <v>1159</v>
      </c>
      <c r="D87" s="226" t="s">
        <v>1150</v>
      </c>
      <c r="E87" s="226">
        <v>4371834</v>
      </c>
      <c r="F87" s="226">
        <v>4371951</v>
      </c>
      <c r="G87" s="226" t="s">
        <v>853</v>
      </c>
      <c r="H87" s="226" t="s">
        <v>866</v>
      </c>
      <c r="I87" s="226" t="s">
        <v>1309</v>
      </c>
      <c r="J87" s="226" t="s">
        <v>1310</v>
      </c>
      <c r="K87" s="227">
        <v>46085.229166666664</v>
      </c>
      <c r="L87" s="227">
        <v>46085.902083333334</v>
      </c>
      <c r="M87" s="227">
        <v>46093.979166666664</v>
      </c>
      <c r="N87" s="227">
        <v>46087.677083333336</v>
      </c>
      <c r="O87" s="226" t="s">
        <v>1098</v>
      </c>
      <c r="P87" s="227">
        <v>46109.229166666664</v>
      </c>
      <c r="Q87" s="226">
        <v>5</v>
      </c>
      <c r="R87" s="226"/>
      <c r="S87" s="226">
        <v>2</v>
      </c>
      <c r="T87" s="226"/>
      <c r="U87" s="226" t="s">
        <v>1</v>
      </c>
      <c r="V87" s="226" t="s">
        <v>1</v>
      </c>
      <c r="W87" s="226" t="s">
        <v>1220</v>
      </c>
      <c r="X87" s="227">
        <v>46071.040277777778</v>
      </c>
      <c r="Y87" s="226" t="s">
        <v>1302</v>
      </c>
      <c r="Z87" s="226" t="s">
        <v>1312</v>
      </c>
      <c r="AA87" s="226" t="s">
        <v>1106</v>
      </c>
      <c r="AB87" s="226"/>
      <c r="AC87" s="226"/>
      <c r="AD87" s="226" t="s">
        <v>1321</v>
      </c>
      <c r="AE87" s="226" t="s">
        <v>1314</v>
      </c>
    </row>
    <row r="88" spans="1:31">
      <c r="A88" s="226" t="s">
        <v>1322</v>
      </c>
      <c r="B88" s="226" t="s">
        <v>1123</v>
      </c>
      <c r="C88" s="226" t="s">
        <v>1159</v>
      </c>
      <c r="D88" s="226" t="s">
        <v>1150</v>
      </c>
      <c r="E88" s="226">
        <v>4371836</v>
      </c>
      <c r="F88" s="226">
        <v>4371954</v>
      </c>
      <c r="G88" s="226" t="s">
        <v>854</v>
      </c>
      <c r="H88" s="226" t="s">
        <v>866</v>
      </c>
      <c r="I88" s="226" t="s">
        <v>1309</v>
      </c>
      <c r="J88" s="226" t="s">
        <v>1310</v>
      </c>
      <c r="K88" s="227">
        <v>46092.958333333336</v>
      </c>
      <c r="L88" s="227">
        <v>46092.859722222223</v>
      </c>
      <c r="M88" s="227">
        <v>46098.979166666664</v>
      </c>
      <c r="N88" s="227">
        <v>46099.00277777778</v>
      </c>
      <c r="O88" s="226" t="s">
        <v>1214</v>
      </c>
      <c r="P88" s="227">
        <v>46109.229166666664</v>
      </c>
      <c r="Q88" s="226">
        <v>7</v>
      </c>
      <c r="R88" s="226"/>
      <c r="S88" s="226">
        <v>2</v>
      </c>
      <c r="T88" s="226"/>
      <c r="U88" s="226" t="s">
        <v>1</v>
      </c>
      <c r="V88" s="226" t="s">
        <v>1</v>
      </c>
      <c r="W88" s="226" t="s">
        <v>1220</v>
      </c>
      <c r="X88" s="227">
        <v>46071.051388888889</v>
      </c>
      <c r="Y88" s="226" t="s">
        <v>1302</v>
      </c>
      <c r="Z88" s="226" t="s">
        <v>1312</v>
      </c>
      <c r="AA88" s="226" t="s">
        <v>1106</v>
      </c>
      <c r="AB88" s="226"/>
      <c r="AC88" s="226"/>
      <c r="AD88" s="226" t="s">
        <v>1323</v>
      </c>
      <c r="AE88" s="226" t="s">
        <v>1314</v>
      </c>
    </row>
    <row r="89" spans="1:31">
      <c r="A89" s="226" t="s">
        <v>1318</v>
      </c>
      <c r="B89" s="226" t="s">
        <v>1123</v>
      </c>
      <c r="C89" s="226" t="s">
        <v>1159</v>
      </c>
      <c r="D89" s="226" t="s">
        <v>1150</v>
      </c>
      <c r="E89" s="226">
        <v>4371914</v>
      </c>
      <c r="F89" s="226">
        <v>4371955</v>
      </c>
      <c r="G89" s="226" t="s">
        <v>855</v>
      </c>
      <c r="H89" s="226" t="s">
        <v>866</v>
      </c>
      <c r="I89" s="226" t="s">
        <v>1309</v>
      </c>
      <c r="J89" s="226" t="s">
        <v>1310</v>
      </c>
      <c r="K89" s="227">
        <v>46093.104166666664</v>
      </c>
      <c r="L89" s="227">
        <v>46092.927083333336</v>
      </c>
      <c r="M89" s="227">
        <v>46098.979166666664</v>
      </c>
      <c r="N89" s="227">
        <v>46097.995833333334</v>
      </c>
      <c r="O89" s="226" t="s">
        <v>1098</v>
      </c>
      <c r="P89" s="227">
        <v>46109.229166666664</v>
      </c>
      <c r="Q89" s="226">
        <v>7</v>
      </c>
      <c r="R89" s="226"/>
      <c r="S89" s="226">
        <v>2</v>
      </c>
      <c r="T89" s="226"/>
      <c r="U89" s="226" t="s">
        <v>1</v>
      </c>
      <c r="V89" s="226" t="s">
        <v>1</v>
      </c>
      <c r="W89" s="226" t="s">
        <v>1220</v>
      </c>
      <c r="X89" s="227">
        <v>46071.0625</v>
      </c>
      <c r="Y89" s="226" t="s">
        <v>1302</v>
      </c>
      <c r="Z89" s="226" t="s">
        <v>1312</v>
      </c>
      <c r="AA89" s="226" t="s">
        <v>1106</v>
      </c>
      <c r="AB89" s="226"/>
      <c r="AC89" s="226"/>
      <c r="AD89" s="226" t="s">
        <v>1324</v>
      </c>
      <c r="AE89" s="226" t="s">
        <v>1314</v>
      </c>
    </row>
    <row r="90" spans="1:31">
      <c r="A90" s="226" t="s">
        <v>1325</v>
      </c>
      <c r="B90" s="226" t="s">
        <v>1123</v>
      </c>
      <c r="C90" s="226" t="s">
        <v>1326</v>
      </c>
      <c r="D90" s="226" t="s">
        <v>1326</v>
      </c>
      <c r="E90" s="226">
        <v>4366466</v>
      </c>
      <c r="F90" s="226">
        <v>4369456</v>
      </c>
      <c r="G90" s="226" t="s">
        <v>1327</v>
      </c>
      <c r="H90" s="226" t="s">
        <v>218</v>
      </c>
      <c r="I90" s="226" t="s">
        <v>1309</v>
      </c>
      <c r="J90" s="226" t="s">
        <v>1310</v>
      </c>
      <c r="K90" s="227">
        <v>46095.104166666664</v>
      </c>
      <c r="L90" s="227">
        <v>46094.894444444442</v>
      </c>
      <c r="M90" s="227">
        <v>46098.9375</v>
      </c>
      <c r="N90" s="227">
        <v>46097.774305555555</v>
      </c>
      <c r="O90" s="226" t="s">
        <v>1214</v>
      </c>
      <c r="P90" s="227">
        <v>46109.229166666664</v>
      </c>
      <c r="Q90" s="226">
        <v>6</v>
      </c>
      <c r="R90" s="226"/>
      <c r="S90" s="226">
        <v>2</v>
      </c>
      <c r="T90" s="226"/>
      <c r="U90" s="226" t="s">
        <v>1</v>
      </c>
      <c r="V90" s="226" t="s">
        <v>1</v>
      </c>
      <c r="W90" s="226" t="s">
        <v>1189</v>
      </c>
      <c r="X90" s="227">
        <v>46069.549305555556</v>
      </c>
      <c r="Y90" s="226" t="s">
        <v>1328</v>
      </c>
      <c r="Z90" s="226" t="s">
        <v>1312</v>
      </c>
      <c r="AA90" s="226" t="s">
        <v>1329</v>
      </c>
      <c r="AB90" s="226"/>
      <c r="AC90" s="226"/>
      <c r="AD90" s="226" t="s">
        <v>1330</v>
      </c>
      <c r="AE90" s="226" t="s">
        <v>1314</v>
      </c>
    </row>
    <row r="91" spans="1:31">
      <c r="A91" s="226" t="s">
        <v>1331</v>
      </c>
      <c r="B91" s="226" t="s">
        <v>1123</v>
      </c>
      <c r="C91" s="226" t="s">
        <v>1149</v>
      </c>
      <c r="D91" s="226" t="s">
        <v>1213</v>
      </c>
      <c r="E91" s="226">
        <v>4365879</v>
      </c>
      <c r="F91" s="226">
        <v>4369602</v>
      </c>
      <c r="G91" s="226" t="s">
        <v>857</v>
      </c>
      <c r="H91" s="226" t="s">
        <v>866</v>
      </c>
      <c r="I91" s="226" t="s">
        <v>1309</v>
      </c>
      <c r="J91" s="226" t="s">
        <v>1310</v>
      </c>
      <c r="K91" s="227">
        <v>46093.104166666664</v>
      </c>
      <c r="L91" s="227">
        <v>46091.854166666664</v>
      </c>
      <c r="M91" s="227">
        <v>46098.979166666664</v>
      </c>
      <c r="N91" s="227">
        <v>46098.004166666666</v>
      </c>
      <c r="O91" s="226" t="s">
        <v>1214</v>
      </c>
      <c r="P91" s="227">
        <v>46109.229166666664</v>
      </c>
      <c r="Q91" s="226">
        <v>6</v>
      </c>
      <c r="R91" s="226"/>
      <c r="S91" s="226">
        <v>2</v>
      </c>
      <c r="T91" s="226"/>
      <c r="U91" s="226" t="s">
        <v>1</v>
      </c>
      <c r="V91" s="226" t="s">
        <v>1</v>
      </c>
      <c r="W91" s="226" t="s">
        <v>1189</v>
      </c>
      <c r="X91" s="227">
        <v>46069.65902777778</v>
      </c>
      <c r="Y91" s="226" t="s">
        <v>1328</v>
      </c>
      <c r="Z91" s="226" t="s">
        <v>1312</v>
      </c>
      <c r="AA91" s="226" t="s">
        <v>1216</v>
      </c>
      <c r="AB91" s="226"/>
      <c r="AC91" s="226"/>
      <c r="AD91" s="226" t="s">
        <v>1217</v>
      </c>
      <c r="AE91" s="226" t="s">
        <v>1314</v>
      </c>
    </row>
    <row r="92" spans="1:31">
      <c r="A92" s="226" t="s">
        <v>1331</v>
      </c>
      <c r="B92" s="226" t="s">
        <v>1123</v>
      </c>
      <c r="C92" s="226" t="s">
        <v>1149</v>
      </c>
      <c r="D92" s="226" t="s">
        <v>1326</v>
      </c>
      <c r="E92" s="226">
        <v>4365879</v>
      </c>
      <c r="F92" s="226">
        <v>4366137</v>
      </c>
      <c r="G92" s="226" t="s">
        <v>1332</v>
      </c>
      <c r="H92" s="226" t="s">
        <v>866</v>
      </c>
      <c r="I92" s="226" t="s">
        <v>1309</v>
      </c>
      <c r="J92" s="226" t="s">
        <v>1310</v>
      </c>
      <c r="K92" s="227">
        <v>46091.104166666664</v>
      </c>
      <c r="L92" s="227">
        <v>46090.936111111114</v>
      </c>
      <c r="M92" s="227">
        <v>46095.0625</v>
      </c>
      <c r="N92" s="227">
        <v>46093.001388888886</v>
      </c>
      <c r="O92" s="226" t="s">
        <v>1098</v>
      </c>
      <c r="P92" s="227">
        <v>46109.229166666664</v>
      </c>
      <c r="Q92" s="226">
        <v>3</v>
      </c>
      <c r="R92" s="226"/>
      <c r="S92" s="226">
        <v>1</v>
      </c>
      <c r="T92" s="226"/>
      <c r="U92" s="226" t="s">
        <v>1</v>
      </c>
      <c r="V92" s="226" t="s">
        <v>1</v>
      </c>
      <c r="W92" s="226" t="s">
        <v>1189</v>
      </c>
      <c r="X92" s="227">
        <v>46065.852083333331</v>
      </c>
      <c r="Y92" s="226" t="s">
        <v>1333</v>
      </c>
      <c r="Z92" s="226" t="s">
        <v>1312</v>
      </c>
      <c r="AA92" s="226" t="s">
        <v>1216</v>
      </c>
      <c r="AB92" s="226"/>
      <c r="AC92" s="226"/>
      <c r="AD92" s="226" t="s">
        <v>1334</v>
      </c>
      <c r="AE92" s="226" t="s">
        <v>1314</v>
      </c>
    </row>
    <row r="93" spans="1:31">
      <c r="A93" s="226" t="s">
        <v>1331</v>
      </c>
      <c r="B93" s="226" t="s">
        <v>1123</v>
      </c>
      <c r="C93" s="226" t="s">
        <v>1326</v>
      </c>
      <c r="D93" s="226" t="s">
        <v>1326</v>
      </c>
      <c r="E93" s="226">
        <v>4365879</v>
      </c>
      <c r="F93" s="226">
        <v>4358784</v>
      </c>
      <c r="G93" s="226" t="s">
        <v>847</v>
      </c>
      <c r="H93" s="226" t="s">
        <v>218</v>
      </c>
      <c r="I93" s="226" t="s">
        <v>1309</v>
      </c>
      <c r="J93" s="226" t="s">
        <v>1310</v>
      </c>
      <c r="K93" s="227">
        <v>46087.9375</v>
      </c>
      <c r="L93" s="227">
        <v>46088.068055555559</v>
      </c>
      <c r="M93" s="227">
        <v>46094.979166666664</v>
      </c>
      <c r="N93" s="227">
        <v>46093.673611111109</v>
      </c>
      <c r="O93" s="226" t="s">
        <v>1214</v>
      </c>
      <c r="P93" s="227">
        <v>46109.229166666664</v>
      </c>
      <c r="Q93" s="226">
        <v>5</v>
      </c>
      <c r="R93" s="226"/>
      <c r="S93" s="226">
        <v>2</v>
      </c>
      <c r="T93" s="226"/>
      <c r="U93" s="226" t="s">
        <v>1</v>
      </c>
      <c r="V93" s="226" t="s">
        <v>1118</v>
      </c>
      <c r="W93" s="226" t="s">
        <v>1189</v>
      </c>
      <c r="X93" s="227">
        <v>46062.911805555559</v>
      </c>
      <c r="Y93" s="226" t="s">
        <v>1328</v>
      </c>
      <c r="Z93" s="226" t="s">
        <v>1312</v>
      </c>
      <c r="AA93" s="226" t="s">
        <v>1329</v>
      </c>
      <c r="AB93" s="226"/>
      <c r="AC93" s="226"/>
      <c r="AD93" s="226" t="s">
        <v>1335</v>
      </c>
      <c r="AE93" s="226" t="s">
        <v>1314</v>
      </c>
    </row>
    <row r="94" spans="1:31">
      <c r="A94" s="226" t="s">
        <v>1336</v>
      </c>
      <c r="B94" s="226" t="s">
        <v>1194</v>
      </c>
      <c r="C94" s="226" t="s">
        <v>1195</v>
      </c>
      <c r="D94" s="226" t="s">
        <v>1285</v>
      </c>
      <c r="E94" s="226">
        <v>4366165</v>
      </c>
      <c r="F94" s="226">
        <v>4361791</v>
      </c>
      <c r="G94" s="226" t="s">
        <v>210</v>
      </c>
      <c r="H94" s="226" t="s">
        <v>866</v>
      </c>
      <c r="I94" s="226" t="s">
        <v>1337</v>
      </c>
      <c r="J94" s="226" t="s">
        <v>1287</v>
      </c>
      <c r="K94" s="227">
        <v>46091.020833333336</v>
      </c>
      <c r="L94" s="227">
        <v>46088.0625</v>
      </c>
      <c r="M94" s="226"/>
      <c r="N94" s="226"/>
      <c r="O94" s="226" t="s">
        <v>1288</v>
      </c>
      <c r="P94" s="227">
        <v>46109.229166666664</v>
      </c>
      <c r="Q94" s="226">
        <v>5</v>
      </c>
      <c r="R94" s="226"/>
      <c r="S94" s="226">
        <v>1</v>
      </c>
      <c r="T94" s="226"/>
      <c r="U94" s="226" t="s">
        <v>1</v>
      </c>
      <c r="V94" s="226" t="s">
        <v>1</v>
      </c>
      <c r="W94" s="226" t="s">
        <v>1289</v>
      </c>
      <c r="X94" s="227">
        <v>46063.96597222222</v>
      </c>
      <c r="Y94" s="226" t="s">
        <v>1137</v>
      </c>
      <c r="Z94" s="226" t="s">
        <v>1338</v>
      </c>
      <c r="AA94" s="226" t="s">
        <v>1264</v>
      </c>
      <c r="AB94" s="226"/>
      <c r="AC94" s="226"/>
      <c r="AD94" s="226" t="s">
        <v>1291</v>
      </c>
      <c r="AE94" s="226" t="s">
        <v>1202</v>
      </c>
    </row>
    <row r="95" spans="1:31">
      <c r="A95" s="226" t="s">
        <v>1336</v>
      </c>
      <c r="B95" s="226" t="s">
        <v>1194</v>
      </c>
      <c r="C95" s="226" t="s">
        <v>1195</v>
      </c>
      <c r="D95" s="226" t="s">
        <v>1285</v>
      </c>
      <c r="E95" s="226">
        <v>4366165</v>
      </c>
      <c r="F95" s="226">
        <v>4364929</v>
      </c>
      <c r="G95" s="226" t="s">
        <v>192</v>
      </c>
      <c r="H95" s="226" t="s">
        <v>866</v>
      </c>
      <c r="I95" s="226" t="s">
        <v>1337</v>
      </c>
      <c r="J95" s="226" t="s">
        <v>1287</v>
      </c>
      <c r="K95" s="227">
        <v>46093.020833333336</v>
      </c>
      <c r="L95" s="227">
        <v>46093.666666666664</v>
      </c>
      <c r="M95" s="226"/>
      <c r="N95" s="226"/>
      <c r="O95" s="226" t="s">
        <v>1288</v>
      </c>
      <c r="P95" s="227">
        <v>46109.229166666664</v>
      </c>
      <c r="Q95" s="226">
        <v>8</v>
      </c>
      <c r="R95" s="226"/>
      <c r="S95" s="226">
        <v>1</v>
      </c>
      <c r="T95" s="226"/>
      <c r="U95" s="226" t="s">
        <v>1</v>
      </c>
      <c r="V95" s="226" t="s">
        <v>1</v>
      </c>
      <c r="W95" s="226" t="s">
        <v>1289</v>
      </c>
      <c r="X95" s="227">
        <v>46065.564583333333</v>
      </c>
      <c r="Y95" s="226" t="s">
        <v>1137</v>
      </c>
      <c r="Z95" s="226" t="s">
        <v>1338</v>
      </c>
      <c r="AA95" s="226" t="s">
        <v>1264</v>
      </c>
      <c r="AB95" s="226"/>
      <c r="AC95" s="226"/>
      <c r="AD95" s="226" t="s">
        <v>1291</v>
      </c>
      <c r="AE95" s="226" t="s">
        <v>1202</v>
      </c>
    </row>
    <row r="96" spans="1:31">
      <c r="A96" s="226" t="s">
        <v>1336</v>
      </c>
      <c r="B96" s="226" t="s">
        <v>1194</v>
      </c>
      <c r="C96" s="226" t="s">
        <v>1195</v>
      </c>
      <c r="D96" s="226" t="s">
        <v>1285</v>
      </c>
      <c r="E96" s="226">
        <v>4366165</v>
      </c>
      <c r="F96" s="226">
        <v>4363958</v>
      </c>
      <c r="G96" s="226" t="s">
        <v>206</v>
      </c>
      <c r="H96" s="226" t="s">
        <v>866</v>
      </c>
      <c r="I96" s="226" t="s">
        <v>1337</v>
      </c>
      <c r="J96" s="226" t="s">
        <v>1287</v>
      </c>
      <c r="K96" s="227">
        <v>46091.020833333336</v>
      </c>
      <c r="L96" s="227">
        <v>46091.0625</v>
      </c>
      <c r="M96" s="226"/>
      <c r="N96" s="226"/>
      <c r="O96" s="226" t="s">
        <v>1339</v>
      </c>
      <c r="P96" s="227">
        <v>46109.229166666664</v>
      </c>
      <c r="Q96" s="226">
        <v>8</v>
      </c>
      <c r="R96" s="226"/>
      <c r="S96" s="226">
        <v>1</v>
      </c>
      <c r="T96" s="226"/>
      <c r="U96" s="226" t="s">
        <v>1</v>
      </c>
      <c r="V96" s="226" t="s">
        <v>1</v>
      </c>
      <c r="W96" s="226" t="s">
        <v>1289</v>
      </c>
      <c r="X96" s="227">
        <v>46064.989583333336</v>
      </c>
      <c r="Y96" s="226" t="s">
        <v>1137</v>
      </c>
      <c r="Z96" s="226" t="s">
        <v>1338</v>
      </c>
      <c r="AA96" s="226" t="s">
        <v>1264</v>
      </c>
      <c r="AB96" s="226"/>
      <c r="AC96" s="226"/>
      <c r="AD96" s="226" t="s">
        <v>1291</v>
      </c>
      <c r="AE96" s="226" t="s">
        <v>1202</v>
      </c>
    </row>
    <row r="97" spans="1:31">
      <c r="A97" s="226" t="s">
        <v>1336</v>
      </c>
      <c r="B97" s="226" t="s">
        <v>1194</v>
      </c>
      <c r="C97" s="226" t="s">
        <v>1195</v>
      </c>
      <c r="D97" s="226" t="s">
        <v>1285</v>
      </c>
      <c r="E97" s="226">
        <v>4366165</v>
      </c>
      <c r="F97" s="226">
        <v>4362465</v>
      </c>
      <c r="G97" s="226" t="s">
        <v>202</v>
      </c>
      <c r="H97" s="226" t="s">
        <v>866</v>
      </c>
      <c r="I97" s="226" t="s">
        <v>1337</v>
      </c>
      <c r="J97" s="226" t="s">
        <v>1287</v>
      </c>
      <c r="K97" s="227">
        <v>46093.020833333336</v>
      </c>
      <c r="L97" s="227">
        <v>46093.666666666664</v>
      </c>
      <c r="M97" s="227"/>
      <c r="N97" s="227"/>
      <c r="O97" s="226" t="s">
        <v>1288</v>
      </c>
      <c r="P97" s="227">
        <v>46109.229166666664</v>
      </c>
      <c r="Q97" s="226">
        <v>8</v>
      </c>
      <c r="R97" s="226"/>
      <c r="S97" s="226">
        <v>1</v>
      </c>
      <c r="T97" s="226"/>
      <c r="U97" s="226" t="s">
        <v>1</v>
      </c>
      <c r="V97" s="226" t="s">
        <v>1</v>
      </c>
      <c r="W97" s="226" t="s">
        <v>1289</v>
      </c>
      <c r="X97" s="227">
        <v>46064.502083333333</v>
      </c>
      <c r="Y97" s="226" t="s">
        <v>1137</v>
      </c>
      <c r="Z97" s="226" t="s">
        <v>1338</v>
      </c>
      <c r="AA97" s="226" t="s">
        <v>1264</v>
      </c>
      <c r="AB97" s="226"/>
      <c r="AC97" s="226"/>
      <c r="AD97" s="226" t="s">
        <v>1291</v>
      </c>
      <c r="AE97" s="226" t="s">
        <v>1202</v>
      </c>
    </row>
    <row r="98" spans="1:31">
      <c r="A98" s="226" t="s">
        <v>1340</v>
      </c>
      <c r="B98" s="226" t="s">
        <v>1093</v>
      </c>
      <c r="C98" s="226" t="s">
        <v>1233</v>
      </c>
      <c r="D98" s="226" t="s">
        <v>1341</v>
      </c>
      <c r="E98" s="226">
        <v>4364026</v>
      </c>
      <c r="F98" s="226">
        <v>4364038</v>
      </c>
      <c r="G98" s="226" t="s">
        <v>805</v>
      </c>
      <c r="H98" s="226" t="s">
        <v>218</v>
      </c>
      <c r="I98" s="226" t="s">
        <v>1342</v>
      </c>
      <c r="J98" s="226" t="s">
        <v>1097</v>
      </c>
      <c r="K98" s="227">
        <v>46094.9375</v>
      </c>
      <c r="L98" s="227">
        <v>46094.693749999999</v>
      </c>
      <c r="M98" s="227">
        <v>46097.229166666664</v>
      </c>
      <c r="N98" s="227">
        <v>46098.03125</v>
      </c>
      <c r="O98" s="226" t="s">
        <v>1214</v>
      </c>
      <c r="P98" s="227">
        <v>46109.229166666664</v>
      </c>
      <c r="Q98" s="226">
        <v>5</v>
      </c>
      <c r="R98" s="226"/>
      <c r="S98" s="226">
        <v>2</v>
      </c>
      <c r="T98" s="226"/>
      <c r="U98" s="226" t="s">
        <v>1</v>
      </c>
      <c r="V98" s="226" t="s">
        <v>1</v>
      </c>
      <c r="W98" s="226" t="s">
        <v>1129</v>
      </c>
      <c r="X98" s="227">
        <v>46065.397916666669</v>
      </c>
      <c r="Y98" s="226" t="s">
        <v>1244</v>
      </c>
      <c r="Z98" s="226" t="s">
        <v>1343</v>
      </c>
      <c r="AA98" s="226" t="s">
        <v>1106</v>
      </c>
      <c r="AB98" s="226"/>
      <c r="AC98" s="226"/>
      <c r="AD98" s="226" t="s">
        <v>1344</v>
      </c>
      <c r="AE98" s="226" t="s">
        <v>1300</v>
      </c>
    </row>
    <row r="99" spans="1:31">
      <c r="A99" s="226" t="s">
        <v>1345</v>
      </c>
      <c r="B99" s="226" t="s">
        <v>1093</v>
      </c>
      <c r="C99" s="226" t="s">
        <v>1233</v>
      </c>
      <c r="D99" s="226" t="s">
        <v>1306</v>
      </c>
      <c r="E99" s="226">
        <v>4371602</v>
      </c>
      <c r="F99" s="226">
        <v>4362959</v>
      </c>
      <c r="G99" s="226" t="s">
        <v>1346</v>
      </c>
      <c r="H99" s="226" t="s">
        <v>1347</v>
      </c>
      <c r="I99" s="226" t="s">
        <v>1342</v>
      </c>
      <c r="J99" s="226" t="s">
        <v>1097</v>
      </c>
      <c r="K99" s="227">
        <v>46087.979166666664</v>
      </c>
      <c r="L99" s="227">
        <v>46087.761805555558</v>
      </c>
      <c r="M99" s="227">
        <v>46093.229166666664</v>
      </c>
      <c r="N99" s="227">
        <v>46094.6875</v>
      </c>
      <c r="O99" s="226" t="s">
        <v>1098</v>
      </c>
      <c r="P99" s="227">
        <v>46109.229166666664</v>
      </c>
      <c r="Q99" s="226">
        <v>5</v>
      </c>
      <c r="R99" s="226"/>
      <c r="S99" s="226">
        <v>2</v>
      </c>
      <c r="T99" s="226"/>
      <c r="U99" s="226" t="s">
        <v>1</v>
      </c>
      <c r="V99" s="226" t="s">
        <v>1</v>
      </c>
      <c r="W99" s="226" t="s">
        <v>1297</v>
      </c>
      <c r="X99" s="227">
        <v>46064.652083333334</v>
      </c>
      <c r="Y99" s="226" t="s">
        <v>1244</v>
      </c>
      <c r="Z99" s="226" t="s">
        <v>1343</v>
      </c>
      <c r="AA99" s="226" t="s">
        <v>1348</v>
      </c>
      <c r="AB99" s="226"/>
      <c r="AC99" s="226"/>
      <c r="AD99" s="226" t="s">
        <v>1306</v>
      </c>
      <c r="AE99" s="226" t="s">
        <v>1300</v>
      </c>
    </row>
    <row r="100" spans="1:31">
      <c r="A100" s="226" t="s">
        <v>1340</v>
      </c>
      <c r="B100" s="226" t="s">
        <v>1093</v>
      </c>
      <c r="C100" s="226" t="s">
        <v>1233</v>
      </c>
      <c r="D100" s="226" t="s">
        <v>1349</v>
      </c>
      <c r="E100" s="226">
        <v>4364026</v>
      </c>
      <c r="F100" s="226">
        <v>4364983</v>
      </c>
      <c r="G100" s="226" t="s">
        <v>804</v>
      </c>
      <c r="H100" s="226" t="s">
        <v>218</v>
      </c>
      <c r="I100" s="226" t="s">
        <v>1342</v>
      </c>
      <c r="J100" s="226" t="s">
        <v>1097</v>
      </c>
      <c r="K100" s="227">
        <v>46094.9375</v>
      </c>
      <c r="L100" s="227">
        <v>46094.693749999999</v>
      </c>
      <c r="M100" s="227">
        <v>46097.229166666664</v>
      </c>
      <c r="N100" s="227">
        <v>46098.020833333336</v>
      </c>
      <c r="O100" s="226" t="s">
        <v>1214</v>
      </c>
      <c r="P100" s="227">
        <v>46109.229166666664</v>
      </c>
      <c r="Q100" s="226">
        <v>5</v>
      </c>
      <c r="R100" s="226"/>
      <c r="S100" s="226">
        <v>2</v>
      </c>
      <c r="T100" s="226"/>
      <c r="U100" s="226" t="s">
        <v>1</v>
      </c>
      <c r="V100" s="226" t="s">
        <v>1</v>
      </c>
      <c r="W100" s="226" t="s">
        <v>1129</v>
      </c>
      <c r="X100" s="227">
        <v>46065.589583333334</v>
      </c>
      <c r="Y100" s="226" t="s">
        <v>1244</v>
      </c>
      <c r="Z100" s="226" t="s">
        <v>1343</v>
      </c>
      <c r="AA100" s="226" t="s">
        <v>1106</v>
      </c>
      <c r="AB100" s="226"/>
      <c r="AC100" s="226"/>
      <c r="AD100" s="226" t="s">
        <v>1350</v>
      </c>
      <c r="AE100" s="226" t="s">
        <v>1300</v>
      </c>
    </row>
    <row r="101" spans="1:31">
      <c r="A101" s="226" t="s">
        <v>1351</v>
      </c>
      <c r="B101" s="226" t="s">
        <v>1093</v>
      </c>
      <c r="C101" s="226" t="s">
        <v>1233</v>
      </c>
      <c r="D101" s="226" t="s">
        <v>1349</v>
      </c>
      <c r="E101" s="226">
        <v>4352766</v>
      </c>
      <c r="F101" s="226">
        <v>4361171</v>
      </c>
      <c r="G101" s="226" t="s">
        <v>836</v>
      </c>
      <c r="H101" s="226" t="s">
        <v>218</v>
      </c>
      <c r="I101" s="226" t="s">
        <v>1342</v>
      </c>
      <c r="J101" s="226" t="s">
        <v>1097</v>
      </c>
      <c r="K101" s="227">
        <v>46088.0625</v>
      </c>
      <c r="L101" s="227">
        <v>46085.718055555553</v>
      </c>
      <c r="M101" s="227">
        <v>46093.229166666664</v>
      </c>
      <c r="N101" s="227">
        <v>46093.875</v>
      </c>
      <c r="O101" s="226" t="s">
        <v>1098</v>
      </c>
      <c r="P101" s="227">
        <v>46109.229166666664</v>
      </c>
      <c r="Q101" s="226">
        <v>4</v>
      </c>
      <c r="R101" s="226"/>
      <c r="S101" s="226">
        <v>2</v>
      </c>
      <c r="T101" s="226"/>
      <c r="U101" s="226" t="s">
        <v>1</v>
      </c>
      <c r="V101" s="226" t="s">
        <v>1</v>
      </c>
      <c r="W101" s="226" t="s">
        <v>1129</v>
      </c>
      <c r="X101" s="227">
        <v>46063.673611111109</v>
      </c>
      <c r="Y101" s="226" t="s">
        <v>1352</v>
      </c>
      <c r="Z101" s="226" t="s">
        <v>1343</v>
      </c>
      <c r="AA101" s="226" t="s">
        <v>1106</v>
      </c>
      <c r="AB101" s="226"/>
      <c r="AC101" s="226"/>
      <c r="AD101" s="226" t="s">
        <v>1353</v>
      </c>
      <c r="AE101" s="226" t="s">
        <v>1300</v>
      </c>
    </row>
    <row r="102" spans="1:31">
      <c r="A102" s="226" t="s">
        <v>1351</v>
      </c>
      <c r="B102" s="226" t="s">
        <v>1093</v>
      </c>
      <c r="C102" s="226" t="s">
        <v>1233</v>
      </c>
      <c r="D102" s="226" t="s">
        <v>1349</v>
      </c>
      <c r="E102" s="226">
        <v>4352766</v>
      </c>
      <c r="F102" s="226">
        <v>4361207</v>
      </c>
      <c r="G102" s="226" t="s">
        <v>968</v>
      </c>
      <c r="H102" s="226" t="s">
        <v>218</v>
      </c>
      <c r="I102" s="226" t="s">
        <v>1342</v>
      </c>
      <c r="J102" s="226" t="s">
        <v>1229</v>
      </c>
      <c r="K102" s="227">
        <v>46088.0625</v>
      </c>
      <c r="L102" s="227">
        <v>46085.717361111114</v>
      </c>
      <c r="M102" s="227">
        <v>46094.229166666664</v>
      </c>
      <c r="N102" s="227">
        <v>46092.95</v>
      </c>
      <c r="O102" s="226" t="s">
        <v>1296</v>
      </c>
      <c r="P102" s="227">
        <v>46109.229166666664</v>
      </c>
      <c r="Q102" s="226">
        <v>4</v>
      </c>
      <c r="R102" s="226"/>
      <c r="S102" s="226">
        <v>2</v>
      </c>
      <c r="T102" s="226"/>
      <c r="U102" s="226" t="s">
        <v>1</v>
      </c>
      <c r="V102" s="226" t="s">
        <v>1</v>
      </c>
      <c r="W102" s="226" t="s">
        <v>1129</v>
      </c>
      <c r="X102" s="227">
        <v>46063.679861111108</v>
      </c>
      <c r="Y102" s="226" t="s">
        <v>1352</v>
      </c>
      <c r="Z102" s="226" t="s">
        <v>1343</v>
      </c>
      <c r="AA102" s="226" t="s">
        <v>1106</v>
      </c>
      <c r="AB102" s="226"/>
      <c r="AC102" s="226"/>
      <c r="AD102" s="226" t="s">
        <v>1353</v>
      </c>
      <c r="AE102" s="226" t="s">
        <v>1300</v>
      </c>
    </row>
    <row r="103" spans="1:31">
      <c r="A103" s="226" t="s">
        <v>1351</v>
      </c>
      <c r="B103" s="226" t="s">
        <v>1093</v>
      </c>
      <c r="C103" s="226" t="s">
        <v>1233</v>
      </c>
      <c r="D103" s="226" t="s">
        <v>1349</v>
      </c>
      <c r="E103" s="226">
        <v>4352766</v>
      </c>
      <c r="F103" s="226">
        <v>4361245</v>
      </c>
      <c r="G103" s="226" t="s">
        <v>830</v>
      </c>
      <c r="H103" s="226" t="s">
        <v>866</v>
      </c>
      <c r="I103" s="226" t="s">
        <v>1342</v>
      </c>
      <c r="J103" s="226" t="s">
        <v>1097</v>
      </c>
      <c r="K103" s="227">
        <v>46088.0625</v>
      </c>
      <c r="L103" s="227">
        <v>46087.691666666666</v>
      </c>
      <c r="M103" s="227">
        <v>46093.229166666664</v>
      </c>
      <c r="N103" s="227">
        <v>46092.98333333333</v>
      </c>
      <c r="O103" s="226" t="s">
        <v>1098</v>
      </c>
      <c r="P103" s="227">
        <v>46109.229166666664</v>
      </c>
      <c r="Q103" s="226">
        <v>4</v>
      </c>
      <c r="R103" s="226"/>
      <c r="S103" s="226">
        <v>2</v>
      </c>
      <c r="T103" s="226"/>
      <c r="U103" s="226" t="s">
        <v>1</v>
      </c>
      <c r="V103" s="226" t="s">
        <v>1</v>
      </c>
      <c r="W103" s="226" t="s">
        <v>1129</v>
      </c>
      <c r="X103" s="227">
        <v>46063.683333333334</v>
      </c>
      <c r="Y103" s="226" t="s">
        <v>1352</v>
      </c>
      <c r="Z103" s="226" t="s">
        <v>1343</v>
      </c>
      <c r="AA103" s="226" t="s">
        <v>1106</v>
      </c>
      <c r="AB103" s="226"/>
      <c r="AC103" s="226"/>
      <c r="AD103" s="226" t="s">
        <v>1353</v>
      </c>
      <c r="AE103" s="226" t="s">
        <v>1300</v>
      </c>
    </row>
    <row r="104" spans="1:31">
      <c r="A104" s="226" t="s">
        <v>1351</v>
      </c>
      <c r="B104" s="226" t="s">
        <v>1093</v>
      </c>
      <c r="C104" s="226" t="s">
        <v>1233</v>
      </c>
      <c r="D104" s="226" t="s">
        <v>1349</v>
      </c>
      <c r="E104" s="226">
        <v>4352766</v>
      </c>
      <c r="F104" s="226">
        <v>4352776</v>
      </c>
      <c r="G104" s="226" t="s">
        <v>800</v>
      </c>
      <c r="H104" s="226" t="s">
        <v>218</v>
      </c>
      <c r="I104" s="226" t="s">
        <v>1342</v>
      </c>
      <c r="J104" s="226" t="s">
        <v>1097</v>
      </c>
      <c r="K104" s="227">
        <v>46088.0625</v>
      </c>
      <c r="L104" s="227">
        <v>46085.711111111108</v>
      </c>
      <c r="M104" s="227">
        <v>46091.020833333336</v>
      </c>
      <c r="N104" s="227">
        <v>46092.786111111112</v>
      </c>
      <c r="O104" s="226" t="s">
        <v>1098</v>
      </c>
      <c r="P104" s="227">
        <v>46109.229166666664</v>
      </c>
      <c r="Q104" s="226">
        <v>4</v>
      </c>
      <c r="R104" s="226"/>
      <c r="S104" s="226">
        <v>2</v>
      </c>
      <c r="T104" s="226"/>
      <c r="U104" s="226" t="s">
        <v>1</v>
      </c>
      <c r="V104" s="226" t="s">
        <v>1</v>
      </c>
      <c r="W104" s="226" t="s">
        <v>1129</v>
      </c>
      <c r="X104" s="227">
        <v>46056.640277777777</v>
      </c>
      <c r="Y104" s="226" t="s">
        <v>1352</v>
      </c>
      <c r="Z104" s="226" t="s">
        <v>1343</v>
      </c>
      <c r="AA104" s="226" t="s">
        <v>1106</v>
      </c>
      <c r="AB104" s="226"/>
      <c r="AC104" s="226"/>
      <c r="AD104" s="226" t="s">
        <v>1353</v>
      </c>
      <c r="AE104" s="226" t="s">
        <v>1300</v>
      </c>
    </row>
    <row r="105" spans="1:31">
      <c r="A105" s="226" t="s">
        <v>1354</v>
      </c>
      <c r="B105" s="226" t="s">
        <v>1123</v>
      </c>
      <c r="C105" s="226" t="s">
        <v>1149</v>
      </c>
      <c r="D105" s="226" t="s">
        <v>1355</v>
      </c>
      <c r="E105" s="226">
        <v>4344500</v>
      </c>
      <c r="F105" s="226">
        <v>4374045</v>
      </c>
      <c r="G105" s="226" t="s">
        <v>474</v>
      </c>
      <c r="H105" s="226" t="s">
        <v>218</v>
      </c>
      <c r="I105" s="226" t="s">
        <v>1342</v>
      </c>
      <c r="J105" s="226" t="s">
        <v>1127</v>
      </c>
      <c r="K105" s="227">
        <v>46093.0625</v>
      </c>
      <c r="L105" s="227">
        <v>46093.791666666664</v>
      </c>
      <c r="M105" s="227">
        <v>46097.229166666664</v>
      </c>
      <c r="N105" s="227">
        <v>46097.907638888886</v>
      </c>
      <c r="O105" s="226" t="s">
        <v>1214</v>
      </c>
      <c r="P105" s="227">
        <v>46109.229166666664</v>
      </c>
      <c r="Q105" s="226">
        <v>5</v>
      </c>
      <c r="R105" s="226"/>
      <c r="S105" s="226">
        <v>2</v>
      </c>
      <c r="T105" s="226"/>
      <c r="U105" s="226" t="s">
        <v>1</v>
      </c>
      <c r="V105" s="226" t="s">
        <v>1</v>
      </c>
      <c r="W105" s="226" t="s">
        <v>1153</v>
      </c>
      <c r="X105" s="227">
        <v>46072.515972222223</v>
      </c>
      <c r="Y105" s="226"/>
      <c r="Z105" s="226" t="s">
        <v>1343</v>
      </c>
      <c r="AA105" s="226" t="s">
        <v>1356</v>
      </c>
      <c r="AB105" s="226"/>
      <c r="AC105" s="226"/>
      <c r="AD105" s="226" t="s">
        <v>1357</v>
      </c>
      <c r="AE105" s="226" t="s">
        <v>1300</v>
      </c>
    </row>
    <row r="106" spans="1:31">
      <c r="A106" s="226" t="s">
        <v>1358</v>
      </c>
      <c r="B106" s="226" t="s">
        <v>1093</v>
      </c>
      <c r="C106" s="226" t="s">
        <v>1233</v>
      </c>
      <c r="D106" s="226" t="s">
        <v>1349</v>
      </c>
      <c r="E106" s="226">
        <v>4378855</v>
      </c>
      <c r="F106" s="226">
        <v>4378856</v>
      </c>
      <c r="G106" s="226" t="s">
        <v>834</v>
      </c>
      <c r="H106" s="226" t="s">
        <v>866</v>
      </c>
      <c r="I106" s="226" t="s">
        <v>1342</v>
      </c>
      <c r="J106" s="226" t="s">
        <v>1097</v>
      </c>
      <c r="K106" s="227">
        <v>46092.9375</v>
      </c>
      <c r="L106" s="227">
        <v>46092.104166666664</v>
      </c>
      <c r="M106" s="227">
        <v>46097.229166666664</v>
      </c>
      <c r="N106" s="227">
        <v>46099.046527777777</v>
      </c>
      <c r="O106" s="226" t="s">
        <v>1098</v>
      </c>
      <c r="P106" s="227">
        <v>46109.229166666664</v>
      </c>
      <c r="Q106" s="226">
        <v>4</v>
      </c>
      <c r="R106" s="226"/>
      <c r="S106" s="226">
        <v>2</v>
      </c>
      <c r="T106" s="226"/>
      <c r="U106" s="226" t="s">
        <v>1</v>
      </c>
      <c r="V106" s="226" t="s">
        <v>1</v>
      </c>
      <c r="W106" s="226" t="s">
        <v>1129</v>
      </c>
      <c r="X106" s="227">
        <v>46072.706250000003</v>
      </c>
      <c r="Y106" s="226" t="s">
        <v>1244</v>
      </c>
      <c r="Z106" s="226" t="s">
        <v>1343</v>
      </c>
      <c r="AA106" s="226" t="s">
        <v>1106</v>
      </c>
      <c r="AB106" s="226"/>
      <c r="AC106" s="226"/>
      <c r="AD106" s="226" t="s">
        <v>1359</v>
      </c>
      <c r="AE106" s="226" t="s">
        <v>1300</v>
      </c>
    </row>
    <row r="107" spans="1:31">
      <c r="A107" s="226" t="s">
        <v>1277</v>
      </c>
      <c r="B107" s="226" t="s">
        <v>1123</v>
      </c>
      <c r="C107" s="226" t="s">
        <v>1149</v>
      </c>
      <c r="D107" s="226" t="s">
        <v>1278</v>
      </c>
      <c r="E107" s="226">
        <v>4386527</v>
      </c>
      <c r="F107" s="226">
        <v>4391655</v>
      </c>
      <c r="G107" s="226" t="s">
        <v>1360</v>
      </c>
      <c r="H107" s="226" t="s">
        <v>218</v>
      </c>
      <c r="I107" s="226" t="s">
        <v>1342</v>
      </c>
      <c r="J107" s="226" t="s">
        <v>1097</v>
      </c>
      <c r="K107" s="227">
        <v>46092.9375</v>
      </c>
      <c r="L107" s="227">
        <v>46092.730555555558</v>
      </c>
      <c r="M107" s="227">
        <v>46097.229166666664</v>
      </c>
      <c r="N107" s="227">
        <v>46097.899305555555</v>
      </c>
      <c r="O107" s="226" t="s">
        <v>1098</v>
      </c>
      <c r="P107" s="227">
        <v>46109.229166666664</v>
      </c>
      <c r="Q107" s="226">
        <v>6</v>
      </c>
      <c r="R107" s="226"/>
      <c r="S107" s="226">
        <v>2</v>
      </c>
      <c r="T107" s="226"/>
      <c r="U107" s="226" t="s">
        <v>1</v>
      </c>
      <c r="V107" s="226" t="s">
        <v>1</v>
      </c>
      <c r="W107" s="226" t="s">
        <v>1280</v>
      </c>
      <c r="X107" s="227">
        <v>46078.609027777777</v>
      </c>
      <c r="Y107" s="226"/>
      <c r="Z107" s="226" t="s">
        <v>1343</v>
      </c>
      <c r="AA107" s="226" t="s">
        <v>1356</v>
      </c>
      <c r="AB107" s="226"/>
      <c r="AC107" s="226"/>
      <c r="AD107" s="226" t="s">
        <v>1281</v>
      </c>
      <c r="AE107" s="226" t="s">
        <v>1300</v>
      </c>
    </row>
    <row r="108" spans="1:31">
      <c r="A108" s="226" t="s">
        <v>1204</v>
      </c>
      <c r="B108" s="226" t="s">
        <v>1194</v>
      </c>
      <c r="C108" s="226" t="s">
        <v>1194</v>
      </c>
      <c r="D108" s="226" t="s">
        <v>1205</v>
      </c>
      <c r="E108" s="226">
        <v>4330994</v>
      </c>
      <c r="F108" s="226">
        <v>4416161</v>
      </c>
      <c r="G108" s="226" t="s">
        <v>1361</v>
      </c>
      <c r="H108" s="226" t="s">
        <v>218</v>
      </c>
      <c r="I108" s="226" t="s">
        <v>1342</v>
      </c>
      <c r="J108" s="226" t="s">
        <v>1097</v>
      </c>
      <c r="K108" s="227">
        <v>46094.729166666664</v>
      </c>
      <c r="L108" s="227">
        <v>46094.936805555553</v>
      </c>
      <c r="M108" s="227">
        <v>46098.229166666664</v>
      </c>
      <c r="N108" s="227">
        <v>46099.011111111111</v>
      </c>
      <c r="O108" s="226" t="s">
        <v>1208</v>
      </c>
      <c r="P108" s="227">
        <v>46109.229166666664</v>
      </c>
      <c r="Q108" s="226"/>
      <c r="R108" s="226"/>
      <c r="S108" s="226">
        <v>2</v>
      </c>
      <c r="T108" s="226"/>
      <c r="U108" s="226" t="s">
        <v>1</v>
      </c>
      <c r="V108" s="226" t="s">
        <v>1</v>
      </c>
      <c r="W108" s="226" t="s">
        <v>1198</v>
      </c>
      <c r="X108" s="227">
        <v>46091.463194444441</v>
      </c>
      <c r="Y108" s="226" t="s">
        <v>1362</v>
      </c>
      <c r="Z108" s="226" t="s">
        <v>1343</v>
      </c>
      <c r="AA108" s="226" t="s">
        <v>1156</v>
      </c>
      <c r="AB108" s="226"/>
      <c r="AC108" s="226"/>
      <c r="AD108" s="226" t="s">
        <v>1211</v>
      </c>
      <c r="AE108" s="226" t="s">
        <v>1363</v>
      </c>
    </row>
    <row r="109" spans="1:31">
      <c r="A109" s="226" t="s">
        <v>1242</v>
      </c>
      <c r="B109" s="226" t="s">
        <v>1123</v>
      </c>
      <c r="C109" s="226" t="s">
        <v>1195</v>
      </c>
      <c r="D109" s="226" t="s">
        <v>1243</v>
      </c>
      <c r="E109" s="226">
        <v>4317244</v>
      </c>
      <c r="F109" s="226">
        <v>4416088</v>
      </c>
      <c r="G109" s="226" t="s">
        <v>840</v>
      </c>
      <c r="H109" s="226" t="s">
        <v>218</v>
      </c>
      <c r="I109" s="226" t="s">
        <v>1342</v>
      </c>
      <c r="J109" s="226" t="s">
        <v>1097</v>
      </c>
      <c r="K109" s="227">
        <v>46094.729166666664</v>
      </c>
      <c r="L109" s="227">
        <v>46094.876388888886</v>
      </c>
      <c r="M109" s="227">
        <v>46098.229166666664</v>
      </c>
      <c r="N109" s="227">
        <v>46099.032638888886</v>
      </c>
      <c r="O109" s="226" t="s">
        <v>1098</v>
      </c>
      <c r="P109" s="227">
        <v>46109.229166666664</v>
      </c>
      <c r="Q109" s="226"/>
      <c r="R109" s="226"/>
      <c r="S109" s="226">
        <v>2</v>
      </c>
      <c r="T109" s="226"/>
      <c r="U109" s="226" t="s">
        <v>1</v>
      </c>
      <c r="V109" s="226" t="s">
        <v>1</v>
      </c>
      <c r="W109" s="226" t="s">
        <v>1198</v>
      </c>
      <c r="X109" s="227">
        <v>46091.450694444444</v>
      </c>
      <c r="Y109" s="226" t="s">
        <v>1364</v>
      </c>
      <c r="Z109" s="226" t="s">
        <v>1343</v>
      </c>
      <c r="AA109" s="226" t="s">
        <v>1156</v>
      </c>
      <c r="AB109" s="226"/>
      <c r="AC109" s="226"/>
      <c r="AD109" s="226" t="s">
        <v>1245</v>
      </c>
      <c r="AE109" s="226" t="s">
        <v>1363</v>
      </c>
    </row>
    <row r="110" spans="1:31">
      <c r="A110" s="226" t="s">
        <v>1365</v>
      </c>
      <c r="B110" s="226" t="s">
        <v>1093</v>
      </c>
      <c r="C110" s="226" t="s">
        <v>1326</v>
      </c>
      <c r="D110" s="226" t="s">
        <v>1366</v>
      </c>
      <c r="E110" s="226">
        <v>4359602</v>
      </c>
      <c r="F110" s="226">
        <v>4360851</v>
      </c>
      <c r="G110" s="226" t="s">
        <v>858</v>
      </c>
      <c r="H110" s="226" t="s">
        <v>866</v>
      </c>
      <c r="I110" s="226" t="s">
        <v>1367</v>
      </c>
      <c r="J110" s="226" t="s">
        <v>1310</v>
      </c>
      <c r="K110" s="227">
        <v>46087.979166666664</v>
      </c>
      <c r="L110" s="227">
        <v>46085.035416666666</v>
      </c>
      <c r="M110" s="227">
        <v>46097.979166666664</v>
      </c>
      <c r="N110" s="227">
        <v>46094.995138888888</v>
      </c>
      <c r="O110" s="226" t="s">
        <v>1208</v>
      </c>
      <c r="P110" s="227">
        <v>46109.229166666664</v>
      </c>
      <c r="Q110" s="226">
        <v>3</v>
      </c>
      <c r="R110" s="226"/>
      <c r="S110" s="226">
        <v>2</v>
      </c>
      <c r="T110" s="226"/>
      <c r="U110" s="226" t="s">
        <v>1</v>
      </c>
      <c r="V110" s="226" t="s">
        <v>1118</v>
      </c>
      <c r="W110" s="226" t="s">
        <v>1105</v>
      </c>
      <c r="X110" s="227">
        <v>46063.601388888892</v>
      </c>
      <c r="Y110" s="226"/>
      <c r="Z110" s="226" t="s">
        <v>1368</v>
      </c>
      <c r="AA110" s="226" t="s">
        <v>1106</v>
      </c>
      <c r="AB110" s="226"/>
      <c r="AC110" s="226"/>
      <c r="AD110" s="226" t="s">
        <v>1369</v>
      </c>
      <c r="AE110" s="226" t="s">
        <v>1370</v>
      </c>
    </row>
    <row r="111" spans="1:31">
      <c r="A111" s="226" t="s">
        <v>1242</v>
      </c>
      <c r="B111" s="226" t="s">
        <v>1123</v>
      </c>
      <c r="C111" s="226" t="s">
        <v>1195</v>
      </c>
      <c r="D111" s="226" t="s">
        <v>1243</v>
      </c>
      <c r="E111" s="226">
        <v>4317244</v>
      </c>
      <c r="F111" s="226">
        <v>4266636</v>
      </c>
      <c r="G111" s="226" t="s">
        <v>1371</v>
      </c>
      <c r="H111" s="226" t="s">
        <v>218</v>
      </c>
      <c r="I111" s="226" t="s">
        <v>1372</v>
      </c>
      <c r="J111" s="226" t="s">
        <v>1127</v>
      </c>
      <c r="K111" s="227">
        <v>46091.229166666664</v>
      </c>
      <c r="L111" s="227">
        <v>46091.770833333336</v>
      </c>
      <c r="M111" s="227">
        <v>46097.229166666664</v>
      </c>
      <c r="N111" s="227">
        <v>46098.010416666664</v>
      </c>
      <c r="O111" s="226" t="s">
        <v>1214</v>
      </c>
      <c r="P111" s="227">
        <v>46109.229166666664</v>
      </c>
      <c r="Q111" s="226">
        <v>8</v>
      </c>
      <c r="R111" s="226"/>
      <c r="S111" s="226">
        <v>2</v>
      </c>
      <c r="T111" s="226"/>
      <c r="U111" s="226" t="s">
        <v>1</v>
      </c>
      <c r="V111" s="226" t="s">
        <v>1</v>
      </c>
      <c r="W111" s="226" t="s">
        <v>1198</v>
      </c>
      <c r="X111" s="227">
        <v>45993.449305555558</v>
      </c>
      <c r="Y111" s="226" t="s">
        <v>1244</v>
      </c>
      <c r="Z111" s="226" t="s">
        <v>1373</v>
      </c>
      <c r="AA111" s="226" t="s">
        <v>1156</v>
      </c>
      <c r="AB111" s="226"/>
      <c r="AC111" s="226"/>
      <c r="AD111" s="226" t="s">
        <v>1245</v>
      </c>
      <c r="AE111" s="226" t="s">
        <v>1132</v>
      </c>
    </row>
    <row r="112" spans="1:31">
      <c r="A112" s="226" t="s">
        <v>1242</v>
      </c>
      <c r="B112" s="226" t="s">
        <v>1123</v>
      </c>
      <c r="C112" s="226" t="s">
        <v>1195</v>
      </c>
      <c r="D112" s="226" t="s">
        <v>1243</v>
      </c>
      <c r="E112" s="226">
        <v>4317244</v>
      </c>
      <c r="F112" s="226">
        <v>3997998</v>
      </c>
      <c r="G112" s="226" t="s">
        <v>292</v>
      </c>
      <c r="H112" s="226" t="s">
        <v>218</v>
      </c>
      <c r="I112" s="226" t="s">
        <v>1372</v>
      </c>
      <c r="J112" s="226" t="s">
        <v>1207</v>
      </c>
      <c r="K112" s="227">
        <v>46092.229166666664</v>
      </c>
      <c r="L112" s="227">
        <v>46092.986805555556</v>
      </c>
      <c r="M112" s="227">
        <v>46097.979166666664</v>
      </c>
      <c r="N112" s="227">
        <v>46097.954861111109</v>
      </c>
      <c r="O112" s="226" t="s">
        <v>1214</v>
      </c>
      <c r="P112" s="227">
        <v>46109.229166666664</v>
      </c>
      <c r="Q112" s="226">
        <v>5</v>
      </c>
      <c r="R112" s="226"/>
      <c r="S112" s="226">
        <v>2</v>
      </c>
      <c r="T112" s="226"/>
      <c r="U112" s="226" t="s">
        <v>1</v>
      </c>
      <c r="V112" s="226" t="s">
        <v>1</v>
      </c>
      <c r="W112" s="226" t="s">
        <v>1268</v>
      </c>
      <c r="X112" s="227">
        <v>45812.459027777775</v>
      </c>
      <c r="Y112" s="226" t="s">
        <v>1244</v>
      </c>
      <c r="Z112" s="226" t="s">
        <v>1373</v>
      </c>
      <c r="AA112" s="226" t="s">
        <v>1156</v>
      </c>
      <c r="AB112" s="226"/>
      <c r="AC112" s="226"/>
      <c r="AD112" s="226" t="s">
        <v>1245</v>
      </c>
      <c r="AE112" s="226" t="s">
        <v>1132</v>
      </c>
    </row>
    <row r="113" spans="1:31">
      <c r="A113" s="226" t="s">
        <v>1242</v>
      </c>
      <c r="B113" s="226" t="s">
        <v>1123</v>
      </c>
      <c r="C113" s="226" t="s">
        <v>1195</v>
      </c>
      <c r="D113" s="226" t="s">
        <v>1243</v>
      </c>
      <c r="E113" s="226">
        <v>4317244</v>
      </c>
      <c r="F113" s="226">
        <v>4174505</v>
      </c>
      <c r="G113" s="226" t="s">
        <v>430</v>
      </c>
      <c r="H113" s="226" t="s">
        <v>218</v>
      </c>
      <c r="I113" s="226" t="s">
        <v>1372</v>
      </c>
      <c r="J113" s="226" t="s">
        <v>1127</v>
      </c>
      <c r="K113" s="227">
        <v>46092.229166666664</v>
      </c>
      <c r="L113" s="227">
        <v>46092.925694444442</v>
      </c>
      <c r="M113" s="227">
        <v>46097.229166666664</v>
      </c>
      <c r="N113" s="227">
        <v>46098.042361111111</v>
      </c>
      <c r="O113" s="226" t="s">
        <v>1214</v>
      </c>
      <c r="P113" s="227">
        <v>46109.229166666664</v>
      </c>
      <c r="Q113" s="226">
        <v>8</v>
      </c>
      <c r="R113" s="226"/>
      <c r="S113" s="226">
        <v>2</v>
      </c>
      <c r="T113" s="226"/>
      <c r="U113" s="226" t="s">
        <v>1</v>
      </c>
      <c r="V113" s="226" t="s">
        <v>1</v>
      </c>
      <c r="W113" s="226" t="s">
        <v>1268</v>
      </c>
      <c r="X113" s="227">
        <v>45947.515277777777</v>
      </c>
      <c r="Y113" s="226"/>
      <c r="Z113" s="226" t="s">
        <v>1373</v>
      </c>
      <c r="AA113" s="226" t="s">
        <v>1156</v>
      </c>
      <c r="AB113" s="226"/>
      <c r="AC113" s="226"/>
      <c r="AD113" s="226" t="s">
        <v>1245</v>
      </c>
      <c r="AE113" s="226" t="s">
        <v>1132</v>
      </c>
    </row>
    <row r="114" spans="1:31">
      <c r="A114" s="226" t="s">
        <v>1374</v>
      </c>
      <c r="B114" s="226" t="s">
        <v>1123</v>
      </c>
      <c r="C114" s="226" t="s">
        <v>1375</v>
      </c>
      <c r="D114" s="226" t="s">
        <v>1376</v>
      </c>
      <c r="E114" s="226">
        <v>4139936</v>
      </c>
      <c r="F114" s="226">
        <v>4173931</v>
      </c>
      <c r="G114" s="226" t="s">
        <v>916</v>
      </c>
      <c r="H114" s="226" t="s">
        <v>218</v>
      </c>
      <c r="I114" s="226" t="s">
        <v>1377</v>
      </c>
      <c r="J114" s="226" t="s">
        <v>1378</v>
      </c>
      <c r="K114" s="227">
        <v>46092.229166666664</v>
      </c>
      <c r="L114" s="227">
        <v>46090.837500000001</v>
      </c>
      <c r="M114" s="227">
        <v>46097.229166666664</v>
      </c>
      <c r="N114" s="227">
        <v>46094.754861111112</v>
      </c>
      <c r="O114" s="226" t="s">
        <v>1296</v>
      </c>
      <c r="P114" s="227">
        <v>46109.229166666664</v>
      </c>
      <c r="Q114" s="226">
        <v>3</v>
      </c>
      <c r="R114" s="226"/>
      <c r="S114" s="226">
        <v>1</v>
      </c>
      <c r="T114" s="226"/>
      <c r="U114" s="226" t="s">
        <v>1</v>
      </c>
      <c r="V114" s="226" t="s">
        <v>1</v>
      </c>
      <c r="W114" s="226" t="s">
        <v>1379</v>
      </c>
      <c r="X114" s="227">
        <v>45946.720138888886</v>
      </c>
      <c r="Y114" s="226"/>
      <c r="Z114" s="226" t="s">
        <v>1380</v>
      </c>
      <c r="AA114" s="226" t="s">
        <v>1381</v>
      </c>
      <c r="AB114" s="226"/>
      <c r="AC114" s="226"/>
      <c r="AD114" s="226" t="s">
        <v>1382</v>
      </c>
      <c r="AE114" s="226" t="s">
        <v>1383</v>
      </c>
    </row>
    <row r="115" spans="1:31">
      <c r="A115" s="226" t="s">
        <v>1384</v>
      </c>
      <c r="B115" s="226" t="s">
        <v>1093</v>
      </c>
      <c r="C115" s="226" t="s">
        <v>1293</v>
      </c>
      <c r="D115" s="226" t="s">
        <v>1385</v>
      </c>
      <c r="E115" s="226">
        <v>4371605</v>
      </c>
      <c r="F115" s="226">
        <v>4365015</v>
      </c>
      <c r="G115" s="226" t="s">
        <v>973</v>
      </c>
      <c r="H115" s="226" t="s">
        <v>218</v>
      </c>
      <c r="I115" s="226" t="s">
        <v>1377</v>
      </c>
      <c r="J115" s="226" t="s">
        <v>1229</v>
      </c>
      <c r="K115" s="227">
        <v>46095.020833333336</v>
      </c>
      <c r="L115" s="227">
        <v>46084.905555555553</v>
      </c>
      <c r="M115" s="227">
        <v>46094.229166666664</v>
      </c>
      <c r="N115" s="227">
        <v>46094.94027777778</v>
      </c>
      <c r="O115" s="226" t="s">
        <v>1296</v>
      </c>
      <c r="P115" s="227">
        <v>46109.229166666664</v>
      </c>
      <c r="Q115" s="226">
        <v>1</v>
      </c>
      <c r="R115" s="226"/>
      <c r="S115" s="226">
        <v>2</v>
      </c>
      <c r="T115" s="226"/>
      <c r="U115" s="226" t="s">
        <v>1</v>
      </c>
      <c r="V115" s="226" t="s">
        <v>1</v>
      </c>
      <c r="W115" s="226" t="s">
        <v>1297</v>
      </c>
      <c r="X115" s="227">
        <v>46065.633333333331</v>
      </c>
      <c r="Y115" s="226" t="s">
        <v>1244</v>
      </c>
      <c r="Z115" s="226" t="s">
        <v>1380</v>
      </c>
      <c r="AA115" s="226" t="s">
        <v>1386</v>
      </c>
      <c r="AB115" s="226"/>
      <c r="AC115" s="226"/>
      <c r="AD115" s="226" t="s">
        <v>1385</v>
      </c>
      <c r="AE115" s="226" t="s">
        <v>1383</v>
      </c>
    </row>
    <row r="116" spans="1:31">
      <c r="A116" s="226" t="s">
        <v>1133</v>
      </c>
      <c r="B116" s="226" t="s">
        <v>1123</v>
      </c>
      <c r="C116" s="226" t="s">
        <v>1124</v>
      </c>
      <c r="D116" s="226" t="s">
        <v>1387</v>
      </c>
      <c r="E116" s="226">
        <v>4371748</v>
      </c>
      <c r="F116" s="226">
        <v>4371749</v>
      </c>
      <c r="G116" s="226" t="s">
        <v>463</v>
      </c>
      <c r="H116" s="226" t="s">
        <v>218</v>
      </c>
      <c r="I116" s="226" t="s">
        <v>1388</v>
      </c>
      <c r="J116" s="226" t="s">
        <v>1127</v>
      </c>
      <c r="K116" s="227">
        <v>46092.229166666664</v>
      </c>
      <c r="L116" s="227">
        <v>46083.693749999999</v>
      </c>
      <c r="M116" s="227">
        <v>46090.229166666664</v>
      </c>
      <c r="N116" s="227">
        <v>46090.931944444441</v>
      </c>
      <c r="O116" s="226" t="s">
        <v>1214</v>
      </c>
      <c r="P116" s="227">
        <v>46109.229166666664</v>
      </c>
      <c r="Q116" s="226">
        <v>5</v>
      </c>
      <c r="R116" s="226"/>
      <c r="S116" s="226">
        <v>2</v>
      </c>
      <c r="T116" s="226"/>
      <c r="U116" s="226" t="s">
        <v>1</v>
      </c>
      <c r="V116" s="226" t="s">
        <v>1118</v>
      </c>
      <c r="W116" s="226" t="s">
        <v>1129</v>
      </c>
      <c r="X116" s="227">
        <v>46070.738888888889</v>
      </c>
      <c r="Y116" s="226"/>
      <c r="Z116" s="226" t="s">
        <v>1389</v>
      </c>
      <c r="AA116" s="226" t="s">
        <v>1106</v>
      </c>
      <c r="AB116" s="226"/>
      <c r="AC116" s="226"/>
      <c r="AD116" s="226" t="s">
        <v>1390</v>
      </c>
      <c r="AE116" s="226" t="s">
        <v>1132</v>
      </c>
    </row>
    <row r="117" spans="1:31">
      <c r="A117" s="226" t="s">
        <v>1391</v>
      </c>
      <c r="B117" s="226" t="s">
        <v>1123</v>
      </c>
      <c r="C117" s="226" t="s">
        <v>1124</v>
      </c>
      <c r="D117" s="226" t="s">
        <v>23</v>
      </c>
      <c r="E117" s="226">
        <v>4378932</v>
      </c>
      <c r="F117" s="226">
        <v>4378933</v>
      </c>
      <c r="G117" s="226" t="s">
        <v>1392</v>
      </c>
      <c r="H117" s="226" t="s">
        <v>866</v>
      </c>
      <c r="I117" s="226" t="s">
        <v>1388</v>
      </c>
      <c r="J117" s="226" t="s">
        <v>1127</v>
      </c>
      <c r="K117" s="227">
        <v>46083.229166666664</v>
      </c>
      <c r="L117" s="227">
        <v>46084.974305555559</v>
      </c>
      <c r="M117" s="227">
        <v>46091.229166666664</v>
      </c>
      <c r="N117" s="227"/>
      <c r="O117" s="226" t="s">
        <v>1393</v>
      </c>
      <c r="P117" s="227">
        <v>46109.229166666664</v>
      </c>
      <c r="Q117" s="226">
        <v>5</v>
      </c>
      <c r="R117" s="226"/>
      <c r="S117" s="226">
        <v>2</v>
      </c>
      <c r="T117" s="226"/>
      <c r="U117" s="226" t="s">
        <v>1</v>
      </c>
      <c r="V117" s="226" t="s">
        <v>1</v>
      </c>
      <c r="W117" s="226" t="s">
        <v>1129</v>
      </c>
      <c r="X117" s="227">
        <v>46072.769444444442</v>
      </c>
      <c r="Y117" s="226" t="s">
        <v>1394</v>
      </c>
      <c r="Z117" s="226" t="s">
        <v>1389</v>
      </c>
      <c r="AA117" s="226" t="s">
        <v>1106</v>
      </c>
      <c r="AB117" s="226"/>
      <c r="AC117" s="226"/>
      <c r="AD117" s="226" t="s">
        <v>1395</v>
      </c>
      <c r="AE117" s="226" t="s">
        <v>1132</v>
      </c>
    </row>
    <row r="118" spans="1:31">
      <c r="A118" s="226" t="s">
        <v>1133</v>
      </c>
      <c r="B118" s="226" t="s">
        <v>1123</v>
      </c>
      <c r="C118" s="226" t="s">
        <v>1124</v>
      </c>
      <c r="D118" s="226" t="s">
        <v>23</v>
      </c>
      <c r="E118" s="226">
        <v>4371748</v>
      </c>
      <c r="F118" s="226">
        <v>4373585</v>
      </c>
      <c r="G118" s="226" t="s">
        <v>471</v>
      </c>
      <c r="H118" s="226" t="s">
        <v>218</v>
      </c>
      <c r="I118" s="226" t="s">
        <v>1388</v>
      </c>
      <c r="J118" s="226" t="s">
        <v>1127</v>
      </c>
      <c r="K118" s="227">
        <v>46092.229166666664</v>
      </c>
      <c r="L118" s="227">
        <v>46085.835416666669</v>
      </c>
      <c r="M118" s="227">
        <v>46097.229166666664</v>
      </c>
      <c r="N118" s="227">
        <v>46094.229166666664</v>
      </c>
      <c r="O118" s="226" t="s">
        <v>1214</v>
      </c>
      <c r="P118" s="227">
        <v>46109.229166666664</v>
      </c>
      <c r="Q118" s="226">
        <v>5</v>
      </c>
      <c r="R118" s="226"/>
      <c r="S118" s="226">
        <v>2</v>
      </c>
      <c r="T118" s="226"/>
      <c r="U118" s="226" t="s">
        <v>1</v>
      </c>
      <c r="V118" s="226" t="s">
        <v>1</v>
      </c>
      <c r="W118" s="226" t="s">
        <v>1129</v>
      </c>
      <c r="X118" s="227">
        <v>46072.040277777778</v>
      </c>
      <c r="Y118" s="226"/>
      <c r="Z118" s="226" t="s">
        <v>1389</v>
      </c>
      <c r="AA118" s="226" t="s">
        <v>1106</v>
      </c>
      <c r="AB118" s="226"/>
      <c r="AC118" s="226"/>
      <c r="AD118" s="226" t="s">
        <v>1396</v>
      </c>
      <c r="AE118" s="226" t="s">
        <v>1132</v>
      </c>
    </row>
    <row r="119" spans="1:31">
      <c r="A119" s="226" t="s">
        <v>1397</v>
      </c>
      <c r="B119" s="226" t="s">
        <v>1123</v>
      </c>
      <c r="C119" s="226" t="s">
        <v>1094</v>
      </c>
      <c r="D119" s="226" t="s">
        <v>1398</v>
      </c>
      <c r="E119" s="226">
        <v>4392680</v>
      </c>
      <c r="F119" s="226">
        <v>4391661</v>
      </c>
      <c r="G119" s="226" t="s">
        <v>751</v>
      </c>
      <c r="H119" s="226" t="s">
        <v>218</v>
      </c>
      <c r="I119" s="226" t="s">
        <v>1399</v>
      </c>
      <c r="J119" s="226" t="s">
        <v>1170</v>
      </c>
      <c r="K119" s="227">
        <v>46087.229166666664</v>
      </c>
      <c r="L119" s="227">
        <v>46087.229166666664</v>
      </c>
      <c r="M119" s="227">
        <v>46092.229166666664</v>
      </c>
      <c r="N119" s="227">
        <v>46097.90902777778</v>
      </c>
      <c r="O119" s="226" t="s">
        <v>1171</v>
      </c>
      <c r="P119" s="227">
        <v>46109.229166666664</v>
      </c>
      <c r="Q119" s="226">
        <v>3</v>
      </c>
      <c r="R119" s="226"/>
      <c r="S119" s="226">
        <v>2</v>
      </c>
      <c r="T119" s="226"/>
      <c r="U119" s="226" t="s">
        <v>1</v>
      </c>
      <c r="V119" s="226" t="s">
        <v>1</v>
      </c>
      <c r="W119" s="226" t="s">
        <v>1400</v>
      </c>
      <c r="X119" s="227">
        <v>46078.616666666669</v>
      </c>
      <c r="Y119" s="226" t="s">
        <v>1362</v>
      </c>
      <c r="Z119" s="226" t="s">
        <v>1401</v>
      </c>
      <c r="AA119" s="226" t="s">
        <v>1402</v>
      </c>
      <c r="AB119" s="226"/>
      <c r="AC119" s="226"/>
      <c r="AD119" s="226" t="s">
        <v>1403</v>
      </c>
      <c r="AE119" s="226" t="s">
        <v>1176</v>
      </c>
    </row>
    <row r="120" spans="1:31">
      <c r="A120" s="226" t="s">
        <v>1397</v>
      </c>
      <c r="B120" s="226" t="s">
        <v>1123</v>
      </c>
      <c r="C120" s="226" t="s">
        <v>1094</v>
      </c>
      <c r="D120" s="226" t="s">
        <v>1403</v>
      </c>
      <c r="E120" s="226">
        <v>4392680</v>
      </c>
      <c r="F120" s="226">
        <v>4392669</v>
      </c>
      <c r="G120" s="226" t="s">
        <v>1404</v>
      </c>
      <c r="H120" s="226" t="s">
        <v>218</v>
      </c>
      <c r="I120" s="226" t="s">
        <v>1399</v>
      </c>
      <c r="J120" s="226" t="s">
        <v>1170</v>
      </c>
      <c r="K120" s="227">
        <v>46087.229166666664</v>
      </c>
      <c r="L120" s="227">
        <v>46088.020833333336</v>
      </c>
      <c r="M120" s="227">
        <v>46092.229166666664</v>
      </c>
      <c r="N120" s="227">
        <v>46097.865277777775</v>
      </c>
      <c r="O120" s="226" t="s">
        <v>1171</v>
      </c>
      <c r="P120" s="227">
        <v>46109.229166666664</v>
      </c>
      <c r="Q120" s="226">
        <v>3</v>
      </c>
      <c r="R120" s="226"/>
      <c r="S120" s="226">
        <v>2</v>
      </c>
      <c r="T120" s="226"/>
      <c r="U120" s="226" t="s">
        <v>1</v>
      </c>
      <c r="V120" s="226" t="s">
        <v>1</v>
      </c>
      <c r="W120" s="226" t="s">
        <v>1400</v>
      </c>
      <c r="X120" s="227">
        <v>46078.941666666666</v>
      </c>
      <c r="Y120" s="226"/>
      <c r="Z120" s="226" t="s">
        <v>1401</v>
      </c>
      <c r="AA120" s="226" t="s">
        <v>1402</v>
      </c>
      <c r="AB120" s="226"/>
      <c r="AC120" s="226"/>
      <c r="AD120" s="226" t="s">
        <v>1405</v>
      </c>
      <c r="AE120" s="226" t="s">
        <v>1176</v>
      </c>
    </row>
    <row r="121" spans="1:31">
      <c r="A121" s="226" t="s">
        <v>1406</v>
      </c>
      <c r="B121" s="226" t="s">
        <v>1123</v>
      </c>
      <c r="C121" s="226" t="s">
        <v>1094</v>
      </c>
      <c r="D121" s="226" t="s">
        <v>1403</v>
      </c>
      <c r="E121" s="226">
        <v>4393835</v>
      </c>
      <c r="F121" s="226">
        <v>4392736</v>
      </c>
      <c r="G121" s="226" t="s">
        <v>1407</v>
      </c>
      <c r="H121" s="226" t="s">
        <v>218</v>
      </c>
      <c r="I121" s="226" t="s">
        <v>1399</v>
      </c>
      <c r="J121" s="226" t="s">
        <v>1170</v>
      </c>
      <c r="K121" s="227">
        <v>46090.950694444444</v>
      </c>
      <c r="L121" s="227">
        <v>46090.229166666664</v>
      </c>
      <c r="M121" s="227">
        <v>46094.229166666664</v>
      </c>
      <c r="N121" s="227">
        <v>46097.865277777775</v>
      </c>
      <c r="O121" s="226" t="s">
        <v>1171</v>
      </c>
      <c r="P121" s="227">
        <v>46109.229166666664</v>
      </c>
      <c r="Q121" s="226">
        <v>5</v>
      </c>
      <c r="R121" s="226"/>
      <c r="S121" s="226">
        <v>2</v>
      </c>
      <c r="T121" s="226"/>
      <c r="U121" s="226" t="s">
        <v>1</v>
      </c>
      <c r="V121" s="226" t="s">
        <v>1</v>
      </c>
      <c r="W121" s="226" t="s">
        <v>1400</v>
      </c>
      <c r="X121" s="227">
        <v>46078.98333333333</v>
      </c>
      <c r="Y121" s="226" t="s">
        <v>1408</v>
      </c>
      <c r="Z121" s="226" t="s">
        <v>1401</v>
      </c>
      <c r="AA121" s="226" t="s">
        <v>1402</v>
      </c>
      <c r="AB121" s="226"/>
      <c r="AC121" s="226"/>
      <c r="AD121" s="226" t="s">
        <v>1409</v>
      </c>
      <c r="AE121" s="226" t="s">
        <v>1176</v>
      </c>
    </row>
    <row r="122" spans="1:31">
      <c r="A122" s="226" t="s">
        <v>1406</v>
      </c>
      <c r="B122" s="226" t="s">
        <v>1123</v>
      </c>
      <c r="C122" s="226" t="s">
        <v>1094</v>
      </c>
      <c r="D122" s="226" t="s">
        <v>1403</v>
      </c>
      <c r="E122" s="226">
        <v>4393835</v>
      </c>
      <c r="F122" s="226">
        <v>4392742</v>
      </c>
      <c r="G122" s="226" t="s">
        <v>740</v>
      </c>
      <c r="H122" s="226" t="s">
        <v>218</v>
      </c>
      <c r="I122" s="226" t="s">
        <v>1399</v>
      </c>
      <c r="J122" s="226" t="s">
        <v>1170</v>
      </c>
      <c r="K122" s="227">
        <v>46090.229166666664</v>
      </c>
      <c r="L122" s="227">
        <v>46090.229166666664</v>
      </c>
      <c r="M122" s="227">
        <v>46092.229166666664</v>
      </c>
      <c r="N122" s="227">
        <v>46097.865277777775</v>
      </c>
      <c r="O122" s="226" t="s">
        <v>1171</v>
      </c>
      <c r="P122" s="227">
        <v>46109.229166666664</v>
      </c>
      <c r="Q122" s="226">
        <v>3</v>
      </c>
      <c r="R122" s="226"/>
      <c r="S122" s="226">
        <v>2</v>
      </c>
      <c r="T122" s="226"/>
      <c r="U122" s="226" t="s">
        <v>1</v>
      </c>
      <c r="V122" s="226" t="s">
        <v>1</v>
      </c>
      <c r="W122" s="226" t="s">
        <v>1400</v>
      </c>
      <c r="X122" s="227">
        <v>46078.994444444441</v>
      </c>
      <c r="Y122" s="226"/>
      <c r="Z122" s="226" t="s">
        <v>1401</v>
      </c>
      <c r="AA122" s="226" t="s">
        <v>1402</v>
      </c>
      <c r="AB122" s="226"/>
      <c r="AC122" s="226"/>
      <c r="AD122" s="226" t="s">
        <v>1410</v>
      </c>
      <c r="AE122" s="226" t="s">
        <v>1176</v>
      </c>
    </row>
    <row r="123" spans="1:31">
      <c r="A123" s="226" t="s">
        <v>1411</v>
      </c>
      <c r="B123" s="226" t="s">
        <v>1123</v>
      </c>
      <c r="C123" s="226" t="s">
        <v>1094</v>
      </c>
      <c r="D123" s="226" t="s">
        <v>1403</v>
      </c>
      <c r="E123" s="226">
        <v>4393838</v>
      </c>
      <c r="F123" s="226">
        <v>4393713</v>
      </c>
      <c r="G123" s="226" t="s">
        <v>753</v>
      </c>
      <c r="H123" s="226" t="s">
        <v>218</v>
      </c>
      <c r="I123" s="226" t="s">
        <v>1399</v>
      </c>
      <c r="J123" s="226" t="s">
        <v>1170</v>
      </c>
      <c r="K123" s="227">
        <v>46092.229166666664</v>
      </c>
      <c r="L123" s="227">
        <v>46093.229166666664</v>
      </c>
      <c r="M123" s="227">
        <v>46094.229166666664</v>
      </c>
      <c r="N123" s="227">
        <v>46097.679166666669</v>
      </c>
      <c r="O123" s="226" t="s">
        <v>1171</v>
      </c>
      <c r="P123" s="227">
        <v>46109.229166666664</v>
      </c>
      <c r="Q123" s="226">
        <v>5</v>
      </c>
      <c r="R123" s="226"/>
      <c r="S123" s="226">
        <v>2</v>
      </c>
      <c r="T123" s="226"/>
      <c r="U123" s="226" t="s">
        <v>1</v>
      </c>
      <c r="V123" s="226" t="s">
        <v>1</v>
      </c>
      <c r="W123" s="226" t="s">
        <v>1412</v>
      </c>
      <c r="X123" s="227">
        <v>46079.774305555555</v>
      </c>
      <c r="Y123" s="226" t="s">
        <v>1413</v>
      </c>
      <c r="Z123" s="226" t="s">
        <v>1401</v>
      </c>
      <c r="AA123" s="226" t="s">
        <v>1414</v>
      </c>
      <c r="AB123" s="226"/>
      <c r="AC123" s="226"/>
      <c r="AD123" s="226" t="s">
        <v>1415</v>
      </c>
      <c r="AE123" s="226" t="s">
        <v>1176</v>
      </c>
    </row>
    <row r="124" spans="1:31">
      <c r="A124" s="226" t="s">
        <v>1406</v>
      </c>
      <c r="B124" s="226" t="s">
        <v>1123</v>
      </c>
      <c r="C124" s="226" t="s">
        <v>1094</v>
      </c>
      <c r="D124" s="226" t="s">
        <v>1403</v>
      </c>
      <c r="E124" s="226">
        <v>4393835</v>
      </c>
      <c r="F124" s="226">
        <v>4393837</v>
      </c>
      <c r="G124" s="226" t="s">
        <v>756</v>
      </c>
      <c r="H124" s="226" t="s">
        <v>218</v>
      </c>
      <c r="I124" s="226" t="s">
        <v>1399</v>
      </c>
      <c r="J124" s="226" t="s">
        <v>1170</v>
      </c>
      <c r="K124" s="227">
        <v>46087.229166666664</v>
      </c>
      <c r="L124" s="227">
        <v>46087.229166666664</v>
      </c>
      <c r="M124" s="227">
        <v>46095.0625</v>
      </c>
      <c r="N124" s="227">
        <v>46097.761111111111</v>
      </c>
      <c r="O124" s="226" t="s">
        <v>1171</v>
      </c>
      <c r="P124" s="227">
        <v>46109.229166666664</v>
      </c>
      <c r="Q124" s="226">
        <v>5</v>
      </c>
      <c r="R124" s="226"/>
      <c r="S124" s="226">
        <v>2</v>
      </c>
      <c r="T124" s="226"/>
      <c r="U124" s="226" t="s">
        <v>1</v>
      </c>
      <c r="V124" s="226" t="s">
        <v>1</v>
      </c>
      <c r="W124" s="226" t="s">
        <v>1400</v>
      </c>
      <c r="X124" s="227">
        <v>46079.927777777775</v>
      </c>
      <c r="Y124" s="226" t="s">
        <v>1413</v>
      </c>
      <c r="Z124" s="226" t="s">
        <v>1401</v>
      </c>
      <c r="AA124" s="226" t="s">
        <v>1402</v>
      </c>
      <c r="AB124" s="226"/>
      <c r="AC124" s="226"/>
      <c r="AD124" s="226" t="s">
        <v>1416</v>
      </c>
      <c r="AE124" s="226" t="s">
        <v>1176</v>
      </c>
    </row>
    <row r="125" spans="1:31">
      <c r="A125" s="226" t="s">
        <v>1411</v>
      </c>
      <c r="B125" s="226" t="s">
        <v>1123</v>
      </c>
      <c r="C125" s="226" t="s">
        <v>1094</v>
      </c>
      <c r="D125" s="226" t="s">
        <v>1403</v>
      </c>
      <c r="E125" s="226">
        <v>4393838</v>
      </c>
      <c r="F125" s="226">
        <v>4393840</v>
      </c>
      <c r="G125" s="226" t="s">
        <v>759</v>
      </c>
      <c r="H125" s="226" t="s">
        <v>218</v>
      </c>
      <c r="I125" s="226" t="s">
        <v>1399</v>
      </c>
      <c r="J125" s="226" t="s">
        <v>1170</v>
      </c>
      <c r="K125" s="227">
        <v>46092.229166666664</v>
      </c>
      <c r="L125" s="227">
        <v>46093.229166666664</v>
      </c>
      <c r="M125" s="227">
        <v>46095.0625</v>
      </c>
      <c r="N125" s="227">
        <v>46097.788888888892</v>
      </c>
      <c r="O125" s="226" t="s">
        <v>1171</v>
      </c>
      <c r="P125" s="227">
        <v>46109.229166666664</v>
      </c>
      <c r="Q125" s="226">
        <v>3</v>
      </c>
      <c r="R125" s="226"/>
      <c r="S125" s="226">
        <v>2</v>
      </c>
      <c r="T125" s="226"/>
      <c r="U125" s="226" t="s">
        <v>1</v>
      </c>
      <c r="V125" s="226" t="s">
        <v>1</v>
      </c>
      <c r="W125" s="226" t="s">
        <v>1412</v>
      </c>
      <c r="X125" s="227">
        <v>46079.943749999999</v>
      </c>
      <c r="Y125" s="226" t="s">
        <v>1413</v>
      </c>
      <c r="Z125" s="226" t="s">
        <v>1401</v>
      </c>
      <c r="AA125" s="226" t="s">
        <v>1414</v>
      </c>
      <c r="AB125" s="226"/>
      <c r="AC125" s="226"/>
      <c r="AD125" s="226" t="s">
        <v>1415</v>
      </c>
      <c r="AE125" s="226" t="s">
        <v>1176</v>
      </c>
    </row>
    <row r="126" spans="1:31">
      <c r="A126" s="226" t="s">
        <v>1397</v>
      </c>
      <c r="B126" s="226" t="s">
        <v>1123</v>
      </c>
      <c r="C126" s="226" t="s">
        <v>1094</v>
      </c>
      <c r="D126" s="226" t="s">
        <v>1403</v>
      </c>
      <c r="E126" s="226">
        <v>4392680</v>
      </c>
      <c r="F126" s="226">
        <v>4393847</v>
      </c>
      <c r="G126" s="226" t="s">
        <v>760</v>
      </c>
      <c r="H126" s="226" t="s">
        <v>218</v>
      </c>
      <c r="I126" s="226" t="s">
        <v>1399</v>
      </c>
      <c r="J126" s="226" t="s">
        <v>1170</v>
      </c>
      <c r="K126" s="227">
        <v>46093.229166666664</v>
      </c>
      <c r="L126" s="227">
        <v>46093.229166666664</v>
      </c>
      <c r="M126" s="227">
        <v>46094.229166666664</v>
      </c>
      <c r="N126" s="227">
        <v>46097.786111111112</v>
      </c>
      <c r="O126" s="226" t="s">
        <v>1171</v>
      </c>
      <c r="P126" s="227">
        <v>46109.229166666664</v>
      </c>
      <c r="Q126" s="226">
        <v>5</v>
      </c>
      <c r="R126" s="226"/>
      <c r="S126" s="226">
        <v>2</v>
      </c>
      <c r="T126" s="226"/>
      <c r="U126" s="226" t="s">
        <v>1</v>
      </c>
      <c r="V126" s="226" t="s">
        <v>1</v>
      </c>
      <c r="W126" s="226" t="s">
        <v>1400</v>
      </c>
      <c r="X126" s="227">
        <v>46079.96597222222</v>
      </c>
      <c r="Y126" s="226" t="s">
        <v>1417</v>
      </c>
      <c r="Z126" s="226" t="s">
        <v>1401</v>
      </c>
      <c r="AA126" s="226" t="s">
        <v>1402</v>
      </c>
      <c r="AB126" s="226"/>
      <c r="AC126" s="226"/>
      <c r="AD126" s="226" t="s">
        <v>1418</v>
      </c>
      <c r="AE126" s="226" t="s">
        <v>1176</v>
      </c>
    </row>
    <row r="127" spans="1:31">
      <c r="A127" s="226" t="s">
        <v>1419</v>
      </c>
      <c r="B127" s="226" t="s">
        <v>1123</v>
      </c>
      <c r="C127" s="226" t="s">
        <v>1094</v>
      </c>
      <c r="D127" s="226" t="s">
        <v>1403</v>
      </c>
      <c r="E127" s="226">
        <v>4369470</v>
      </c>
      <c r="F127" s="226">
        <v>4389820</v>
      </c>
      <c r="G127" s="226" t="s">
        <v>723</v>
      </c>
      <c r="H127" s="226" t="s">
        <v>218</v>
      </c>
      <c r="I127" s="226" t="s">
        <v>1399</v>
      </c>
      <c r="J127" s="226" t="s">
        <v>1179</v>
      </c>
      <c r="K127" s="227">
        <v>46090.229166666664</v>
      </c>
      <c r="L127" s="227">
        <v>46090.229166666664</v>
      </c>
      <c r="M127" s="227">
        <v>46094.229166666664</v>
      </c>
      <c r="N127" s="227">
        <v>46097.671527777777</v>
      </c>
      <c r="O127" s="226" t="s">
        <v>1171</v>
      </c>
      <c r="P127" s="227">
        <v>46109.229166666664</v>
      </c>
      <c r="Q127" s="226">
        <v>5</v>
      </c>
      <c r="R127" s="226"/>
      <c r="S127" s="226">
        <v>2</v>
      </c>
      <c r="T127" s="226"/>
      <c r="U127" s="226" t="s">
        <v>1</v>
      </c>
      <c r="V127" s="226" t="s">
        <v>1</v>
      </c>
      <c r="W127" s="226" t="s">
        <v>1400</v>
      </c>
      <c r="X127" s="227">
        <v>46077.436111111114</v>
      </c>
      <c r="Y127" s="226" t="s">
        <v>1420</v>
      </c>
      <c r="Z127" s="226" t="s">
        <v>1401</v>
      </c>
      <c r="AA127" s="226" t="s">
        <v>1402</v>
      </c>
      <c r="AB127" s="226"/>
      <c r="AC127" s="226"/>
      <c r="AD127" s="226" t="s">
        <v>1421</v>
      </c>
      <c r="AE127" s="226" t="s">
        <v>1176</v>
      </c>
    </row>
    <row r="128" spans="1:31">
      <c r="A128" s="226" t="s">
        <v>1419</v>
      </c>
      <c r="B128" s="226" t="s">
        <v>1123</v>
      </c>
      <c r="C128" s="226" t="s">
        <v>1094</v>
      </c>
      <c r="D128" s="226" t="s">
        <v>1403</v>
      </c>
      <c r="E128" s="226">
        <v>4369470</v>
      </c>
      <c r="F128" s="226">
        <v>4389859</v>
      </c>
      <c r="G128" s="226" t="s">
        <v>1422</v>
      </c>
      <c r="H128" s="226" t="s">
        <v>218</v>
      </c>
      <c r="I128" s="226" t="s">
        <v>1399</v>
      </c>
      <c r="J128" s="226" t="s">
        <v>1179</v>
      </c>
      <c r="K128" s="227">
        <v>46091.229166666664</v>
      </c>
      <c r="L128" s="227">
        <v>46092.0625</v>
      </c>
      <c r="M128" s="227">
        <v>46094.229166666664</v>
      </c>
      <c r="N128" s="227">
        <v>46097.675000000003</v>
      </c>
      <c r="O128" s="226" t="s">
        <v>1171</v>
      </c>
      <c r="P128" s="227">
        <v>46109.229166666664</v>
      </c>
      <c r="Q128" s="226">
        <v>5</v>
      </c>
      <c r="R128" s="226"/>
      <c r="S128" s="226">
        <v>2</v>
      </c>
      <c r="T128" s="226"/>
      <c r="U128" s="226" t="s">
        <v>1</v>
      </c>
      <c r="V128" s="226" t="s">
        <v>1</v>
      </c>
      <c r="W128" s="226" t="s">
        <v>1400</v>
      </c>
      <c r="X128" s="227">
        <v>46077.461805555555</v>
      </c>
      <c r="Y128" s="226" t="s">
        <v>1423</v>
      </c>
      <c r="Z128" s="226" t="s">
        <v>1401</v>
      </c>
      <c r="AA128" s="226" t="s">
        <v>1402</v>
      </c>
      <c r="AB128" s="226"/>
      <c r="AC128" s="226"/>
      <c r="AD128" s="226" t="s">
        <v>1421</v>
      </c>
      <c r="AE128" s="226" t="s">
        <v>1176</v>
      </c>
    </row>
    <row r="129" spans="1:31">
      <c r="A129" s="226" t="s">
        <v>1397</v>
      </c>
      <c r="B129" s="226" t="s">
        <v>1123</v>
      </c>
      <c r="C129" s="226" t="s">
        <v>1094</v>
      </c>
      <c r="D129" s="226" t="s">
        <v>1403</v>
      </c>
      <c r="E129" s="226">
        <v>4392680</v>
      </c>
      <c r="F129" s="226">
        <v>4407571</v>
      </c>
      <c r="G129" s="226" t="s">
        <v>782</v>
      </c>
      <c r="H129" s="226" t="s">
        <v>218</v>
      </c>
      <c r="I129" s="226" t="s">
        <v>1399</v>
      </c>
      <c r="J129" s="226" t="s">
        <v>1170</v>
      </c>
      <c r="K129" s="227">
        <v>46087.229166666664</v>
      </c>
      <c r="L129" s="227">
        <v>46088.020833333336</v>
      </c>
      <c r="M129" s="227">
        <v>46092.229166666664</v>
      </c>
      <c r="N129" s="227">
        <v>46097.865277777775</v>
      </c>
      <c r="O129" s="226" t="s">
        <v>1171</v>
      </c>
      <c r="P129" s="227">
        <v>46109.229166666664</v>
      </c>
      <c r="Q129" s="226">
        <v>1</v>
      </c>
      <c r="R129" s="226"/>
      <c r="S129" s="226">
        <v>2</v>
      </c>
      <c r="T129" s="226"/>
      <c r="U129" s="226" t="s">
        <v>1</v>
      </c>
      <c r="V129" s="226" t="s">
        <v>1</v>
      </c>
      <c r="W129" s="226" t="s">
        <v>1400</v>
      </c>
      <c r="X129" s="227">
        <v>46085.553472222222</v>
      </c>
      <c r="Y129" s="226" t="s">
        <v>1424</v>
      </c>
      <c r="Z129" s="226" t="s">
        <v>1401</v>
      </c>
      <c r="AA129" s="226" t="s">
        <v>1425</v>
      </c>
      <c r="AB129" s="226"/>
      <c r="AC129" s="226"/>
      <c r="AD129" s="226" t="s">
        <v>1426</v>
      </c>
      <c r="AE129" s="226" t="s">
        <v>1176</v>
      </c>
    </row>
    <row r="130" spans="1:31">
      <c r="A130" s="226" t="s">
        <v>1419</v>
      </c>
      <c r="B130" s="226" t="s">
        <v>1123</v>
      </c>
      <c r="C130" s="226" t="s">
        <v>1094</v>
      </c>
      <c r="D130" s="226" t="s">
        <v>1403</v>
      </c>
      <c r="E130" s="226">
        <v>4369470</v>
      </c>
      <c r="F130" s="226">
        <v>4368402</v>
      </c>
      <c r="G130" s="226" t="s">
        <v>1427</v>
      </c>
      <c r="H130" s="226" t="s">
        <v>218</v>
      </c>
      <c r="I130" s="226" t="s">
        <v>1399</v>
      </c>
      <c r="J130" s="226" t="s">
        <v>1179</v>
      </c>
      <c r="K130" s="227">
        <v>46090.229166666664</v>
      </c>
      <c r="L130" s="227">
        <v>46090.229166666664</v>
      </c>
      <c r="M130" s="227">
        <v>46094.0625</v>
      </c>
      <c r="N130" s="227">
        <v>46097.791666666664</v>
      </c>
      <c r="O130" s="226" t="s">
        <v>1171</v>
      </c>
      <c r="P130" s="227">
        <v>46109.229166666664</v>
      </c>
      <c r="Q130" s="226">
        <v>5</v>
      </c>
      <c r="R130" s="226"/>
      <c r="S130" s="226">
        <v>2</v>
      </c>
      <c r="T130" s="226"/>
      <c r="U130" s="226" t="s">
        <v>1</v>
      </c>
      <c r="V130" s="226" t="s">
        <v>1</v>
      </c>
      <c r="W130" s="226" t="s">
        <v>1400</v>
      </c>
      <c r="X130" s="227">
        <v>46068.995833333334</v>
      </c>
      <c r="Y130" s="226" t="s">
        <v>1428</v>
      </c>
      <c r="Z130" s="226" t="s">
        <v>1401</v>
      </c>
      <c r="AA130" s="226" t="s">
        <v>1402</v>
      </c>
      <c r="AB130" s="226"/>
      <c r="AC130" s="226"/>
      <c r="AD130" s="226" t="s">
        <v>1421</v>
      </c>
      <c r="AE130" s="226" t="s">
        <v>1176</v>
      </c>
    </row>
    <row r="131" spans="1:31">
      <c r="A131" s="226" t="s">
        <v>1429</v>
      </c>
      <c r="B131" s="226" t="s">
        <v>1123</v>
      </c>
      <c r="C131" s="226" t="s">
        <v>1094</v>
      </c>
      <c r="D131" s="226" t="s">
        <v>1398</v>
      </c>
      <c r="E131" s="226">
        <v>4368560</v>
      </c>
      <c r="F131" s="226">
        <v>4368403</v>
      </c>
      <c r="G131" s="226" t="s">
        <v>1430</v>
      </c>
      <c r="H131" s="226" t="s">
        <v>218</v>
      </c>
      <c r="I131" s="226" t="s">
        <v>1431</v>
      </c>
      <c r="J131" s="226" t="s">
        <v>1179</v>
      </c>
      <c r="K131" s="227">
        <v>46087.229166666664</v>
      </c>
      <c r="L131" s="227">
        <v>46087.833333333336</v>
      </c>
      <c r="M131" s="227">
        <v>46094.979166666664</v>
      </c>
      <c r="N131" s="227">
        <v>46094.719444444447</v>
      </c>
      <c r="O131" s="226" t="s">
        <v>1171</v>
      </c>
      <c r="P131" s="227">
        <v>46109.229166666664</v>
      </c>
      <c r="Q131" s="226">
        <v>5</v>
      </c>
      <c r="R131" s="226"/>
      <c r="S131" s="226">
        <v>2</v>
      </c>
      <c r="T131" s="226"/>
      <c r="U131" s="226" t="s">
        <v>1</v>
      </c>
      <c r="V131" s="226" t="s">
        <v>1</v>
      </c>
      <c r="W131" s="226" t="s">
        <v>1400</v>
      </c>
      <c r="X131" s="227">
        <v>46068.996527777781</v>
      </c>
      <c r="Y131" s="226"/>
      <c r="Z131" s="226" t="s">
        <v>1432</v>
      </c>
      <c r="AA131" s="226" t="s">
        <v>1402</v>
      </c>
      <c r="AB131" s="226"/>
      <c r="AC131" s="226"/>
      <c r="AD131" s="226" t="s">
        <v>1433</v>
      </c>
      <c r="AE131" s="226" t="s">
        <v>1434</v>
      </c>
    </row>
    <row r="132" spans="1:31">
      <c r="A132" s="226" t="s">
        <v>1435</v>
      </c>
      <c r="B132" s="226" t="s">
        <v>1123</v>
      </c>
      <c r="C132" s="226" t="s">
        <v>1094</v>
      </c>
      <c r="D132" s="226" t="s">
        <v>1398</v>
      </c>
      <c r="E132" s="226">
        <v>4330816</v>
      </c>
      <c r="F132" s="226">
        <v>4368371</v>
      </c>
      <c r="G132" s="226" t="s">
        <v>559</v>
      </c>
      <c r="H132" s="226" t="s">
        <v>218</v>
      </c>
      <c r="I132" s="226" t="s">
        <v>1431</v>
      </c>
      <c r="J132" s="226" t="s">
        <v>1179</v>
      </c>
      <c r="K132" s="227">
        <v>46087.229166666664</v>
      </c>
      <c r="L132" s="227">
        <v>46088.020833333336</v>
      </c>
      <c r="M132" s="227">
        <v>46092.229166666664</v>
      </c>
      <c r="N132" s="227">
        <v>46092.940972222219</v>
      </c>
      <c r="O132" s="226" t="s">
        <v>1171</v>
      </c>
      <c r="P132" s="227">
        <v>46109.229166666664</v>
      </c>
      <c r="Q132" s="226">
        <v>5</v>
      </c>
      <c r="R132" s="226"/>
      <c r="S132" s="226">
        <v>2</v>
      </c>
      <c r="T132" s="226"/>
      <c r="U132" s="226" t="s">
        <v>1</v>
      </c>
      <c r="V132" s="226" t="s">
        <v>1</v>
      </c>
      <c r="W132" s="226" t="s">
        <v>1400</v>
      </c>
      <c r="X132" s="227">
        <v>46068.886805555558</v>
      </c>
      <c r="Y132" s="226" t="s">
        <v>1244</v>
      </c>
      <c r="Z132" s="226" t="s">
        <v>1432</v>
      </c>
      <c r="AA132" s="226" t="s">
        <v>1402</v>
      </c>
      <c r="AB132" s="226"/>
      <c r="AC132" s="226"/>
      <c r="AD132" s="226" t="s">
        <v>1436</v>
      </c>
      <c r="AE132" s="226" t="s">
        <v>1434</v>
      </c>
    </row>
    <row r="133" spans="1:31">
      <c r="A133" s="226" t="s">
        <v>1429</v>
      </c>
      <c r="B133" s="226" t="s">
        <v>1123</v>
      </c>
      <c r="C133" s="226" t="s">
        <v>1094</v>
      </c>
      <c r="D133" s="226" t="s">
        <v>1398</v>
      </c>
      <c r="E133" s="226">
        <v>4368560</v>
      </c>
      <c r="F133" s="226">
        <v>4368401</v>
      </c>
      <c r="G133" s="226" t="s">
        <v>1437</v>
      </c>
      <c r="H133" s="226" t="s">
        <v>218</v>
      </c>
      <c r="I133" s="226" t="s">
        <v>1431</v>
      </c>
      <c r="J133" s="226" t="s">
        <v>1179</v>
      </c>
      <c r="K133" s="227">
        <v>46087.229166666664</v>
      </c>
      <c r="L133" s="227">
        <v>46088.020833333336</v>
      </c>
      <c r="M133" s="227">
        <v>46094.229166666664</v>
      </c>
      <c r="N133" s="227">
        <v>46094.897916666669</v>
      </c>
      <c r="O133" s="226" t="s">
        <v>1171</v>
      </c>
      <c r="P133" s="227">
        <v>46109.229166666664</v>
      </c>
      <c r="Q133" s="226">
        <v>5</v>
      </c>
      <c r="R133" s="226"/>
      <c r="S133" s="226">
        <v>2</v>
      </c>
      <c r="T133" s="226"/>
      <c r="U133" s="226" t="s">
        <v>1</v>
      </c>
      <c r="V133" s="226" t="s">
        <v>1</v>
      </c>
      <c r="W133" s="226" t="s">
        <v>1400</v>
      </c>
      <c r="X133" s="227">
        <v>46068.96875</v>
      </c>
      <c r="Y133" s="226" t="s">
        <v>1244</v>
      </c>
      <c r="Z133" s="226" t="s">
        <v>1432</v>
      </c>
      <c r="AA133" s="226" t="s">
        <v>1402</v>
      </c>
      <c r="AB133" s="226"/>
      <c r="AC133" s="226"/>
      <c r="AD133" s="226" t="s">
        <v>1433</v>
      </c>
      <c r="AE133" s="226" t="s">
        <v>1434</v>
      </c>
    </row>
    <row r="134" spans="1:31">
      <c r="A134" s="226" t="s">
        <v>1435</v>
      </c>
      <c r="B134" s="226" t="s">
        <v>1123</v>
      </c>
      <c r="C134" s="226" t="s">
        <v>1094</v>
      </c>
      <c r="D134" s="226" t="s">
        <v>1398</v>
      </c>
      <c r="E134" s="226">
        <v>4330816</v>
      </c>
      <c r="F134" s="226">
        <v>4366164</v>
      </c>
      <c r="G134" s="226" t="s">
        <v>533</v>
      </c>
      <c r="H134" s="226" t="s">
        <v>218</v>
      </c>
      <c r="I134" s="226" t="s">
        <v>1431</v>
      </c>
      <c r="J134" s="226" t="s">
        <v>1179</v>
      </c>
      <c r="K134" s="227">
        <v>46087.229166666664</v>
      </c>
      <c r="L134" s="227">
        <v>46087.229166666664</v>
      </c>
      <c r="M134" s="227">
        <v>46091.229166666664</v>
      </c>
      <c r="N134" s="227">
        <v>46091.863194444442</v>
      </c>
      <c r="O134" s="226" t="s">
        <v>1171</v>
      </c>
      <c r="P134" s="227">
        <v>46109.229166666664</v>
      </c>
      <c r="Q134" s="226">
        <v>5</v>
      </c>
      <c r="R134" s="226"/>
      <c r="S134" s="226">
        <v>2</v>
      </c>
      <c r="T134" s="226"/>
      <c r="U134" s="226" t="s">
        <v>1</v>
      </c>
      <c r="V134" s="226" t="s">
        <v>1</v>
      </c>
      <c r="W134" s="226" t="s">
        <v>1400</v>
      </c>
      <c r="X134" s="227">
        <v>46065.917361111111</v>
      </c>
      <c r="Y134" s="226"/>
      <c r="Z134" s="226" t="s">
        <v>1432</v>
      </c>
      <c r="AA134" s="226" t="s">
        <v>1402</v>
      </c>
      <c r="AB134" s="226"/>
      <c r="AC134" s="226"/>
      <c r="AD134" s="226" t="s">
        <v>1438</v>
      </c>
      <c r="AE134" s="226" t="s">
        <v>1434</v>
      </c>
    </row>
    <row r="135" spans="1:31">
      <c r="A135" s="226" t="s">
        <v>1439</v>
      </c>
      <c r="B135" s="226" t="s">
        <v>1123</v>
      </c>
      <c r="C135" s="226" t="s">
        <v>1094</v>
      </c>
      <c r="D135" s="226" t="s">
        <v>1188</v>
      </c>
      <c r="E135" s="226">
        <v>4369453</v>
      </c>
      <c r="F135" s="226">
        <v>4368021</v>
      </c>
      <c r="G135" s="226" t="s">
        <v>1440</v>
      </c>
      <c r="H135" s="226" t="s">
        <v>218</v>
      </c>
      <c r="I135" s="226" t="s">
        <v>1431</v>
      </c>
      <c r="J135" s="226" t="s">
        <v>1179</v>
      </c>
      <c r="K135" s="227">
        <v>46090.649305555555</v>
      </c>
      <c r="L135" s="227">
        <v>46091.838194444441</v>
      </c>
      <c r="M135" s="227">
        <v>46094.979166666664</v>
      </c>
      <c r="N135" s="227">
        <v>46097.806944444441</v>
      </c>
      <c r="O135" s="226" t="s">
        <v>1171</v>
      </c>
      <c r="P135" s="227">
        <v>46109.229166666664</v>
      </c>
      <c r="Q135" s="226">
        <v>3</v>
      </c>
      <c r="R135" s="226"/>
      <c r="S135" s="226">
        <v>2</v>
      </c>
      <c r="T135" s="226"/>
      <c r="U135" s="226" t="s">
        <v>1</v>
      </c>
      <c r="V135" s="226" t="s">
        <v>1</v>
      </c>
      <c r="W135" s="226" t="s">
        <v>1441</v>
      </c>
      <c r="X135" s="227">
        <v>46066.779861111114</v>
      </c>
      <c r="Y135" s="226" t="s">
        <v>1442</v>
      </c>
      <c r="Z135" s="226" t="s">
        <v>1432</v>
      </c>
      <c r="AA135" s="226" t="s">
        <v>1156</v>
      </c>
      <c r="AB135" s="226"/>
      <c r="AC135" s="226"/>
      <c r="AD135" s="226" t="s">
        <v>1398</v>
      </c>
      <c r="AE135" s="226" t="s">
        <v>1434</v>
      </c>
    </row>
    <row r="136" spans="1:31">
      <c r="A136" s="226" t="s">
        <v>1439</v>
      </c>
      <c r="B136" s="226" t="s">
        <v>1123</v>
      </c>
      <c r="C136" s="226" t="s">
        <v>1094</v>
      </c>
      <c r="D136" s="226" t="s">
        <v>1188</v>
      </c>
      <c r="E136" s="226">
        <v>4369453</v>
      </c>
      <c r="F136" s="226">
        <v>4368033</v>
      </c>
      <c r="G136" s="226" t="s">
        <v>1443</v>
      </c>
      <c r="H136" s="226" t="s">
        <v>218</v>
      </c>
      <c r="I136" s="226" t="s">
        <v>1431</v>
      </c>
      <c r="J136" s="226" t="s">
        <v>1179</v>
      </c>
      <c r="K136" s="227">
        <v>46092.666666666664</v>
      </c>
      <c r="L136" s="227">
        <v>46092.229166666664</v>
      </c>
      <c r="M136" s="227">
        <v>46094.979166666664</v>
      </c>
      <c r="N136" s="227">
        <v>46097.793055555558</v>
      </c>
      <c r="O136" s="226" t="s">
        <v>1171</v>
      </c>
      <c r="P136" s="227">
        <v>46109.229166666664</v>
      </c>
      <c r="Q136" s="226">
        <v>5</v>
      </c>
      <c r="R136" s="226"/>
      <c r="S136" s="226">
        <v>2</v>
      </c>
      <c r="T136" s="226"/>
      <c r="U136" s="226" t="s">
        <v>1</v>
      </c>
      <c r="V136" s="226" t="s">
        <v>1</v>
      </c>
      <c r="W136" s="226" t="s">
        <v>1441</v>
      </c>
      <c r="X136" s="227">
        <v>46066.783333333333</v>
      </c>
      <c r="Y136" s="226" t="s">
        <v>1444</v>
      </c>
      <c r="Z136" s="226" t="s">
        <v>1432</v>
      </c>
      <c r="AA136" s="226" t="s">
        <v>1156</v>
      </c>
      <c r="AB136" s="226"/>
      <c r="AC136" s="226"/>
      <c r="AD136" s="226" t="s">
        <v>1398</v>
      </c>
      <c r="AE136" s="226" t="s">
        <v>1434</v>
      </c>
    </row>
    <row r="137" spans="1:31">
      <c r="A137" s="226" t="s">
        <v>1439</v>
      </c>
      <c r="B137" s="226" t="s">
        <v>1123</v>
      </c>
      <c r="C137" s="226" t="s">
        <v>1094</v>
      </c>
      <c r="D137" s="226" t="s">
        <v>1188</v>
      </c>
      <c r="E137" s="226">
        <v>4369453</v>
      </c>
      <c r="F137" s="226">
        <v>4368053</v>
      </c>
      <c r="G137" s="226" t="s">
        <v>1445</v>
      </c>
      <c r="H137" s="226" t="s">
        <v>218</v>
      </c>
      <c r="I137" s="226" t="s">
        <v>1431</v>
      </c>
      <c r="J137" s="226" t="s">
        <v>1179</v>
      </c>
      <c r="K137" s="227">
        <v>46094.658333333333</v>
      </c>
      <c r="L137" s="227">
        <v>46094.73333333333</v>
      </c>
      <c r="M137" s="227">
        <v>46094.229166666664</v>
      </c>
      <c r="N137" s="227">
        <v>46097.229166666664</v>
      </c>
      <c r="O137" s="226" t="s">
        <v>1171</v>
      </c>
      <c r="P137" s="227">
        <v>46109.229166666664</v>
      </c>
      <c r="Q137" s="226">
        <v>4</v>
      </c>
      <c r="R137" s="226"/>
      <c r="S137" s="226">
        <v>2</v>
      </c>
      <c r="T137" s="226"/>
      <c r="U137" s="226" t="s">
        <v>1</v>
      </c>
      <c r="V137" s="226" t="s">
        <v>1</v>
      </c>
      <c r="W137" s="226" t="s">
        <v>1441</v>
      </c>
      <c r="X137" s="227">
        <v>46066.785416666666</v>
      </c>
      <c r="Y137" s="226" t="s">
        <v>1444</v>
      </c>
      <c r="Z137" s="226" t="s">
        <v>1432</v>
      </c>
      <c r="AA137" s="226" t="s">
        <v>1156</v>
      </c>
      <c r="AB137" s="226"/>
      <c r="AC137" s="226"/>
      <c r="AD137" s="226" t="s">
        <v>1398</v>
      </c>
      <c r="AE137" s="226" t="s">
        <v>1434</v>
      </c>
    </row>
    <row r="138" spans="1:31">
      <c r="A138" s="226" t="s">
        <v>1439</v>
      </c>
      <c r="B138" s="226" t="s">
        <v>1123</v>
      </c>
      <c r="C138" s="226" t="s">
        <v>1094</v>
      </c>
      <c r="D138" s="226" t="s">
        <v>1398</v>
      </c>
      <c r="E138" s="226">
        <v>4369453</v>
      </c>
      <c r="F138" s="226">
        <v>4368070</v>
      </c>
      <c r="G138" s="226" t="s">
        <v>1446</v>
      </c>
      <c r="H138" s="226" t="s">
        <v>218</v>
      </c>
      <c r="I138" s="226" t="s">
        <v>1431</v>
      </c>
      <c r="J138" s="226" t="s">
        <v>1179</v>
      </c>
      <c r="K138" s="227">
        <v>46090.670138888891</v>
      </c>
      <c r="L138" s="227">
        <v>46091.74722222222</v>
      </c>
      <c r="M138" s="227">
        <v>46094.229166666664</v>
      </c>
      <c r="N138" s="227">
        <v>46094.744444444441</v>
      </c>
      <c r="O138" s="226" t="s">
        <v>1171</v>
      </c>
      <c r="P138" s="227">
        <v>46109.229166666664</v>
      </c>
      <c r="Q138" s="226">
        <v>8</v>
      </c>
      <c r="R138" s="226"/>
      <c r="S138" s="226">
        <v>2</v>
      </c>
      <c r="T138" s="226"/>
      <c r="U138" s="226" t="s">
        <v>1</v>
      </c>
      <c r="V138" s="226" t="s">
        <v>1</v>
      </c>
      <c r="W138" s="226" t="s">
        <v>1441</v>
      </c>
      <c r="X138" s="227">
        <v>46066.790277777778</v>
      </c>
      <c r="Y138" s="226"/>
      <c r="Z138" s="226" t="s">
        <v>1432</v>
      </c>
      <c r="AA138" s="226" t="s">
        <v>1238</v>
      </c>
      <c r="AB138" s="226"/>
      <c r="AC138" s="226"/>
      <c r="AD138" s="226" t="s">
        <v>1447</v>
      </c>
      <c r="AE138" s="226" t="s">
        <v>1434</v>
      </c>
    </row>
    <row r="139" spans="1:31">
      <c r="A139" s="226" t="s">
        <v>1448</v>
      </c>
      <c r="B139" s="226" t="s">
        <v>1123</v>
      </c>
      <c r="C139" s="226" t="s">
        <v>1094</v>
      </c>
      <c r="D139" s="226" t="s">
        <v>1398</v>
      </c>
      <c r="E139" s="226">
        <v>4357664</v>
      </c>
      <c r="F139" s="226">
        <v>4372156</v>
      </c>
      <c r="G139" s="226" t="s">
        <v>558</v>
      </c>
      <c r="H139" s="226" t="s">
        <v>218</v>
      </c>
      <c r="I139" s="226" t="s">
        <v>1431</v>
      </c>
      <c r="J139" s="226" t="s">
        <v>1179</v>
      </c>
      <c r="K139" s="227">
        <v>46087.229166666664</v>
      </c>
      <c r="L139" s="227">
        <v>46088.020833333336</v>
      </c>
      <c r="M139" s="227">
        <v>46092.229166666664</v>
      </c>
      <c r="N139" s="227">
        <v>46092.902083333334</v>
      </c>
      <c r="O139" s="226" t="s">
        <v>1171</v>
      </c>
      <c r="P139" s="227">
        <v>46109.229166666664</v>
      </c>
      <c r="Q139" s="226">
        <v>3</v>
      </c>
      <c r="R139" s="226"/>
      <c r="S139" s="226">
        <v>2</v>
      </c>
      <c r="T139" s="226"/>
      <c r="U139" s="226" t="s">
        <v>1</v>
      </c>
      <c r="V139" s="226" t="s">
        <v>1</v>
      </c>
      <c r="W139" s="226" t="s">
        <v>1400</v>
      </c>
      <c r="X139" s="227">
        <v>46071.460416666669</v>
      </c>
      <c r="Y139" s="226"/>
      <c r="Z139" s="226" t="s">
        <v>1432</v>
      </c>
      <c r="AA139" s="226" t="s">
        <v>1238</v>
      </c>
      <c r="AB139" s="226"/>
      <c r="AC139" s="226"/>
      <c r="AD139" s="226" t="s">
        <v>1449</v>
      </c>
      <c r="AE139" s="226" t="s">
        <v>1434</v>
      </c>
    </row>
    <row r="140" spans="1:31">
      <c r="A140" s="226" t="s">
        <v>1429</v>
      </c>
      <c r="B140" s="226" t="s">
        <v>1123</v>
      </c>
      <c r="C140" s="226" t="s">
        <v>1094</v>
      </c>
      <c r="D140" s="226" t="s">
        <v>1398</v>
      </c>
      <c r="E140" s="226">
        <v>4368560</v>
      </c>
      <c r="F140" s="226">
        <v>4372293</v>
      </c>
      <c r="G140" s="226" t="s">
        <v>554</v>
      </c>
      <c r="H140" s="226" t="s">
        <v>218</v>
      </c>
      <c r="I140" s="226" t="s">
        <v>1431</v>
      </c>
      <c r="J140" s="226" t="s">
        <v>1179</v>
      </c>
      <c r="K140" s="227">
        <v>46087.229166666664</v>
      </c>
      <c r="L140" s="227">
        <v>46088.020833333336</v>
      </c>
      <c r="M140" s="227">
        <v>46091.229166666664</v>
      </c>
      <c r="N140" s="227">
        <v>46091.863888888889</v>
      </c>
      <c r="O140" s="226" t="s">
        <v>1171</v>
      </c>
      <c r="P140" s="227">
        <v>46109.229166666664</v>
      </c>
      <c r="Q140" s="226">
        <v>5</v>
      </c>
      <c r="R140" s="226"/>
      <c r="S140" s="226">
        <v>2</v>
      </c>
      <c r="T140" s="226"/>
      <c r="U140" s="226" t="s">
        <v>1</v>
      </c>
      <c r="V140" s="226" t="s">
        <v>1</v>
      </c>
      <c r="W140" s="226" t="s">
        <v>1400</v>
      </c>
      <c r="X140" s="227">
        <v>46071.496527777781</v>
      </c>
      <c r="Y140" s="226"/>
      <c r="Z140" s="226" t="s">
        <v>1432</v>
      </c>
      <c r="AA140" s="226" t="s">
        <v>1238</v>
      </c>
      <c r="AB140" s="226"/>
      <c r="AC140" s="226"/>
      <c r="AD140" s="226" t="s">
        <v>1433</v>
      </c>
      <c r="AE140" s="226" t="s">
        <v>1434</v>
      </c>
    </row>
    <row r="141" spans="1:31">
      <c r="A141" s="226" t="s">
        <v>1450</v>
      </c>
      <c r="B141" s="226" t="s">
        <v>1123</v>
      </c>
      <c r="C141" s="226" t="s">
        <v>1094</v>
      </c>
      <c r="D141" s="226" t="s">
        <v>1398</v>
      </c>
      <c r="E141" s="226">
        <v>4361786</v>
      </c>
      <c r="F141" s="226">
        <v>4363949</v>
      </c>
      <c r="G141" s="226" t="s">
        <v>530</v>
      </c>
      <c r="H141" s="226" t="s">
        <v>218</v>
      </c>
      <c r="I141" s="226" t="s">
        <v>1431</v>
      </c>
      <c r="J141" s="226" t="s">
        <v>1179</v>
      </c>
      <c r="K141" s="227">
        <v>46087.229166666664</v>
      </c>
      <c r="L141" s="227">
        <v>46087.229166666664</v>
      </c>
      <c r="M141" s="227">
        <v>46091.229166666664</v>
      </c>
      <c r="N141" s="227">
        <v>46091.863194444442</v>
      </c>
      <c r="O141" s="226" t="s">
        <v>1171</v>
      </c>
      <c r="P141" s="227">
        <v>46109.229166666664</v>
      </c>
      <c r="Q141" s="226">
        <v>3</v>
      </c>
      <c r="R141" s="226"/>
      <c r="S141" s="226">
        <v>2</v>
      </c>
      <c r="T141" s="226"/>
      <c r="U141" s="226" t="s">
        <v>1</v>
      </c>
      <c r="V141" s="226" t="s">
        <v>1</v>
      </c>
      <c r="W141" s="226" t="s">
        <v>1400</v>
      </c>
      <c r="X141" s="227">
        <v>46064.919444444444</v>
      </c>
      <c r="Y141" s="226"/>
      <c r="Z141" s="226" t="s">
        <v>1432</v>
      </c>
      <c r="AA141" s="226" t="s">
        <v>1402</v>
      </c>
      <c r="AB141" s="226"/>
      <c r="AC141" s="226"/>
      <c r="AD141" s="226" t="s">
        <v>1451</v>
      </c>
      <c r="AE141" s="226" t="s">
        <v>1434</v>
      </c>
    </row>
    <row r="142" spans="1:31">
      <c r="A142" s="226" t="s">
        <v>1448</v>
      </c>
      <c r="B142" s="226" t="s">
        <v>1123</v>
      </c>
      <c r="C142" s="226" t="s">
        <v>1094</v>
      </c>
      <c r="D142" s="226" t="s">
        <v>1398</v>
      </c>
      <c r="E142" s="226">
        <v>4357664</v>
      </c>
      <c r="F142" s="226">
        <v>4358867</v>
      </c>
      <c r="G142" s="226" t="s">
        <v>1452</v>
      </c>
      <c r="H142" s="226" t="s">
        <v>218</v>
      </c>
      <c r="I142" s="226" t="s">
        <v>1431</v>
      </c>
      <c r="J142" s="226" t="s">
        <v>1179</v>
      </c>
      <c r="K142" s="227">
        <v>46087.229166666664</v>
      </c>
      <c r="L142" s="227">
        <v>46087.229166666664</v>
      </c>
      <c r="M142" s="227">
        <v>46092.229166666664</v>
      </c>
      <c r="N142" s="227">
        <v>46097.738888888889</v>
      </c>
      <c r="O142" s="226" t="s">
        <v>1171</v>
      </c>
      <c r="P142" s="227">
        <v>46109.229166666664</v>
      </c>
      <c r="Q142" s="226">
        <v>3</v>
      </c>
      <c r="R142" s="226"/>
      <c r="S142" s="226">
        <v>2</v>
      </c>
      <c r="T142" s="226"/>
      <c r="U142" s="226" t="s">
        <v>1</v>
      </c>
      <c r="V142" s="226" t="s">
        <v>1</v>
      </c>
      <c r="W142" s="226" t="s">
        <v>1400</v>
      </c>
      <c r="X142" s="227">
        <v>46063.396527777775</v>
      </c>
      <c r="Y142" s="226" t="s">
        <v>1244</v>
      </c>
      <c r="Z142" s="226" t="s">
        <v>1432</v>
      </c>
      <c r="AA142" s="226" t="s">
        <v>1402</v>
      </c>
      <c r="AB142" s="226"/>
      <c r="AC142" s="226"/>
      <c r="AD142" s="226" t="s">
        <v>1453</v>
      </c>
      <c r="AE142" s="226" t="s">
        <v>1434</v>
      </c>
    </row>
    <row r="143" spans="1:31">
      <c r="A143" s="226" t="s">
        <v>1454</v>
      </c>
      <c r="B143" s="226" t="s">
        <v>1123</v>
      </c>
      <c r="C143" s="226" t="s">
        <v>1094</v>
      </c>
      <c r="D143" s="226" t="s">
        <v>44</v>
      </c>
      <c r="E143" s="226">
        <v>4390945</v>
      </c>
      <c r="F143" s="226">
        <v>4358656</v>
      </c>
      <c r="G143" s="226" t="s">
        <v>743</v>
      </c>
      <c r="H143" s="226" t="s">
        <v>218</v>
      </c>
      <c r="I143" s="226" t="s">
        <v>1431</v>
      </c>
      <c r="J143" s="226" t="s">
        <v>1170</v>
      </c>
      <c r="K143" s="227">
        <v>46090.677083333336</v>
      </c>
      <c r="L143" s="227">
        <v>46092.683333333334</v>
      </c>
      <c r="M143" s="227">
        <v>46091.229166666664</v>
      </c>
      <c r="N143" s="227">
        <v>46092.96597222222</v>
      </c>
      <c r="O143" s="226" t="s">
        <v>1171</v>
      </c>
      <c r="P143" s="227">
        <v>46109.229166666664</v>
      </c>
      <c r="Q143" s="226">
        <v>5</v>
      </c>
      <c r="R143" s="226"/>
      <c r="S143" s="226">
        <v>2</v>
      </c>
      <c r="T143" s="226"/>
      <c r="U143" s="226" t="s">
        <v>1</v>
      </c>
      <c r="V143" s="226" t="s">
        <v>1</v>
      </c>
      <c r="W143" s="226" t="s">
        <v>1455</v>
      </c>
      <c r="X143" s="227">
        <v>46062.787499999999</v>
      </c>
      <c r="Y143" s="226" t="s">
        <v>1244</v>
      </c>
      <c r="Z143" s="226" t="s">
        <v>1432</v>
      </c>
      <c r="AA143" s="226" t="s">
        <v>1106</v>
      </c>
      <c r="AB143" s="226"/>
      <c r="AC143" s="226"/>
      <c r="AD143" s="226" t="s">
        <v>1456</v>
      </c>
      <c r="AE143" s="226" t="s">
        <v>1434</v>
      </c>
    </row>
    <row r="144" spans="1:31">
      <c r="A144" s="226" t="s">
        <v>1457</v>
      </c>
      <c r="B144" s="226" t="s">
        <v>1123</v>
      </c>
      <c r="C144" s="226" t="s">
        <v>1094</v>
      </c>
      <c r="D144" s="226" t="s">
        <v>44</v>
      </c>
      <c r="E144" s="226">
        <v>4223629</v>
      </c>
      <c r="F144" s="226">
        <v>4147643</v>
      </c>
      <c r="G144" s="226" t="s">
        <v>1458</v>
      </c>
      <c r="H144" s="226" t="s">
        <v>218</v>
      </c>
      <c r="I144" s="226" t="s">
        <v>1431</v>
      </c>
      <c r="J144" s="226" t="s">
        <v>1179</v>
      </c>
      <c r="K144" s="227">
        <v>46091.611805555556</v>
      </c>
      <c r="L144" s="227">
        <v>46092.650694444441</v>
      </c>
      <c r="M144" s="227">
        <v>46092.229166666664</v>
      </c>
      <c r="N144" s="227">
        <v>46092.979166666664</v>
      </c>
      <c r="O144" s="226" t="s">
        <v>1171</v>
      </c>
      <c r="P144" s="227">
        <v>46109.229166666664</v>
      </c>
      <c r="Q144" s="226">
        <v>3</v>
      </c>
      <c r="R144" s="226"/>
      <c r="S144" s="226">
        <v>2</v>
      </c>
      <c r="T144" s="226"/>
      <c r="U144" s="226" t="s">
        <v>1</v>
      </c>
      <c r="V144" s="226" t="s">
        <v>1</v>
      </c>
      <c r="W144" s="226" t="s">
        <v>1180</v>
      </c>
      <c r="X144" s="227">
        <v>45925.390972222223</v>
      </c>
      <c r="Y144" s="226" t="s">
        <v>1459</v>
      </c>
      <c r="Z144" s="226" t="s">
        <v>1432</v>
      </c>
      <c r="AA144" s="226" t="s">
        <v>1106</v>
      </c>
      <c r="AB144" s="226"/>
      <c r="AC144" s="226"/>
      <c r="AD144" s="226" t="s">
        <v>1460</v>
      </c>
      <c r="AE144" s="226" t="s">
        <v>1434</v>
      </c>
    </row>
    <row r="145" spans="1:31">
      <c r="A145" s="226" t="s">
        <v>1457</v>
      </c>
      <c r="B145" s="226" t="s">
        <v>1123</v>
      </c>
      <c r="C145" s="226" t="s">
        <v>1094</v>
      </c>
      <c r="D145" s="226" t="s">
        <v>44</v>
      </c>
      <c r="E145" s="226">
        <v>4223629</v>
      </c>
      <c r="F145" s="226">
        <v>4240154</v>
      </c>
      <c r="G145" s="226" t="s">
        <v>1461</v>
      </c>
      <c r="H145" s="226" t="s">
        <v>218</v>
      </c>
      <c r="I145" s="226" t="s">
        <v>1431</v>
      </c>
      <c r="J145" s="226" t="s">
        <v>1179</v>
      </c>
      <c r="K145" s="227">
        <v>46091.612500000003</v>
      </c>
      <c r="L145" s="227">
        <v>46092.681250000001</v>
      </c>
      <c r="M145" s="227">
        <v>46093.229166666664</v>
      </c>
      <c r="N145" s="227">
        <v>46094.066666666666</v>
      </c>
      <c r="O145" s="226" t="s">
        <v>1171</v>
      </c>
      <c r="P145" s="227">
        <v>46109.229166666664</v>
      </c>
      <c r="Q145" s="226">
        <v>5</v>
      </c>
      <c r="R145" s="226"/>
      <c r="S145" s="226">
        <v>2</v>
      </c>
      <c r="T145" s="226"/>
      <c r="U145" s="226" t="s">
        <v>1</v>
      </c>
      <c r="V145" s="226" t="s">
        <v>1</v>
      </c>
      <c r="W145" s="226" t="s">
        <v>1180</v>
      </c>
      <c r="X145" s="227">
        <v>45978.952777777777</v>
      </c>
      <c r="Y145" s="226" t="s">
        <v>1459</v>
      </c>
      <c r="Z145" s="226" t="s">
        <v>1432</v>
      </c>
      <c r="AA145" s="226" t="s">
        <v>1106</v>
      </c>
      <c r="AB145" s="226"/>
      <c r="AC145" s="226"/>
      <c r="AD145" s="226" t="s">
        <v>1460</v>
      </c>
      <c r="AE145" s="226" t="s">
        <v>1434</v>
      </c>
    </row>
    <row r="146" spans="1:31">
      <c r="A146" s="226" t="s">
        <v>1457</v>
      </c>
      <c r="B146" s="226" t="s">
        <v>1123</v>
      </c>
      <c r="C146" s="226" t="s">
        <v>1094</v>
      </c>
      <c r="D146" s="226" t="s">
        <v>44</v>
      </c>
      <c r="E146" s="226">
        <v>4223629</v>
      </c>
      <c r="F146" s="226">
        <v>4240155</v>
      </c>
      <c r="G146" s="226" t="s">
        <v>550</v>
      </c>
      <c r="H146" s="226" t="s">
        <v>218</v>
      </c>
      <c r="I146" s="226" t="s">
        <v>1431</v>
      </c>
      <c r="J146" s="226" t="s">
        <v>1179</v>
      </c>
      <c r="K146" s="227">
        <v>46091.669444444444</v>
      </c>
      <c r="L146" s="227">
        <v>46092.681250000001</v>
      </c>
      <c r="M146" s="227">
        <v>46092.229166666664</v>
      </c>
      <c r="N146" s="227">
        <v>46093.717361111114</v>
      </c>
      <c r="O146" s="226" t="s">
        <v>1171</v>
      </c>
      <c r="P146" s="227">
        <v>46109.229166666664</v>
      </c>
      <c r="Q146" s="226">
        <v>5</v>
      </c>
      <c r="R146" s="226"/>
      <c r="S146" s="226">
        <v>2</v>
      </c>
      <c r="T146" s="226"/>
      <c r="U146" s="226" t="s">
        <v>1</v>
      </c>
      <c r="V146" s="226" t="s">
        <v>1</v>
      </c>
      <c r="W146" s="226" t="s">
        <v>1180</v>
      </c>
      <c r="X146" s="227">
        <v>45978.95416666667</v>
      </c>
      <c r="Y146" s="226" t="s">
        <v>1459</v>
      </c>
      <c r="Z146" s="226" t="s">
        <v>1432</v>
      </c>
      <c r="AA146" s="226" t="s">
        <v>1106</v>
      </c>
      <c r="AB146" s="226"/>
      <c r="AC146" s="226"/>
      <c r="AD146" s="226" t="s">
        <v>1460</v>
      </c>
      <c r="AE146" s="226" t="s">
        <v>1434</v>
      </c>
    </row>
    <row r="147" spans="1:31">
      <c r="A147" s="226" t="s">
        <v>1457</v>
      </c>
      <c r="B147" s="226" t="s">
        <v>1123</v>
      </c>
      <c r="C147" s="226" t="s">
        <v>1094</v>
      </c>
      <c r="D147" s="226" t="s">
        <v>44</v>
      </c>
      <c r="E147" s="226">
        <v>4223629</v>
      </c>
      <c r="F147" s="226">
        <v>4240158</v>
      </c>
      <c r="G147" s="226" t="s">
        <v>552</v>
      </c>
      <c r="H147" s="226" t="s">
        <v>218</v>
      </c>
      <c r="I147" s="226" t="s">
        <v>1431</v>
      </c>
      <c r="J147" s="226" t="s">
        <v>1179</v>
      </c>
      <c r="K147" s="227">
        <v>46087.229166666664</v>
      </c>
      <c r="L147" s="227">
        <v>46087.229166666664</v>
      </c>
      <c r="M147" s="227">
        <v>46094.229166666664</v>
      </c>
      <c r="N147" s="227">
        <v>46093.740972222222</v>
      </c>
      <c r="O147" s="226" t="s">
        <v>1171</v>
      </c>
      <c r="P147" s="227">
        <v>46109.229166666664</v>
      </c>
      <c r="Q147" s="226">
        <v>3</v>
      </c>
      <c r="R147" s="226"/>
      <c r="S147" s="226">
        <v>2</v>
      </c>
      <c r="T147" s="226"/>
      <c r="U147" s="226" t="s">
        <v>1</v>
      </c>
      <c r="V147" s="226" t="s">
        <v>1</v>
      </c>
      <c r="W147" s="226" t="s">
        <v>1180</v>
      </c>
      <c r="X147" s="227">
        <v>45978.957638888889</v>
      </c>
      <c r="Y147" s="226" t="s">
        <v>1459</v>
      </c>
      <c r="Z147" s="226" t="s">
        <v>1432</v>
      </c>
      <c r="AA147" s="226" t="s">
        <v>1106</v>
      </c>
      <c r="AB147" s="226"/>
      <c r="AC147" s="226"/>
      <c r="AD147" s="226" t="s">
        <v>1460</v>
      </c>
      <c r="AE147" s="226" t="s">
        <v>1434</v>
      </c>
    </row>
    <row r="148" spans="1:31">
      <c r="A148" s="226" t="s">
        <v>1457</v>
      </c>
      <c r="B148" s="226" t="s">
        <v>1123</v>
      </c>
      <c r="C148" s="226" t="s">
        <v>1094</v>
      </c>
      <c r="D148" s="226" t="s">
        <v>44</v>
      </c>
      <c r="E148" s="226">
        <v>4223629</v>
      </c>
      <c r="F148" s="226">
        <v>4240160</v>
      </c>
      <c r="G148" s="226" t="s">
        <v>1462</v>
      </c>
      <c r="H148" s="226" t="s">
        <v>218</v>
      </c>
      <c r="I148" s="226" t="s">
        <v>1431</v>
      </c>
      <c r="J148" s="226" t="s">
        <v>1179</v>
      </c>
      <c r="K148" s="227">
        <v>46091.612500000003</v>
      </c>
      <c r="L148" s="227">
        <v>46092.650694444441</v>
      </c>
      <c r="M148" s="227">
        <v>46091.229166666664</v>
      </c>
      <c r="N148" s="227">
        <v>46092.979166666664</v>
      </c>
      <c r="O148" s="226" t="s">
        <v>1171</v>
      </c>
      <c r="P148" s="227">
        <v>46109.229166666664</v>
      </c>
      <c r="Q148" s="226">
        <v>3</v>
      </c>
      <c r="R148" s="226"/>
      <c r="S148" s="226">
        <v>2</v>
      </c>
      <c r="T148" s="226"/>
      <c r="U148" s="226" t="s">
        <v>1</v>
      </c>
      <c r="V148" s="226" t="s">
        <v>1</v>
      </c>
      <c r="W148" s="226" t="s">
        <v>1180</v>
      </c>
      <c r="X148" s="227">
        <v>45978.960416666669</v>
      </c>
      <c r="Y148" s="226" t="s">
        <v>1463</v>
      </c>
      <c r="Z148" s="226" t="s">
        <v>1432</v>
      </c>
      <c r="AA148" s="226" t="s">
        <v>1106</v>
      </c>
      <c r="AB148" s="226"/>
      <c r="AC148" s="226"/>
      <c r="AD148" s="226" t="s">
        <v>1460</v>
      </c>
      <c r="AE148" s="226" t="s">
        <v>1434</v>
      </c>
    </row>
    <row r="149" spans="1:31">
      <c r="A149" s="226" t="s">
        <v>1464</v>
      </c>
      <c r="B149" s="226" t="s">
        <v>1123</v>
      </c>
      <c r="C149" s="226" t="s">
        <v>1094</v>
      </c>
      <c r="D149" s="226" t="s">
        <v>1465</v>
      </c>
      <c r="E149" s="226">
        <v>4372101</v>
      </c>
      <c r="F149" s="226">
        <v>4271339</v>
      </c>
      <c r="G149" s="226" t="s">
        <v>525</v>
      </c>
      <c r="H149" s="226" t="s">
        <v>218</v>
      </c>
      <c r="I149" s="226" t="s">
        <v>1431</v>
      </c>
      <c r="J149" s="226" t="s">
        <v>1179</v>
      </c>
      <c r="K149" s="227">
        <v>46093.229166666664</v>
      </c>
      <c r="L149" s="227">
        <v>46093.834027777775</v>
      </c>
      <c r="M149" s="227">
        <v>46094.229166666664</v>
      </c>
      <c r="N149" s="227">
        <v>46095.011805555558</v>
      </c>
      <c r="O149" s="226" t="s">
        <v>1171</v>
      </c>
      <c r="P149" s="227">
        <v>46109.229166666664</v>
      </c>
      <c r="Q149" s="226">
        <v>5</v>
      </c>
      <c r="R149" s="226"/>
      <c r="S149" s="226">
        <v>2</v>
      </c>
      <c r="T149" s="226"/>
      <c r="U149" s="226" t="s">
        <v>1</v>
      </c>
      <c r="V149" s="226" t="s">
        <v>1</v>
      </c>
      <c r="W149" s="226" t="s">
        <v>1400</v>
      </c>
      <c r="X149" s="227">
        <v>45996.781944444447</v>
      </c>
      <c r="Y149" s="226" t="s">
        <v>1466</v>
      </c>
      <c r="Z149" s="226" t="s">
        <v>1432</v>
      </c>
      <c r="AA149" s="226" t="s">
        <v>1467</v>
      </c>
      <c r="AB149" s="226"/>
      <c r="AC149" s="226"/>
      <c r="AD149" s="226" t="s">
        <v>1398</v>
      </c>
      <c r="AE149" s="226" t="s">
        <v>1434</v>
      </c>
    </row>
    <row r="150" spans="1:31">
      <c r="A150" s="226" t="s">
        <v>1457</v>
      </c>
      <c r="B150" s="226" t="s">
        <v>1123</v>
      </c>
      <c r="C150" s="226" t="s">
        <v>1094</v>
      </c>
      <c r="D150" s="226" t="s">
        <v>1188</v>
      </c>
      <c r="E150" s="226">
        <v>4223629</v>
      </c>
      <c r="F150" s="226">
        <v>4278575</v>
      </c>
      <c r="G150" s="226" t="s">
        <v>662</v>
      </c>
      <c r="H150" s="226" t="s">
        <v>218</v>
      </c>
      <c r="I150" s="226" t="s">
        <v>1431</v>
      </c>
      <c r="J150" s="226" t="s">
        <v>1170</v>
      </c>
      <c r="K150" s="227">
        <v>46091.611805555556</v>
      </c>
      <c r="L150" s="227">
        <v>46092.651388888888</v>
      </c>
      <c r="M150" s="227">
        <v>46092.229166666664</v>
      </c>
      <c r="N150" s="227">
        <v>46092.980555555558</v>
      </c>
      <c r="O150" s="226" t="s">
        <v>1171</v>
      </c>
      <c r="P150" s="227">
        <v>46109.229166666664</v>
      </c>
      <c r="Q150" s="226">
        <v>5</v>
      </c>
      <c r="R150" s="226"/>
      <c r="S150" s="226">
        <v>2</v>
      </c>
      <c r="T150" s="226"/>
      <c r="U150" s="226" t="s">
        <v>1</v>
      </c>
      <c r="V150" s="226" t="s">
        <v>1</v>
      </c>
      <c r="W150" s="226" t="s">
        <v>1441</v>
      </c>
      <c r="X150" s="227">
        <v>46006.758333333331</v>
      </c>
      <c r="Y150" s="226" t="s">
        <v>1468</v>
      </c>
      <c r="Z150" s="226" t="s">
        <v>1432</v>
      </c>
      <c r="AA150" s="226" t="s">
        <v>1156</v>
      </c>
      <c r="AB150" s="226"/>
      <c r="AC150" s="226"/>
      <c r="AD150" s="226" t="s">
        <v>1460</v>
      </c>
      <c r="AE150" s="226" t="s">
        <v>1434</v>
      </c>
    </row>
    <row r="151" spans="1:31">
      <c r="A151" s="226" t="s">
        <v>1457</v>
      </c>
      <c r="B151" s="226" t="s">
        <v>1123</v>
      </c>
      <c r="C151" s="226" t="s">
        <v>1094</v>
      </c>
      <c r="D151" s="226" t="s">
        <v>1188</v>
      </c>
      <c r="E151" s="226">
        <v>4223629</v>
      </c>
      <c r="F151" s="226">
        <v>4344830</v>
      </c>
      <c r="G151" s="226" t="s">
        <v>1469</v>
      </c>
      <c r="H151" s="226" t="s">
        <v>218</v>
      </c>
      <c r="I151" s="226" t="s">
        <v>1431</v>
      </c>
      <c r="J151" s="226" t="s">
        <v>1179</v>
      </c>
      <c r="K151" s="227">
        <v>46085.229166666664</v>
      </c>
      <c r="L151" s="227">
        <v>46087.036111111112</v>
      </c>
      <c r="M151" s="227">
        <v>46087.229166666664</v>
      </c>
      <c r="N151" s="227">
        <v>46088.218055555553</v>
      </c>
      <c r="O151" s="226" t="s">
        <v>1171</v>
      </c>
      <c r="P151" s="227">
        <v>46109.229166666664</v>
      </c>
      <c r="Q151" s="226">
        <v>3</v>
      </c>
      <c r="R151" s="226"/>
      <c r="S151" s="226">
        <v>2</v>
      </c>
      <c r="T151" s="226"/>
      <c r="U151" s="226" t="s">
        <v>1</v>
      </c>
      <c r="V151" s="226" t="s">
        <v>1</v>
      </c>
      <c r="W151" s="226" t="s">
        <v>1441</v>
      </c>
      <c r="X151" s="227">
        <v>46052.431944444441</v>
      </c>
      <c r="Y151" s="226" t="s">
        <v>1154</v>
      </c>
      <c r="Z151" s="226" t="s">
        <v>1432</v>
      </c>
      <c r="AA151" s="226" t="s">
        <v>1156</v>
      </c>
      <c r="AB151" s="226"/>
      <c r="AC151" s="226"/>
      <c r="AD151" s="226" t="s">
        <v>1460</v>
      </c>
      <c r="AE151" s="226" t="s">
        <v>1434</v>
      </c>
    </row>
    <row r="152" spans="1:31">
      <c r="A152" s="226" t="s">
        <v>1470</v>
      </c>
      <c r="B152" s="226" t="s">
        <v>1123</v>
      </c>
      <c r="C152" s="226" t="s">
        <v>1094</v>
      </c>
      <c r="D152" s="226" t="s">
        <v>1188</v>
      </c>
      <c r="E152" s="226">
        <v>4393292</v>
      </c>
      <c r="F152" s="226">
        <v>4356747</v>
      </c>
      <c r="G152" s="226" t="s">
        <v>741</v>
      </c>
      <c r="H152" s="226" t="s">
        <v>218</v>
      </c>
      <c r="I152" s="226" t="s">
        <v>1431</v>
      </c>
      <c r="J152" s="226" t="s">
        <v>1170</v>
      </c>
      <c r="K152" s="227">
        <v>46086.229166666664</v>
      </c>
      <c r="L152" s="227">
        <v>46088.04583333333</v>
      </c>
      <c r="M152" s="227">
        <v>46094.229166666664</v>
      </c>
      <c r="N152" s="227">
        <v>46091.229166666664</v>
      </c>
      <c r="O152" s="226" t="s">
        <v>1171</v>
      </c>
      <c r="P152" s="227">
        <v>46109.229166666664</v>
      </c>
      <c r="Q152" s="226">
        <v>2</v>
      </c>
      <c r="R152" s="226"/>
      <c r="S152" s="226">
        <v>2</v>
      </c>
      <c r="T152" s="226"/>
      <c r="U152" s="226" t="s">
        <v>1</v>
      </c>
      <c r="V152" s="226" t="s">
        <v>1</v>
      </c>
      <c r="W152" s="226" t="s">
        <v>1441</v>
      </c>
      <c r="X152" s="227">
        <v>46058.874305555553</v>
      </c>
      <c r="Y152" s="226" t="s">
        <v>1442</v>
      </c>
      <c r="Z152" s="226" t="s">
        <v>1432</v>
      </c>
      <c r="AA152" s="226" t="s">
        <v>1156</v>
      </c>
      <c r="AB152" s="226"/>
      <c r="AC152" s="226"/>
      <c r="AD152" s="226" t="s">
        <v>1398</v>
      </c>
      <c r="AE152" s="226" t="s">
        <v>1434</v>
      </c>
    </row>
    <row r="153" spans="1:31">
      <c r="A153" s="226" t="s">
        <v>1448</v>
      </c>
      <c r="B153" s="226" t="s">
        <v>1123</v>
      </c>
      <c r="C153" s="226" t="s">
        <v>1094</v>
      </c>
      <c r="D153" s="226" t="s">
        <v>1398</v>
      </c>
      <c r="E153" s="226">
        <v>4357664</v>
      </c>
      <c r="F153" s="226">
        <v>4357665</v>
      </c>
      <c r="G153" s="226" t="s">
        <v>557</v>
      </c>
      <c r="H153" s="226" t="s">
        <v>218</v>
      </c>
      <c r="I153" s="226" t="s">
        <v>1431</v>
      </c>
      <c r="J153" s="226" t="s">
        <v>1179</v>
      </c>
      <c r="K153" s="227">
        <v>46087.229166666664</v>
      </c>
      <c r="L153" s="227">
        <v>46088.171527777777</v>
      </c>
      <c r="M153" s="227">
        <v>46091.229166666664</v>
      </c>
      <c r="N153" s="227">
        <v>46091.847222222219</v>
      </c>
      <c r="O153" s="226" t="s">
        <v>1171</v>
      </c>
      <c r="P153" s="227">
        <v>46109.229166666664</v>
      </c>
      <c r="Q153" s="226">
        <v>5</v>
      </c>
      <c r="R153" s="226"/>
      <c r="S153" s="226">
        <v>2</v>
      </c>
      <c r="T153" s="226"/>
      <c r="U153" s="226" t="s">
        <v>1</v>
      </c>
      <c r="V153" s="226" t="s">
        <v>1</v>
      </c>
      <c r="W153" s="226" t="s">
        <v>1400</v>
      </c>
      <c r="X153" s="227">
        <v>46059.944444444445</v>
      </c>
      <c r="Y153" s="226" t="s">
        <v>1471</v>
      </c>
      <c r="Z153" s="226" t="s">
        <v>1432</v>
      </c>
      <c r="AA153" s="226" t="s">
        <v>1402</v>
      </c>
      <c r="AB153" s="226"/>
      <c r="AC153" s="226"/>
      <c r="AD153" s="226" t="s">
        <v>1472</v>
      </c>
      <c r="AE153" s="226" t="s">
        <v>1434</v>
      </c>
    </row>
    <row r="154" spans="1:31">
      <c r="A154" s="226" t="s">
        <v>1457</v>
      </c>
      <c r="B154" s="226" t="s">
        <v>1123</v>
      </c>
      <c r="C154" s="226" t="s">
        <v>1094</v>
      </c>
      <c r="D154" s="226" t="s">
        <v>1188</v>
      </c>
      <c r="E154" s="226">
        <v>4223629</v>
      </c>
      <c r="F154" s="226">
        <v>4337147</v>
      </c>
      <c r="G154" s="226" t="s">
        <v>537</v>
      </c>
      <c r="H154" s="226" t="s">
        <v>218</v>
      </c>
      <c r="I154" s="226" t="s">
        <v>1431</v>
      </c>
      <c r="J154" s="226" t="s">
        <v>1179</v>
      </c>
      <c r="K154" s="227">
        <v>46085.229166666664</v>
      </c>
      <c r="L154" s="227">
        <v>46087.036111111112</v>
      </c>
      <c r="M154" s="227">
        <v>46093.229166666664</v>
      </c>
      <c r="N154" s="227">
        <v>46093.734722222223</v>
      </c>
      <c r="O154" s="226" t="s">
        <v>1171</v>
      </c>
      <c r="P154" s="227">
        <v>46109.229166666664</v>
      </c>
      <c r="Q154" s="226">
        <v>2</v>
      </c>
      <c r="R154" s="226"/>
      <c r="S154" s="226">
        <v>2</v>
      </c>
      <c r="T154" s="226"/>
      <c r="U154" s="226" t="s">
        <v>1</v>
      </c>
      <c r="V154" s="226" t="s">
        <v>1</v>
      </c>
      <c r="W154" s="226" t="s">
        <v>1441</v>
      </c>
      <c r="X154" s="227">
        <v>46045.649305555555</v>
      </c>
      <c r="Y154" s="226" t="s">
        <v>1154</v>
      </c>
      <c r="Z154" s="226" t="s">
        <v>1432</v>
      </c>
      <c r="AA154" s="226" t="s">
        <v>1156</v>
      </c>
      <c r="AB154" s="226"/>
      <c r="AC154" s="226"/>
      <c r="AD154" s="226" t="s">
        <v>1460</v>
      </c>
      <c r="AE154" s="226" t="s">
        <v>1434</v>
      </c>
    </row>
    <row r="155" spans="1:31">
      <c r="A155" s="226" t="s">
        <v>1473</v>
      </c>
      <c r="B155" s="226" t="s">
        <v>1123</v>
      </c>
      <c r="C155" s="226" t="s">
        <v>1094</v>
      </c>
      <c r="D155" s="226" t="s">
        <v>44</v>
      </c>
      <c r="E155" s="226">
        <v>4373741</v>
      </c>
      <c r="F155" s="226">
        <v>4330981</v>
      </c>
      <c r="G155" s="226" t="s">
        <v>535</v>
      </c>
      <c r="H155" s="226" t="s">
        <v>218</v>
      </c>
      <c r="I155" s="226" t="s">
        <v>1431</v>
      </c>
      <c r="J155" s="226" t="s">
        <v>1179</v>
      </c>
      <c r="K155" s="227">
        <v>46087.229166666664</v>
      </c>
      <c r="L155" s="227">
        <v>46087.686805555553</v>
      </c>
      <c r="M155" s="227">
        <v>46092.229166666664</v>
      </c>
      <c r="N155" s="227">
        <v>46092.229166666664</v>
      </c>
      <c r="O155" s="226" t="s">
        <v>1171</v>
      </c>
      <c r="P155" s="227">
        <v>46109.229166666664</v>
      </c>
      <c r="Q155" s="226">
        <v>5</v>
      </c>
      <c r="R155" s="226"/>
      <c r="S155" s="226">
        <v>2</v>
      </c>
      <c r="T155" s="226"/>
      <c r="U155" s="226" t="s">
        <v>1</v>
      </c>
      <c r="V155" s="226" t="s">
        <v>1</v>
      </c>
      <c r="W155" s="226" t="s">
        <v>1180</v>
      </c>
      <c r="X155" s="227">
        <v>46041.999305555553</v>
      </c>
      <c r="Y155" s="226" t="s">
        <v>1474</v>
      </c>
      <c r="Z155" s="226" t="s">
        <v>1432</v>
      </c>
      <c r="AA155" s="226" t="s">
        <v>1106</v>
      </c>
      <c r="AB155" s="226"/>
      <c r="AC155" s="226"/>
      <c r="AD155" s="226" t="s">
        <v>1475</v>
      </c>
      <c r="AE155" s="226" t="s">
        <v>1434</v>
      </c>
    </row>
    <row r="156" spans="1:31">
      <c r="A156" s="226" t="s">
        <v>1470</v>
      </c>
      <c r="B156" s="226" t="s">
        <v>1123</v>
      </c>
      <c r="C156" s="226" t="s">
        <v>1094</v>
      </c>
      <c r="D156" s="226" t="s">
        <v>1188</v>
      </c>
      <c r="E156" s="226">
        <v>4393292</v>
      </c>
      <c r="F156" s="226">
        <v>4341515</v>
      </c>
      <c r="G156" s="226" t="s">
        <v>542</v>
      </c>
      <c r="H156" s="226" t="s">
        <v>218</v>
      </c>
      <c r="I156" s="226" t="s">
        <v>1431</v>
      </c>
      <c r="J156" s="226" t="s">
        <v>1179</v>
      </c>
      <c r="K156" s="227">
        <v>46085.677777777775</v>
      </c>
      <c r="L156" s="227">
        <v>46087.229166666664</v>
      </c>
      <c r="M156" s="227">
        <v>46086.229166666664</v>
      </c>
      <c r="N156" s="227">
        <v>46090.729861111111</v>
      </c>
      <c r="O156" s="226" t="s">
        <v>1171</v>
      </c>
      <c r="P156" s="227">
        <v>46109.229166666664</v>
      </c>
      <c r="Q156" s="226">
        <v>3</v>
      </c>
      <c r="R156" s="226"/>
      <c r="S156" s="226">
        <v>2</v>
      </c>
      <c r="T156" s="226"/>
      <c r="U156" s="226" t="s">
        <v>1</v>
      </c>
      <c r="V156" s="226" t="s">
        <v>1</v>
      </c>
      <c r="W156" s="226" t="s">
        <v>1441</v>
      </c>
      <c r="X156" s="227">
        <v>46050.681944444441</v>
      </c>
      <c r="Y156" s="226" t="s">
        <v>1476</v>
      </c>
      <c r="Z156" s="226" t="s">
        <v>1432</v>
      </c>
      <c r="AA156" s="226" t="s">
        <v>1156</v>
      </c>
      <c r="AB156" s="226"/>
      <c r="AC156" s="226"/>
      <c r="AD156" s="226" t="s">
        <v>1398</v>
      </c>
      <c r="AE156" s="226" t="s">
        <v>1434</v>
      </c>
    </row>
    <row r="157" spans="1:31">
      <c r="A157" s="226" t="s">
        <v>1470</v>
      </c>
      <c r="B157" s="226" t="s">
        <v>1123</v>
      </c>
      <c r="C157" s="226" t="s">
        <v>1094</v>
      </c>
      <c r="D157" s="226" t="s">
        <v>1188</v>
      </c>
      <c r="E157" s="226">
        <v>4393292</v>
      </c>
      <c r="F157" s="226">
        <v>4341541</v>
      </c>
      <c r="G157" s="226" t="s">
        <v>786</v>
      </c>
      <c r="H157" s="226" t="s">
        <v>218</v>
      </c>
      <c r="I157" s="226" t="s">
        <v>1431</v>
      </c>
      <c r="J157" s="226" t="s">
        <v>1170</v>
      </c>
      <c r="K157" s="227">
        <v>46087.229166666664</v>
      </c>
      <c r="L157" s="227">
        <v>46092.683333333334</v>
      </c>
      <c r="M157" s="227">
        <v>46093.229166666664</v>
      </c>
      <c r="N157" s="227">
        <v>46092.833333333336</v>
      </c>
      <c r="O157" s="226" t="s">
        <v>1171</v>
      </c>
      <c r="P157" s="227">
        <v>46109.229166666664</v>
      </c>
      <c r="Q157" s="226">
        <v>4</v>
      </c>
      <c r="R157" s="226"/>
      <c r="S157" s="226">
        <v>2</v>
      </c>
      <c r="T157" s="226"/>
      <c r="U157" s="226" t="s">
        <v>1</v>
      </c>
      <c r="V157" s="226" t="s">
        <v>1</v>
      </c>
      <c r="W157" s="226" t="s">
        <v>1441</v>
      </c>
      <c r="X157" s="227">
        <v>46050.689583333333</v>
      </c>
      <c r="Y157" s="226" t="s">
        <v>1477</v>
      </c>
      <c r="Z157" s="226" t="s">
        <v>1432</v>
      </c>
      <c r="AA157" s="226" t="s">
        <v>1156</v>
      </c>
      <c r="AB157" s="226"/>
      <c r="AC157" s="226"/>
      <c r="AD157" s="226" t="s">
        <v>1398</v>
      </c>
      <c r="AE157" s="226" t="s">
        <v>1478</v>
      </c>
    </row>
    <row r="158" spans="1:31">
      <c r="A158" s="226" t="s">
        <v>1435</v>
      </c>
      <c r="B158" s="226" t="s">
        <v>1123</v>
      </c>
      <c r="C158" s="226" t="s">
        <v>1094</v>
      </c>
      <c r="D158" s="226" t="s">
        <v>1398</v>
      </c>
      <c r="E158" s="226">
        <v>4330816</v>
      </c>
      <c r="F158" s="226">
        <v>4409429</v>
      </c>
      <c r="G158" s="226" t="s">
        <v>783</v>
      </c>
      <c r="H158" s="226" t="s">
        <v>218</v>
      </c>
      <c r="I158" s="226" t="s">
        <v>1431</v>
      </c>
      <c r="J158" s="226" t="s">
        <v>1170</v>
      </c>
      <c r="K158" s="227">
        <v>46090.229166666664</v>
      </c>
      <c r="L158" s="227">
        <v>46091.748611111114</v>
      </c>
      <c r="M158" s="227">
        <v>46093.229166666664</v>
      </c>
      <c r="N158" s="227">
        <v>46093.90625</v>
      </c>
      <c r="O158" s="226" t="s">
        <v>1171</v>
      </c>
      <c r="P158" s="227">
        <v>46109.229166666664</v>
      </c>
      <c r="Q158" s="226">
        <v>3</v>
      </c>
      <c r="R158" s="226"/>
      <c r="S158" s="226">
        <v>2</v>
      </c>
      <c r="T158" s="226"/>
      <c r="U158" s="226" t="s">
        <v>1</v>
      </c>
      <c r="V158" s="226" t="s">
        <v>1</v>
      </c>
      <c r="W158" s="226" t="s">
        <v>1400</v>
      </c>
      <c r="X158" s="227">
        <v>46085.714583333334</v>
      </c>
      <c r="Y158" s="226" t="s">
        <v>1479</v>
      </c>
      <c r="Z158" s="226" t="s">
        <v>1432</v>
      </c>
      <c r="AA158" s="226" t="s">
        <v>1425</v>
      </c>
      <c r="AB158" s="226"/>
      <c r="AC158" s="226"/>
      <c r="AD158" s="226" t="s">
        <v>1480</v>
      </c>
      <c r="AE158" s="226" t="s">
        <v>1434</v>
      </c>
    </row>
    <row r="159" spans="1:31">
      <c r="A159" s="226" t="s">
        <v>1457</v>
      </c>
      <c r="B159" s="226" t="s">
        <v>1123</v>
      </c>
      <c r="C159" s="226" t="s">
        <v>1094</v>
      </c>
      <c r="D159" s="226" t="s">
        <v>1188</v>
      </c>
      <c r="E159" s="226">
        <v>4223629</v>
      </c>
      <c r="F159" s="226">
        <v>4278524</v>
      </c>
      <c r="G159" s="226" t="s">
        <v>553</v>
      </c>
      <c r="H159" s="226" t="s">
        <v>218</v>
      </c>
      <c r="I159" s="226" t="s">
        <v>1431</v>
      </c>
      <c r="J159" s="226" t="s">
        <v>1179</v>
      </c>
      <c r="K159" s="227">
        <v>46086.229166666664</v>
      </c>
      <c r="L159" s="227">
        <v>46088.086111111108</v>
      </c>
      <c r="M159" s="227">
        <v>46094.229166666664</v>
      </c>
      <c r="N159" s="227">
        <v>46093.73541666667</v>
      </c>
      <c r="O159" s="226" t="s">
        <v>1171</v>
      </c>
      <c r="P159" s="227">
        <v>46109.729166666664</v>
      </c>
      <c r="Q159" s="226">
        <v>4</v>
      </c>
      <c r="R159" s="226"/>
      <c r="S159" s="226">
        <v>2</v>
      </c>
      <c r="T159" s="226"/>
      <c r="U159" s="226" t="s">
        <v>1</v>
      </c>
      <c r="V159" s="226" t="s">
        <v>1</v>
      </c>
      <c r="W159" s="226" t="s">
        <v>1441</v>
      </c>
      <c r="X159" s="227">
        <v>46006.706944444442</v>
      </c>
      <c r="Y159" s="226" t="s">
        <v>1444</v>
      </c>
      <c r="Z159" s="226" t="s">
        <v>1432</v>
      </c>
      <c r="AA159" s="226" t="s">
        <v>1156</v>
      </c>
      <c r="AB159" s="226"/>
      <c r="AC159" s="226"/>
      <c r="AD159" s="226" t="s">
        <v>1460</v>
      </c>
      <c r="AE159" s="226" t="s">
        <v>1434</v>
      </c>
    </row>
    <row r="160" spans="1:31">
      <c r="A160" s="226" t="s">
        <v>1439</v>
      </c>
      <c r="B160" s="226" t="s">
        <v>1123</v>
      </c>
      <c r="C160" s="226" t="s">
        <v>1094</v>
      </c>
      <c r="D160" s="226" t="s">
        <v>1188</v>
      </c>
      <c r="E160" s="226">
        <v>4369453</v>
      </c>
      <c r="F160" s="226">
        <v>4368032</v>
      </c>
      <c r="G160" s="226" t="s">
        <v>1481</v>
      </c>
      <c r="H160" s="226" t="s">
        <v>218</v>
      </c>
      <c r="I160" s="226" t="s">
        <v>1431</v>
      </c>
      <c r="J160" s="226" t="s">
        <v>1179</v>
      </c>
      <c r="K160" s="227">
        <v>46090.65</v>
      </c>
      <c r="L160" s="227">
        <v>46091.836805555555</v>
      </c>
      <c r="M160" s="227">
        <v>46098.229166666664</v>
      </c>
      <c r="N160" s="227">
        <v>46094.973611111112</v>
      </c>
      <c r="O160" s="226" t="s">
        <v>1171</v>
      </c>
      <c r="P160" s="227">
        <v>46109.979166666664</v>
      </c>
      <c r="Q160" s="226">
        <v>3</v>
      </c>
      <c r="R160" s="226"/>
      <c r="S160" s="226">
        <v>2</v>
      </c>
      <c r="T160" s="226"/>
      <c r="U160" s="226" t="s">
        <v>1</v>
      </c>
      <c r="V160" s="226" t="s">
        <v>1</v>
      </c>
      <c r="W160" s="226" t="s">
        <v>1441</v>
      </c>
      <c r="X160" s="227">
        <v>46066.781944444447</v>
      </c>
      <c r="Y160" s="226" t="s">
        <v>1442</v>
      </c>
      <c r="Z160" s="226" t="s">
        <v>1432</v>
      </c>
      <c r="AA160" s="226" t="s">
        <v>1156</v>
      </c>
      <c r="AB160" s="226"/>
      <c r="AC160" s="226"/>
      <c r="AD160" s="226" t="s">
        <v>1398</v>
      </c>
      <c r="AE160" s="226" t="s">
        <v>1434</v>
      </c>
    </row>
    <row r="161" spans="1:31">
      <c r="A161" s="226" t="s">
        <v>1470</v>
      </c>
      <c r="B161" s="226" t="s">
        <v>1123</v>
      </c>
      <c r="C161" s="226" t="s">
        <v>1094</v>
      </c>
      <c r="D161" s="226" t="s">
        <v>1188</v>
      </c>
      <c r="E161" s="226">
        <v>4393292</v>
      </c>
      <c r="F161" s="226">
        <v>4387513</v>
      </c>
      <c r="G161" s="226" t="s">
        <v>726</v>
      </c>
      <c r="H161" s="226" t="s">
        <v>218</v>
      </c>
      <c r="I161" s="226" t="s">
        <v>1431</v>
      </c>
      <c r="J161" s="226" t="s">
        <v>1170</v>
      </c>
      <c r="K161" s="227">
        <v>46086.229166666664</v>
      </c>
      <c r="L161" s="227">
        <v>46087.229166666664</v>
      </c>
      <c r="M161" s="227">
        <v>46091.229166666664</v>
      </c>
      <c r="N161" s="227">
        <v>46090.229166666664</v>
      </c>
      <c r="O161" s="226" t="s">
        <v>1171</v>
      </c>
      <c r="P161" s="227">
        <v>46109.229166666664</v>
      </c>
      <c r="Q161" s="226">
        <v>2</v>
      </c>
      <c r="R161" s="226"/>
      <c r="S161" s="226">
        <v>2</v>
      </c>
      <c r="T161" s="226"/>
      <c r="U161" s="226" t="s">
        <v>1</v>
      </c>
      <c r="V161" s="226" t="s">
        <v>1</v>
      </c>
      <c r="W161" s="226" t="s">
        <v>1441</v>
      </c>
      <c r="X161" s="227">
        <v>46076.660416666666</v>
      </c>
      <c r="Y161" s="226" t="s">
        <v>1442</v>
      </c>
      <c r="Z161" s="226" t="s">
        <v>1432</v>
      </c>
      <c r="AA161" s="226" t="s">
        <v>1156</v>
      </c>
      <c r="AB161" s="226"/>
      <c r="AC161" s="226"/>
      <c r="AD161" s="226" t="s">
        <v>1398</v>
      </c>
      <c r="AE161" s="226" t="s">
        <v>1434</v>
      </c>
    </row>
    <row r="162" spans="1:31">
      <c r="A162" s="226" t="s">
        <v>1457</v>
      </c>
      <c r="B162" s="226" t="s">
        <v>1123</v>
      </c>
      <c r="C162" s="226" t="s">
        <v>1094</v>
      </c>
      <c r="D162" s="226" t="s">
        <v>1188</v>
      </c>
      <c r="E162" s="226">
        <v>4223629</v>
      </c>
      <c r="F162" s="226">
        <v>4388392</v>
      </c>
      <c r="G162" s="226" t="s">
        <v>727</v>
      </c>
      <c r="H162" s="226" t="s">
        <v>218</v>
      </c>
      <c r="I162" s="226" t="s">
        <v>1431</v>
      </c>
      <c r="J162" s="226" t="s">
        <v>1170</v>
      </c>
      <c r="K162" s="227">
        <v>46087.229166666664</v>
      </c>
      <c r="L162" s="227">
        <v>46087.229166666664</v>
      </c>
      <c r="M162" s="227">
        <v>46092.229166666664</v>
      </c>
      <c r="N162" s="227">
        <v>46093.929166666669</v>
      </c>
      <c r="O162" s="226" t="s">
        <v>1171</v>
      </c>
      <c r="P162" s="227">
        <v>46109.229166666664</v>
      </c>
      <c r="Q162" s="226">
        <v>1</v>
      </c>
      <c r="R162" s="226"/>
      <c r="S162" s="226">
        <v>2</v>
      </c>
      <c r="T162" s="226"/>
      <c r="U162" s="226" t="s">
        <v>1</v>
      </c>
      <c r="V162" s="226" t="s">
        <v>1</v>
      </c>
      <c r="W162" s="226" t="s">
        <v>1441</v>
      </c>
      <c r="X162" s="227">
        <v>46076.789583333331</v>
      </c>
      <c r="Y162" s="226" t="s">
        <v>1444</v>
      </c>
      <c r="Z162" s="226" t="s">
        <v>1432</v>
      </c>
      <c r="AA162" s="226" t="s">
        <v>1156</v>
      </c>
      <c r="AB162" s="226"/>
      <c r="AC162" s="226"/>
      <c r="AD162" s="226" t="s">
        <v>1460</v>
      </c>
      <c r="AE162" s="226" t="s">
        <v>1434</v>
      </c>
    </row>
    <row r="163" spans="1:31">
      <c r="A163" s="226" t="s">
        <v>1470</v>
      </c>
      <c r="B163" s="226" t="s">
        <v>1123</v>
      </c>
      <c r="C163" s="226" t="s">
        <v>1094</v>
      </c>
      <c r="D163" s="226" t="s">
        <v>1188</v>
      </c>
      <c r="E163" s="226">
        <v>4393292</v>
      </c>
      <c r="F163" s="226">
        <v>4387511</v>
      </c>
      <c r="G163" s="226" t="s">
        <v>725</v>
      </c>
      <c r="H163" s="226" t="s">
        <v>218</v>
      </c>
      <c r="I163" s="226" t="s">
        <v>1431</v>
      </c>
      <c r="J163" s="226" t="s">
        <v>1170</v>
      </c>
      <c r="K163" s="227">
        <v>46085.229166666664</v>
      </c>
      <c r="L163" s="227">
        <v>46087.719444444447</v>
      </c>
      <c r="M163" s="227">
        <v>46090.229166666664</v>
      </c>
      <c r="N163" s="227">
        <v>46093.01458333333</v>
      </c>
      <c r="O163" s="226" t="s">
        <v>1171</v>
      </c>
      <c r="P163" s="227">
        <v>46109.229166666664</v>
      </c>
      <c r="Q163" s="226">
        <v>2</v>
      </c>
      <c r="R163" s="226"/>
      <c r="S163" s="226">
        <v>2</v>
      </c>
      <c r="T163" s="226"/>
      <c r="U163" s="226" t="s">
        <v>1</v>
      </c>
      <c r="V163" s="226" t="s">
        <v>1</v>
      </c>
      <c r="W163" s="226" t="s">
        <v>1441</v>
      </c>
      <c r="X163" s="227">
        <v>46076.658333333333</v>
      </c>
      <c r="Y163" s="226" t="s">
        <v>1444</v>
      </c>
      <c r="Z163" s="226" t="s">
        <v>1432</v>
      </c>
      <c r="AA163" s="226" t="s">
        <v>1156</v>
      </c>
      <c r="AB163" s="226"/>
      <c r="AC163" s="226"/>
      <c r="AD163" s="226" t="s">
        <v>1398</v>
      </c>
      <c r="AE163" s="226" t="s">
        <v>1434</v>
      </c>
    </row>
    <row r="164" spans="1:31">
      <c r="A164" s="226" t="s">
        <v>1464</v>
      </c>
      <c r="B164" s="226" t="s">
        <v>1123</v>
      </c>
      <c r="C164" s="226" t="s">
        <v>1094</v>
      </c>
      <c r="D164" s="226" t="s">
        <v>1398</v>
      </c>
      <c r="E164" s="226">
        <v>4372101</v>
      </c>
      <c r="F164" s="226">
        <v>4373635</v>
      </c>
      <c r="G164" s="226" t="s">
        <v>1482</v>
      </c>
      <c r="H164" s="226" t="s">
        <v>218</v>
      </c>
      <c r="I164" s="226" t="s">
        <v>1431</v>
      </c>
      <c r="J164" s="226" t="s">
        <v>1170</v>
      </c>
      <c r="K164" s="227">
        <v>46087.229166666664</v>
      </c>
      <c r="L164" s="227">
        <v>46087.833333333336</v>
      </c>
      <c r="M164" s="227">
        <v>46094.979166666664</v>
      </c>
      <c r="N164" s="227">
        <v>46093.947916666664</v>
      </c>
      <c r="O164" s="226" t="s">
        <v>1171</v>
      </c>
      <c r="P164" s="227">
        <v>46109.229166666664</v>
      </c>
      <c r="Q164" s="226">
        <v>6</v>
      </c>
      <c r="R164" s="226"/>
      <c r="S164" s="226">
        <v>2</v>
      </c>
      <c r="T164" s="226"/>
      <c r="U164" s="226" t="s">
        <v>1</v>
      </c>
      <c r="V164" s="226" t="s">
        <v>1</v>
      </c>
      <c r="W164" s="226" t="s">
        <v>1400</v>
      </c>
      <c r="X164" s="227">
        <v>46072.305555555555</v>
      </c>
      <c r="Y164" s="226"/>
      <c r="Z164" s="226" t="s">
        <v>1432</v>
      </c>
      <c r="AA164" s="226" t="s">
        <v>1238</v>
      </c>
      <c r="AB164" s="226"/>
      <c r="AC164" s="226"/>
      <c r="AD164" s="226" t="s">
        <v>1483</v>
      </c>
      <c r="AE164" s="226" t="s">
        <v>1434</v>
      </c>
    </row>
    <row r="165" spans="1:31">
      <c r="A165" s="226" t="s">
        <v>1435</v>
      </c>
      <c r="B165" s="226" t="s">
        <v>1123</v>
      </c>
      <c r="C165" s="226" t="s">
        <v>1094</v>
      </c>
      <c r="D165" s="226" t="s">
        <v>1398</v>
      </c>
      <c r="E165" s="226">
        <v>4330816</v>
      </c>
      <c r="F165" s="226">
        <v>4373745</v>
      </c>
      <c r="G165" s="226" t="s">
        <v>555</v>
      </c>
      <c r="H165" s="226" t="s">
        <v>218</v>
      </c>
      <c r="I165" s="226" t="s">
        <v>1431</v>
      </c>
      <c r="J165" s="226" t="s">
        <v>1170</v>
      </c>
      <c r="K165" s="227">
        <v>46087.229166666664</v>
      </c>
      <c r="L165" s="227">
        <v>46088.020833333336</v>
      </c>
      <c r="M165" s="227">
        <v>46093.229166666664</v>
      </c>
      <c r="N165" s="227">
        <v>46093.890277777777</v>
      </c>
      <c r="O165" s="226" t="s">
        <v>1171</v>
      </c>
      <c r="P165" s="227">
        <v>46109.229166666664</v>
      </c>
      <c r="Q165" s="226">
        <v>5</v>
      </c>
      <c r="R165" s="226"/>
      <c r="S165" s="226">
        <v>2</v>
      </c>
      <c r="T165" s="226"/>
      <c r="U165" s="226" t="s">
        <v>1</v>
      </c>
      <c r="V165" s="226" t="s">
        <v>1</v>
      </c>
      <c r="W165" s="226" t="s">
        <v>1400</v>
      </c>
      <c r="X165" s="227">
        <v>46072.407638888886</v>
      </c>
      <c r="Y165" s="226" t="s">
        <v>1244</v>
      </c>
      <c r="Z165" s="226" t="s">
        <v>1432</v>
      </c>
      <c r="AA165" s="226" t="s">
        <v>1238</v>
      </c>
      <c r="AB165" s="226"/>
      <c r="AC165" s="226"/>
      <c r="AD165" s="226" t="s">
        <v>1484</v>
      </c>
      <c r="AE165" s="226" t="s">
        <v>1434</v>
      </c>
    </row>
    <row r="166" spans="1:31">
      <c r="A166" s="226" t="s">
        <v>1485</v>
      </c>
      <c r="B166" s="226" t="s">
        <v>1123</v>
      </c>
      <c r="C166" s="226" t="s">
        <v>1094</v>
      </c>
      <c r="D166" s="226" t="s">
        <v>1486</v>
      </c>
      <c r="E166" s="226">
        <v>4368954</v>
      </c>
      <c r="F166" s="226">
        <v>4372288</v>
      </c>
      <c r="G166" s="226" t="s">
        <v>1487</v>
      </c>
      <c r="H166" s="226" t="s">
        <v>218</v>
      </c>
      <c r="I166" s="226" t="s">
        <v>1488</v>
      </c>
      <c r="J166" s="226" t="s">
        <v>1170</v>
      </c>
      <c r="K166" s="227">
        <v>46093.145833333336</v>
      </c>
      <c r="L166" s="227">
        <v>46092.876388888886</v>
      </c>
      <c r="M166" s="227">
        <v>46095.0625</v>
      </c>
      <c r="N166" s="227">
        <v>46095.026388888888</v>
      </c>
      <c r="O166" s="226" t="s">
        <v>1171</v>
      </c>
      <c r="P166" s="227">
        <v>46109.229166666664</v>
      </c>
      <c r="Q166" s="226">
        <v>2</v>
      </c>
      <c r="R166" s="226"/>
      <c r="S166" s="226">
        <v>2</v>
      </c>
      <c r="T166" s="226"/>
      <c r="U166" s="226" t="s">
        <v>1</v>
      </c>
      <c r="V166" s="226" t="s">
        <v>1</v>
      </c>
      <c r="W166" s="226" t="s">
        <v>1489</v>
      </c>
      <c r="X166" s="227">
        <v>46071.493750000001</v>
      </c>
      <c r="Y166" s="226" t="s">
        <v>1490</v>
      </c>
      <c r="Z166" s="226" t="s">
        <v>1491</v>
      </c>
      <c r="AA166" s="226" t="s">
        <v>1492</v>
      </c>
      <c r="AB166" s="226"/>
      <c r="AC166" s="226"/>
      <c r="AD166" s="226" t="s">
        <v>1493</v>
      </c>
      <c r="AE166" s="226" t="s">
        <v>1176</v>
      </c>
    </row>
    <row r="167" spans="1:31">
      <c r="A167" s="226" t="s">
        <v>1485</v>
      </c>
      <c r="B167" s="226" t="s">
        <v>1123</v>
      </c>
      <c r="C167" s="226" t="s">
        <v>1094</v>
      </c>
      <c r="D167" s="226" t="s">
        <v>1486</v>
      </c>
      <c r="E167" s="226">
        <v>4368954</v>
      </c>
      <c r="F167" s="226">
        <v>4367411</v>
      </c>
      <c r="G167" s="226" t="s">
        <v>584</v>
      </c>
      <c r="H167" s="226" t="s">
        <v>218</v>
      </c>
      <c r="I167" s="226" t="s">
        <v>1488</v>
      </c>
      <c r="J167" s="226" t="s">
        <v>1170</v>
      </c>
      <c r="K167" s="227">
        <v>46093.145833333336</v>
      </c>
      <c r="L167" s="227">
        <v>46092.897916666669</v>
      </c>
      <c r="M167" s="227">
        <v>46094.229166666664</v>
      </c>
      <c r="N167" s="227">
        <v>46094.809027777781</v>
      </c>
      <c r="O167" s="226" t="s">
        <v>1171</v>
      </c>
      <c r="P167" s="227">
        <v>46109.229166666664</v>
      </c>
      <c r="Q167" s="226">
        <v>3</v>
      </c>
      <c r="R167" s="226"/>
      <c r="S167" s="226">
        <v>2</v>
      </c>
      <c r="T167" s="226"/>
      <c r="U167" s="226" t="s">
        <v>1</v>
      </c>
      <c r="V167" s="226" t="s">
        <v>1</v>
      </c>
      <c r="W167" s="226" t="s">
        <v>1489</v>
      </c>
      <c r="X167" s="227">
        <v>46066.609027777777</v>
      </c>
      <c r="Y167" s="226" t="s">
        <v>1490</v>
      </c>
      <c r="Z167" s="226" t="s">
        <v>1491</v>
      </c>
      <c r="AA167" s="226" t="s">
        <v>1492</v>
      </c>
      <c r="AB167" s="226"/>
      <c r="AC167" s="226"/>
      <c r="AD167" s="226" t="s">
        <v>1493</v>
      </c>
      <c r="AE167" s="226" t="s">
        <v>1176</v>
      </c>
    </row>
    <row r="168" spans="1:31">
      <c r="A168" s="226" t="s">
        <v>1485</v>
      </c>
      <c r="B168" s="226" t="s">
        <v>1123</v>
      </c>
      <c r="C168" s="226" t="s">
        <v>1094</v>
      </c>
      <c r="D168" s="226" t="s">
        <v>1486</v>
      </c>
      <c r="E168" s="226">
        <v>4368954</v>
      </c>
      <c r="F168" s="226">
        <v>4367444</v>
      </c>
      <c r="G168" s="226" t="s">
        <v>586</v>
      </c>
      <c r="H168" s="226" t="s">
        <v>218</v>
      </c>
      <c r="I168" s="226" t="s">
        <v>1488</v>
      </c>
      <c r="J168" s="226" t="s">
        <v>1170</v>
      </c>
      <c r="K168" s="227">
        <v>46093.145833333336</v>
      </c>
      <c r="L168" s="227">
        <v>46092.897916666669</v>
      </c>
      <c r="M168" s="227">
        <v>46094.0625</v>
      </c>
      <c r="N168" s="227">
        <v>46094.807638888888</v>
      </c>
      <c r="O168" s="226" t="s">
        <v>1171</v>
      </c>
      <c r="P168" s="227">
        <v>46109.229166666664</v>
      </c>
      <c r="Q168" s="226">
        <v>3</v>
      </c>
      <c r="R168" s="226"/>
      <c r="S168" s="226">
        <v>2</v>
      </c>
      <c r="T168" s="226"/>
      <c r="U168" s="226" t="s">
        <v>1</v>
      </c>
      <c r="V168" s="226" t="s">
        <v>1</v>
      </c>
      <c r="W168" s="226" t="s">
        <v>1489</v>
      </c>
      <c r="X168" s="227">
        <v>46066.647916666669</v>
      </c>
      <c r="Y168" s="226" t="s">
        <v>1490</v>
      </c>
      <c r="Z168" s="226" t="s">
        <v>1491</v>
      </c>
      <c r="AA168" s="226" t="s">
        <v>1492</v>
      </c>
      <c r="AB168" s="226"/>
      <c r="AC168" s="226"/>
      <c r="AD168" s="226" t="s">
        <v>1493</v>
      </c>
      <c r="AE168" s="226" t="s">
        <v>1176</v>
      </c>
    </row>
    <row r="169" spans="1:31">
      <c r="A169" s="226" t="s">
        <v>1485</v>
      </c>
      <c r="B169" s="226" t="s">
        <v>1123</v>
      </c>
      <c r="C169" s="226" t="s">
        <v>1094</v>
      </c>
      <c r="D169" s="226" t="s">
        <v>1486</v>
      </c>
      <c r="E169" s="226">
        <v>4368954</v>
      </c>
      <c r="F169" s="226">
        <v>4367450</v>
      </c>
      <c r="G169" s="226" t="s">
        <v>587</v>
      </c>
      <c r="H169" s="226" t="s">
        <v>218</v>
      </c>
      <c r="I169" s="226" t="s">
        <v>1488</v>
      </c>
      <c r="J169" s="226" t="s">
        <v>1170</v>
      </c>
      <c r="K169" s="227">
        <v>46093.145833333336</v>
      </c>
      <c r="L169" s="227">
        <v>46092.897222222222</v>
      </c>
      <c r="M169" s="227">
        <v>46094.0625</v>
      </c>
      <c r="N169" s="227">
        <v>46094.806944444441</v>
      </c>
      <c r="O169" s="226" t="s">
        <v>1171</v>
      </c>
      <c r="P169" s="227">
        <v>46109.229166666664</v>
      </c>
      <c r="Q169" s="226">
        <v>3</v>
      </c>
      <c r="R169" s="226"/>
      <c r="S169" s="226">
        <v>2</v>
      </c>
      <c r="T169" s="226"/>
      <c r="U169" s="226" t="s">
        <v>1</v>
      </c>
      <c r="V169" s="226" t="s">
        <v>1</v>
      </c>
      <c r="W169" s="226" t="s">
        <v>1489</v>
      </c>
      <c r="X169" s="227">
        <v>46066.65</v>
      </c>
      <c r="Y169" s="226" t="s">
        <v>1490</v>
      </c>
      <c r="Z169" s="226" t="s">
        <v>1491</v>
      </c>
      <c r="AA169" s="226" t="s">
        <v>1492</v>
      </c>
      <c r="AB169" s="226"/>
      <c r="AC169" s="226"/>
      <c r="AD169" s="226" t="s">
        <v>1493</v>
      </c>
      <c r="AE169" s="226" t="s">
        <v>1176</v>
      </c>
    </row>
    <row r="170" spans="1:31">
      <c r="A170" s="226" t="s">
        <v>1494</v>
      </c>
      <c r="B170" s="226" t="s">
        <v>1123</v>
      </c>
      <c r="C170" s="226" t="s">
        <v>1149</v>
      </c>
      <c r="D170" s="226" t="s">
        <v>1495</v>
      </c>
      <c r="E170" s="226">
        <v>4282653</v>
      </c>
      <c r="F170" s="226">
        <v>4371534</v>
      </c>
      <c r="G170" s="226" t="s">
        <v>278</v>
      </c>
      <c r="H170" s="226" t="s">
        <v>866</v>
      </c>
      <c r="I170" s="226" t="s">
        <v>1496</v>
      </c>
      <c r="J170" s="226" t="s">
        <v>1207</v>
      </c>
      <c r="K170" s="227">
        <v>46093.104166666664</v>
      </c>
      <c r="L170" s="227">
        <v>46092.888888888891</v>
      </c>
      <c r="M170" s="227"/>
      <c r="N170" s="227"/>
      <c r="O170" s="226" t="s">
        <v>1263</v>
      </c>
      <c r="P170" s="227">
        <v>46109.229166666664</v>
      </c>
      <c r="Q170" s="226">
        <v>5</v>
      </c>
      <c r="R170" s="226"/>
      <c r="S170" s="226">
        <v>1</v>
      </c>
      <c r="T170" s="226"/>
      <c r="U170" s="226" t="s">
        <v>1</v>
      </c>
      <c r="V170" s="226" t="s">
        <v>1</v>
      </c>
      <c r="W170" s="226" t="s">
        <v>1497</v>
      </c>
      <c r="X170" s="227">
        <v>46070.570138888892</v>
      </c>
      <c r="Y170" s="226" t="s">
        <v>1137</v>
      </c>
      <c r="Z170" s="226" t="s">
        <v>1498</v>
      </c>
      <c r="AA170" s="226" t="s">
        <v>1499</v>
      </c>
      <c r="AB170" s="226"/>
      <c r="AC170" s="226"/>
      <c r="AD170" s="226" t="s">
        <v>1495</v>
      </c>
      <c r="AE170" s="226" t="s">
        <v>1500</v>
      </c>
    </row>
    <row r="171" spans="1:31">
      <c r="A171" s="226" t="s">
        <v>1494</v>
      </c>
      <c r="B171" s="226" t="s">
        <v>1123</v>
      </c>
      <c r="C171" s="226" t="s">
        <v>1149</v>
      </c>
      <c r="D171" s="226" t="s">
        <v>1495</v>
      </c>
      <c r="E171" s="226">
        <v>4282653</v>
      </c>
      <c r="F171" s="226">
        <v>4285630</v>
      </c>
      <c r="G171" s="226" t="s">
        <v>254</v>
      </c>
      <c r="H171" s="226" t="s">
        <v>866</v>
      </c>
      <c r="I171" s="226" t="s">
        <v>1496</v>
      </c>
      <c r="J171" s="226" t="s">
        <v>1207</v>
      </c>
      <c r="K171" s="227">
        <v>46093.104166666664</v>
      </c>
      <c r="L171" s="227">
        <v>46092.46597222222</v>
      </c>
      <c r="M171" s="226"/>
      <c r="N171" s="226"/>
      <c r="O171" s="226" t="s">
        <v>1253</v>
      </c>
      <c r="P171" s="227">
        <v>46109.229166666664</v>
      </c>
      <c r="Q171" s="226">
        <v>8</v>
      </c>
      <c r="R171" s="226"/>
      <c r="S171" s="226">
        <v>1</v>
      </c>
      <c r="T171" s="226"/>
      <c r="U171" s="226" t="s">
        <v>1</v>
      </c>
      <c r="V171" s="226" t="s">
        <v>1</v>
      </c>
      <c r="W171" s="226" t="s">
        <v>1497</v>
      </c>
      <c r="X171" s="227">
        <v>46010.772222222222</v>
      </c>
      <c r="Y171" s="226" t="s">
        <v>1137</v>
      </c>
      <c r="Z171" s="226" t="s">
        <v>1498</v>
      </c>
      <c r="AA171" s="226" t="s">
        <v>1499</v>
      </c>
      <c r="AB171" s="226"/>
      <c r="AC171" s="226"/>
      <c r="AD171" s="226" t="s">
        <v>1495</v>
      </c>
      <c r="AE171" s="226" t="s">
        <v>1500</v>
      </c>
    </row>
    <row r="172" spans="1:31">
      <c r="A172" s="226" t="s">
        <v>1494</v>
      </c>
      <c r="B172" s="226" t="s">
        <v>1123</v>
      </c>
      <c r="C172" s="226" t="s">
        <v>1149</v>
      </c>
      <c r="D172" s="226" t="s">
        <v>1495</v>
      </c>
      <c r="E172" s="226">
        <v>4282653</v>
      </c>
      <c r="F172" s="226">
        <v>4285636</v>
      </c>
      <c r="G172" s="226" t="s">
        <v>256</v>
      </c>
      <c r="H172" s="226" t="s">
        <v>866</v>
      </c>
      <c r="I172" s="226" t="s">
        <v>1496</v>
      </c>
      <c r="J172" s="226" t="s">
        <v>1207</v>
      </c>
      <c r="K172" s="227">
        <v>46093.104166666664</v>
      </c>
      <c r="L172" s="227">
        <v>46092.771527777775</v>
      </c>
      <c r="M172" s="226"/>
      <c r="N172" s="226"/>
      <c r="O172" s="226" t="s">
        <v>1501</v>
      </c>
      <c r="P172" s="227">
        <v>46109.229166666664</v>
      </c>
      <c r="Q172" s="226">
        <v>8</v>
      </c>
      <c r="R172" s="226"/>
      <c r="S172" s="226">
        <v>1</v>
      </c>
      <c r="T172" s="226"/>
      <c r="U172" s="226" t="s">
        <v>1</v>
      </c>
      <c r="V172" s="226" t="s">
        <v>1</v>
      </c>
      <c r="W172" s="226" t="s">
        <v>1497</v>
      </c>
      <c r="X172" s="227">
        <v>46010.77847222222</v>
      </c>
      <c r="Y172" s="226" t="s">
        <v>1137</v>
      </c>
      <c r="Z172" s="226" t="s">
        <v>1498</v>
      </c>
      <c r="AA172" s="226" t="s">
        <v>1499</v>
      </c>
      <c r="AB172" s="226"/>
      <c r="AC172" s="226"/>
      <c r="AD172" s="226" t="s">
        <v>1495</v>
      </c>
      <c r="AE172" s="226" t="s">
        <v>1500</v>
      </c>
    </row>
    <row r="173" spans="1:31">
      <c r="A173" s="226" t="s">
        <v>1494</v>
      </c>
      <c r="B173" s="226" t="s">
        <v>1123</v>
      </c>
      <c r="C173" s="226" t="s">
        <v>1149</v>
      </c>
      <c r="D173" s="226" t="s">
        <v>1495</v>
      </c>
      <c r="E173" s="226">
        <v>4282653</v>
      </c>
      <c r="F173" s="226">
        <v>4275672</v>
      </c>
      <c r="G173" s="226" t="s">
        <v>259</v>
      </c>
      <c r="H173" s="226" t="s">
        <v>866</v>
      </c>
      <c r="I173" s="226" t="s">
        <v>1496</v>
      </c>
      <c r="J173" s="226" t="s">
        <v>1207</v>
      </c>
      <c r="K173" s="227">
        <v>46093.104166666664</v>
      </c>
      <c r="L173" s="227">
        <v>46092.888194444444</v>
      </c>
      <c r="M173" s="226"/>
      <c r="N173" s="226"/>
      <c r="O173" s="226" t="s">
        <v>1263</v>
      </c>
      <c r="P173" s="227">
        <v>46109.229166666664</v>
      </c>
      <c r="Q173" s="226">
        <v>8</v>
      </c>
      <c r="R173" s="226"/>
      <c r="S173" s="226">
        <v>1</v>
      </c>
      <c r="T173" s="226"/>
      <c r="U173" s="226" t="s">
        <v>1</v>
      </c>
      <c r="V173" s="226" t="s">
        <v>1</v>
      </c>
      <c r="W173" s="226" t="s">
        <v>1497</v>
      </c>
      <c r="X173" s="227">
        <v>46001.496527777781</v>
      </c>
      <c r="Y173" s="226" t="s">
        <v>1137</v>
      </c>
      <c r="Z173" s="226" t="s">
        <v>1498</v>
      </c>
      <c r="AA173" s="226" t="s">
        <v>1499</v>
      </c>
      <c r="AB173" s="226"/>
      <c r="AC173" s="226"/>
      <c r="AD173" s="226" t="s">
        <v>1495</v>
      </c>
      <c r="AE173" s="226" t="s">
        <v>1500</v>
      </c>
    </row>
    <row r="174" spans="1:31">
      <c r="A174" s="226" t="s">
        <v>1494</v>
      </c>
      <c r="B174" s="226" t="s">
        <v>1123</v>
      </c>
      <c r="C174" s="226" t="s">
        <v>1149</v>
      </c>
      <c r="D174" s="226" t="s">
        <v>1495</v>
      </c>
      <c r="E174" s="226">
        <v>4282653</v>
      </c>
      <c r="F174" s="226">
        <v>4269089</v>
      </c>
      <c r="G174" s="226" t="s">
        <v>260</v>
      </c>
      <c r="H174" s="226" t="s">
        <v>866</v>
      </c>
      <c r="I174" s="226" t="s">
        <v>1496</v>
      </c>
      <c r="J174" s="226" t="s">
        <v>1207</v>
      </c>
      <c r="K174" s="227">
        <v>46093.104166666664</v>
      </c>
      <c r="L174" s="227">
        <v>46092.70208333333</v>
      </c>
      <c r="M174" s="226"/>
      <c r="N174" s="226"/>
      <c r="O174" s="226" t="s">
        <v>1502</v>
      </c>
      <c r="P174" s="227">
        <v>46109.229166666664</v>
      </c>
      <c r="Q174" s="226">
        <v>8</v>
      </c>
      <c r="R174" s="226"/>
      <c r="S174" s="226">
        <v>1</v>
      </c>
      <c r="T174" s="226"/>
      <c r="U174" s="226" t="s">
        <v>1</v>
      </c>
      <c r="V174" s="226" t="s">
        <v>1</v>
      </c>
      <c r="W174" s="226" t="s">
        <v>1497</v>
      </c>
      <c r="X174" s="227">
        <v>45994.712500000001</v>
      </c>
      <c r="Y174" s="226" t="s">
        <v>1137</v>
      </c>
      <c r="Z174" s="226" t="s">
        <v>1498</v>
      </c>
      <c r="AA174" s="226" t="s">
        <v>1499</v>
      </c>
      <c r="AB174" s="226"/>
      <c r="AC174" s="226"/>
      <c r="AD174" s="226" t="s">
        <v>1495</v>
      </c>
      <c r="AE174" s="226" t="s">
        <v>1500</v>
      </c>
    </row>
    <row r="175" spans="1:31">
      <c r="A175" s="226" t="s">
        <v>1494</v>
      </c>
      <c r="B175" s="226" t="s">
        <v>1123</v>
      </c>
      <c r="C175" s="226" t="s">
        <v>1149</v>
      </c>
      <c r="D175" s="226" t="s">
        <v>1495</v>
      </c>
      <c r="E175" s="226">
        <v>4282653</v>
      </c>
      <c r="F175" s="226">
        <v>4269111</v>
      </c>
      <c r="G175" s="226" t="s">
        <v>261</v>
      </c>
      <c r="H175" s="226" t="s">
        <v>866</v>
      </c>
      <c r="I175" s="226" t="s">
        <v>1496</v>
      </c>
      <c r="J175" s="226" t="s">
        <v>1207</v>
      </c>
      <c r="K175" s="227">
        <v>46093.104166666664</v>
      </c>
      <c r="L175" s="227">
        <v>46092.467361111114</v>
      </c>
      <c r="M175" s="226"/>
      <c r="N175" s="226"/>
      <c r="O175" s="226" t="s">
        <v>1503</v>
      </c>
      <c r="P175" s="227">
        <v>46109.229166666664</v>
      </c>
      <c r="Q175" s="226">
        <v>8</v>
      </c>
      <c r="R175" s="226"/>
      <c r="S175" s="226">
        <v>1</v>
      </c>
      <c r="T175" s="226"/>
      <c r="U175" s="226" t="s">
        <v>1</v>
      </c>
      <c r="V175" s="226" t="s">
        <v>1</v>
      </c>
      <c r="W175" s="226" t="s">
        <v>1497</v>
      </c>
      <c r="X175" s="227">
        <v>45994.723611111112</v>
      </c>
      <c r="Y175" s="226" t="s">
        <v>1137</v>
      </c>
      <c r="Z175" s="226" t="s">
        <v>1498</v>
      </c>
      <c r="AA175" s="226" t="s">
        <v>1499</v>
      </c>
      <c r="AB175" s="226"/>
      <c r="AC175" s="226"/>
      <c r="AD175" s="226" t="s">
        <v>1495</v>
      </c>
      <c r="AE175" s="226" t="s">
        <v>1500</v>
      </c>
    </row>
    <row r="176" spans="1:31">
      <c r="A176" s="226" t="s">
        <v>1166</v>
      </c>
      <c r="B176" s="226" t="s">
        <v>1123</v>
      </c>
      <c r="C176" s="226" t="s">
        <v>1159</v>
      </c>
      <c r="D176" s="226" t="s">
        <v>1150</v>
      </c>
      <c r="E176" s="226">
        <v>4378908</v>
      </c>
      <c r="F176" s="226">
        <v>4378666</v>
      </c>
      <c r="G176" s="226" t="s">
        <v>1504</v>
      </c>
      <c r="H176" s="226" t="s">
        <v>866</v>
      </c>
      <c r="I176" s="226" t="s">
        <v>1496</v>
      </c>
      <c r="J176" s="226" t="s">
        <v>1152</v>
      </c>
      <c r="K176" s="227">
        <v>46087.104166666664</v>
      </c>
      <c r="L176" s="227">
        <v>46086.931944444441</v>
      </c>
      <c r="M176" s="227">
        <v>46093.229166666664</v>
      </c>
      <c r="N176" s="227">
        <v>46093.229166666664</v>
      </c>
      <c r="O176" s="226" t="s">
        <v>1098</v>
      </c>
      <c r="P176" s="227">
        <v>46109.229166666664</v>
      </c>
      <c r="Q176" s="226">
        <v>3</v>
      </c>
      <c r="R176" s="226"/>
      <c r="S176" s="226">
        <v>2</v>
      </c>
      <c r="T176" s="226"/>
      <c r="U176" s="226" t="s">
        <v>1</v>
      </c>
      <c r="V176" s="226" t="s">
        <v>1</v>
      </c>
      <c r="W176" s="226" t="s">
        <v>1223</v>
      </c>
      <c r="X176" s="227">
        <v>46072.681250000001</v>
      </c>
      <c r="Y176" s="226" t="s">
        <v>1274</v>
      </c>
      <c r="Z176" s="226" t="s">
        <v>1498</v>
      </c>
      <c r="AA176" s="226" t="s">
        <v>1275</v>
      </c>
      <c r="AB176" s="226"/>
      <c r="AC176" s="226"/>
      <c r="AD176" s="226" t="s">
        <v>1276</v>
      </c>
      <c r="AE176" s="226" t="s">
        <v>1500</v>
      </c>
    </row>
    <row r="177" spans="1:31">
      <c r="A177" s="226" t="s">
        <v>1212</v>
      </c>
      <c r="B177" s="226" t="s">
        <v>1123</v>
      </c>
      <c r="C177" s="226" t="s">
        <v>1149</v>
      </c>
      <c r="D177" s="226" t="s">
        <v>1505</v>
      </c>
      <c r="E177" s="226">
        <v>4365826</v>
      </c>
      <c r="F177" s="226">
        <v>4373565</v>
      </c>
      <c r="G177" s="226" t="s">
        <v>1506</v>
      </c>
      <c r="H177" s="226" t="s">
        <v>218</v>
      </c>
      <c r="I177" s="226" t="s">
        <v>1496</v>
      </c>
      <c r="J177" s="226" t="s">
        <v>1127</v>
      </c>
      <c r="K177" s="227">
        <v>46086.104166666664</v>
      </c>
      <c r="L177" s="227">
        <v>46085.851388888892</v>
      </c>
      <c r="M177" s="227">
        <v>46091.229166666664</v>
      </c>
      <c r="N177" s="227">
        <v>46090.901388888888</v>
      </c>
      <c r="O177" s="226" t="s">
        <v>1128</v>
      </c>
      <c r="P177" s="227">
        <v>46109.229166666664</v>
      </c>
      <c r="Q177" s="226">
        <v>3</v>
      </c>
      <c r="R177" s="226"/>
      <c r="S177" s="226">
        <v>2</v>
      </c>
      <c r="T177" s="226"/>
      <c r="U177" s="226" t="s">
        <v>1</v>
      </c>
      <c r="V177" s="226" t="s">
        <v>1</v>
      </c>
      <c r="W177" s="226" t="s">
        <v>1189</v>
      </c>
      <c r="X177" s="227">
        <v>46071.9</v>
      </c>
      <c r="Y177" s="226" t="s">
        <v>1507</v>
      </c>
      <c r="Z177" s="226" t="s">
        <v>1498</v>
      </c>
      <c r="AA177" s="226" t="s">
        <v>1508</v>
      </c>
      <c r="AB177" s="226"/>
      <c r="AC177" s="226"/>
      <c r="AD177" s="226" t="s">
        <v>1509</v>
      </c>
      <c r="AE177" s="226" t="s">
        <v>1500</v>
      </c>
    </row>
    <row r="178" spans="1:31">
      <c r="A178" s="226" t="s">
        <v>1166</v>
      </c>
      <c r="B178" s="226" t="s">
        <v>1123</v>
      </c>
      <c r="C178" s="226" t="s">
        <v>1094</v>
      </c>
      <c r="D178" s="226" t="s">
        <v>1510</v>
      </c>
      <c r="E178" s="226">
        <v>4378908</v>
      </c>
      <c r="F178" s="226">
        <v>4378894</v>
      </c>
      <c r="G178" s="226" t="s">
        <v>1511</v>
      </c>
      <c r="H178" s="226" t="s">
        <v>866</v>
      </c>
      <c r="I178" s="226" t="s">
        <v>1496</v>
      </c>
      <c r="J178" s="226" t="s">
        <v>1207</v>
      </c>
      <c r="K178" s="227">
        <v>46088.104166666664</v>
      </c>
      <c r="L178" s="227">
        <v>46087.833333333336</v>
      </c>
      <c r="M178" s="227"/>
      <c r="N178" s="227"/>
      <c r="O178" s="226" t="s">
        <v>1512</v>
      </c>
      <c r="P178" s="227">
        <v>46109.229166666664</v>
      </c>
      <c r="Q178" s="226">
        <v>5</v>
      </c>
      <c r="R178" s="226"/>
      <c r="S178" s="226">
        <v>2</v>
      </c>
      <c r="T178" s="226"/>
      <c r="U178" s="226" t="s">
        <v>1</v>
      </c>
      <c r="V178" s="226" t="s">
        <v>1</v>
      </c>
      <c r="W178" s="226" t="s">
        <v>1223</v>
      </c>
      <c r="X178" s="227">
        <v>46072.737500000003</v>
      </c>
      <c r="Y178" s="226" t="s">
        <v>1513</v>
      </c>
      <c r="Z178" s="226" t="s">
        <v>1498</v>
      </c>
      <c r="AA178" s="226" t="s">
        <v>1275</v>
      </c>
      <c r="AB178" s="226"/>
      <c r="AC178" s="226"/>
      <c r="AD178" s="226" t="s">
        <v>1514</v>
      </c>
      <c r="AE178" s="226" t="s">
        <v>1500</v>
      </c>
    </row>
    <row r="179" spans="1:31">
      <c r="A179" s="226" t="s">
        <v>1212</v>
      </c>
      <c r="B179" s="226" t="s">
        <v>1123</v>
      </c>
      <c r="C179" s="226" t="s">
        <v>1149</v>
      </c>
      <c r="D179" s="226" t="s">
        <v>1217</v>
      </c>
      <c r="E179" s="226">
        <v>4365826</v>
      </c>
      <c r="F179" s="226">
        <v>4391260</v>
      </c>
      <c r="G179" s="226" t="s">
        <v>307</v>
      </c>
      <c r="H179" s="226" t="s">
        <v>218</v>
      </c>
      <c r="I179" s="226" t="s">
        <v>1496</v>
      </c>
      <c r="J179" s="226" t="s">
        <v>1207</v>
      </c>
      <c r="K179" s="227">
        <v>46091.104166666664</v>
      </c>
      <c r="L179" s="227">
        <v>46090.668055555558</v>
      </c>
      <c r="M179" s="227">
        <v>46094.979166666664</v>
      </c>
      <c r="N179" s="227">
        <v>46093.946527777778</v>
      </c>
      <c r="O179" s="226" t="s">
        <v>1214</v>
      </c>
      <c r="P179" s="227">
        <v>46109.229166666664</v>
      </c>
      <c r="Q179" s="226">
        <v>3</v>
      </c>
      <c r="R179" s="226"/>
      <c r="S179" s="226">
        <v>2</v>
      </c>
      <c r="T179" s="226"/>
      <c r="U179" s="226" t="s">
        <v>1</v>
      </c>
      <c r="V179" s="226" t="s">
        <v>1</v>
      </c>
      <c r="W179" s="226" t="s">
        <v>1189</v>
      </c>
      <c r="X179" s="227">
        <v>46078.482638888891</v>
      </c>
      <c r="Y179" s="226" t="s">
        <v>1215</v>
      </c>
      <c r="Z179" s="226" t="s">
        <v>1498</v>
      </c>
      <c r="AA179" s="226" t="s">
        <v>1156</v>
      </c>
      <c r="AB179" s="226"/>
      <c r="AC179" s="226"/>
      <c r="AD179" s="226" t="s">
        <v>1515</v>
      </c>
      <c r="AE179" s="226" t="s">
        <v>1500</v>
      </c>
    </row>
    <row r="180" spans="1:31">
      <c r="A180" s="226" t="s">
        <v>1516</v>
      </c>
      <c r="B180" s="226" t="s">
        <v>1123</v>
      </c>
      <c r="C180" s="226" t="s">
        <v>1094</v>
      </c>
      <c r="D180" s="226" t="s">
        <v>44</v>
      </c>
      <c r="E180" s="226">
        <v>4387681</v>
      </c>
      <c r="F180" s="226">
        <v>4391961</v>
      </c>
      <c r="G180" s="226" t="s">
        <v>784</v>
      </c>
      <c r="H180" s="226" t="s">
        <v>218</v>
      </c>
      <c r="I180" s="226" t="s">
        <v>1517</v>
      </c>
      <c r="J180" s="226" t="s">
        <v>1170</v>
      </c>
      <c r="K180" s="227">
        <v>46087.229166666664</v>
      </c>
      <c r="L180" s="227">
        <v>46093.748611111114</v>
      </c>
      <c r="M180" s="227">
        <v>46093.229166666664</v>
      </c>
      <c r="N180" s="227">
        <v>46098.643055555556</v>
      </c>
      <c r="O180" s="226" t="s">
        <v>1171</v>
      </c>
      <c r="P180" s="227">
        <v>46109.229166666664</v>
      </c>
      <c r="Q180" s="226">
        <v>3</v>
      </c>
      <c r="R180" s="226"/>
      <c r="S180" s="226">
        <v>2</v>
      </c>
      <c r="T180" s="226"/>
      <c r="U180" s="226" t="s">
        <v>1</v>
      </c>
      <c r="V180" s="226" t="s">
        <v>1</v>
      </c>
      <c r="W180" s="226" t="s">
        <v>1455</v>
      </c>
      <c r="X180" s="227">
        <v>46078.730555555558</v>
      </c>
      <c r="Y180" s="226" t="s">
        <v>1518</v>
      </c>
      <c r="Z180" s="226" t="s">
        <v>1519</v>
      </c>
      <c r="AA180" s="226" t="s">
        <v>1106</v>
      </c>
      <c r="AB180" s="226"/>
      <c r="AC180" s="226"/>
      <c r="AD180" s="226" t="s">
        <v>1520</v>
      </c>
      <c r="AE180" s="226" t="s">
        <v>1434</v>
      </c>
    </row>
    <row r="181" spans="1:31">
      <c r="A181" s="226" t="s">
        <v>1516</v>
      </c>
      <c r="B181" s="226" t="s">
        <v>1123</v>
      </c>
      <c r="C181" s="226" t="s">
        <v>1094</v>
      </c>
      <c r="D181" s="226" t="s">
        <v>44</v>
      </c>
      <c r="E181" s="226">
        <v>4387681</v>
      </c>
      <c r="F181" s="226">
        <v>4392105</v>
      </c>
      <c r="G181" s="226" t="s">
        <v>568</v>
      </c>
      <c r="H181" s="226" t="s">
        <v>218</v>
      </c>
      <c r="I181" s="226" t="s">
        <v>1517</v>
      </c>
      <c r="J181" s="226" t="s">
        <v>1170</v>
      </c>
      <c r="K181" s="227">
        <v>46094.229166666664</v>
      </c>
      <c r="L181" s="227">
        <v>46097.229166666664</v>
      </c>
      <c r="M181" s="227">
        <v>46099.229166666664</v>
      </c>
      <c r="N181" s="227">
        <v>46098.90625</v>
      </c>
      <c r="O181" s="226" t="s">
        <v>1171</v>
      </c>
      <c r="P181" s="227">
        <v>46109.229166666664</v>
      </c>
      <c r="Q181" s="226">
        <v>3</v>
      </c>
      <c r="R181" s="226"/>
      <c r="S181" s="226">
        <v>2</v>
      </c>
      <c r="T181" s="226"/>
      <c r="U181" s="226" t="s">
        <v>1</v>
      </c>
      <c r="V181" s="226" t="s">
        <v>1</v>
      </c>
      <c r="W181" s="226" t="s">
        <v>1455</v>
      </c>
      <c r="X181" s="227">
        <v>46078.775000000001</v>
      </c>
      <c r="Y181" s="226" t="s">
        <v>1518</v>
      </c>
      <c r="Z181" s="226" t="s">
        <v>1519</v>
      </c>
      <c r="AA181" s="226" t="s">
        <v>1106</v>
      </c>
      <c r="AB181" s="226"/>
      <c r="AC181" s="226"/>
      <c r="AD181" s="226" t="s">
        <v>1520</v>
      </c>
      <c r="AE181" s="226" t="s">
        <v>1434</v>
      </c>
    </row>
    <row r="182" spans="1:31">
      <c r="A182" s="226" t="s">
        <v>1516</v>
      </c>
      <c r="B182" s="226" t="s">
        <v>1123</v>
      </c>
      <c r="C182" s="226" t="s">
        <v>1094</v>
      </c>
      <c r="D182" s="226" t="s">
        <v>44</v>
      </c>
      <c r="E182" s="226">
        <v>4387681</v>
      </c>
      <c r="F182" s="226">
        <v>4381593</v>
      </c>
      <c r="G182" s="226" t="s">
        <v>1521</v>
      </c>
      <c r="H182" s="226" t="s">
        <v>218</v>
      </c>
      <c r="I182" s="226" t="s">
        <v>1517</v>
      </c>
      <c r="J182" s="226" t="s">
        <v>1170</v>
      </c>
      <c r="K182" s="227">
        <v>46095.158333333333</v>
      </c>
      <c r="L182" s="227">
        <v>46098.006249999999</v>
      </c>
      <c r="M182" s="227">
        <v>46094.229166666664</v>
      </c>
      <c r="N182" s="227">
        <v>46098.019444444442</v>
      </c>
      <c r="O182" s="226" t="s">
        <v>1171</v>
      </c>
      <c r="P182" s="227">
        <v>46109.229166666664</v>
      </c>
      <c r="Q182" s="226">
        <v>5</v>
      </c>
      <c r="R182" s="226"/>
      <c r="S182" s="226">
        <v>2</v>
      </c>
      <c r="T182" s="226"/>
      <c r="U182" s="226" t="s">
        <v>1</v>
      </c>
      <c r="V182" s="226" t="s">
        <v>1</v>
      </c>
      <c r="W182" s="226" t="s">
        <v>1180</v>
      </c>
      <c r="X182" s="227">
        <v>46073.397222222222</v>
      </c>
      <c r="Y182" s="226" t="s">
        <v>1522</v>
      </c>
      <c r="Z182" s="226" t="s">
        <v>1519</v>
      </c>
      <c r="AA182" s="226" t="s">
        <v>1106</v>
      </c>
      <c r="AB182" s="226"/>
      <c r="AC182" s="226"/>
      <c r="AD182" s="226" t="s">
        <v>1523</v>
      </c>
      <c r="AE182" s="226" t="s">
        <v>1434</v>
      </c>
    </row>
    <row r="183" spans="1:31">
      <c r="A183" s="226" t="s">
        <v>1516</v>
      </c>
      <c r="B183" s="226" t="s">
        <v>1123</v>
      </c>
      <c r="C183" s="226" t="s">
        <v>1094</v>
      </c>
      <c r="D183" s="226" t="s">
        <v>44</v>
      </c>
      <c r="E183" s="226">
        <v>4387681</v>
      </c>
      <c r="F183" s="226">
        <v>4381594</v>
      </c>
      <c r="G183" s="226" t="s">
        <v>592</v>
      </c>
      <c r="H183" s="226" t="s">
        <v>218</v>
      </c>
      <c r="I183" s="226" t="s">
        <v>1517</v>
      </c>
      <c r="J183" s="226" t="s">
        <v>1170</v>
      </c>
      <c r="K183" s="227">
        <v>46094.229166666664</v>
      </c>
      <c r="L183" s="227">
        <v>46097.86041666667</v>
      </c>
      <c r="M183" s="227">
        <v>46094.0625</v>
      </c>
      <c r="N183" s="227">
        <v>46098.90625</v>
      </c>
      <c r="O183" s="226" t="s">
        <v>1171</v>
      </c>
      <c r="P183" s="227">
        <v>46109.229166666664</v>
      </c>
      <c r="Q183" s="226">
        <v>3</v>
      </c>
      <c r="R183" s="226"/>
      <c r="S183" s="226">
        <v>2</v>
      </c>
      <c r="T183" s="226"/>
      <c r="U183" s="226" t="s">
        <v>1</v>
      </c>
      <c r="V183" s="226" t="s">
        <v>1</v>
      </c>
      <c r="W183" s="226" t="s">
        <v>1180</v>
      </c>
      <c r="X183" s="227">
        <v>46073.397916666669</v>
      </c>
      <c r="Y183" s="226" t="s">
        <v>1522</v>
      </c>
      <c r="Z183" s="226" t="s">
        <v>1519</v>
      </c>
      <c r="AA183" s="226" t="s">
        <v>1106</v>
      </c>
      <c r="AB183" s="226"/>
      <c r="AC183" s="226"/>
      <c r="AD183" s="226" t="s">
        <v>1520</v>
      </c>
      <c r="AE183" s="226" t="s">
        <v>1434</v>
      </c>
    </row>
    <row r="184" spans="1:31">
      <c r="A184" s="226" t="s">
        <v>1524</v>
      </c>
      <c r="B184" s="226" t="s">
        <v>1123</v>
      </c>
      <c r="C184" s="226" t="s">
        <v>1525</v>
      </c>
      <c r="D184" s="226" t="s">
        <v>1526</v>
      </c>
      <c r="E184" s="226">
        <v>4278081</v>
      </c>
      <c r="F184" s="226">
        <v>4392160</v>
      </c>
      <c r="G184" s="226" t="s">
        <v>956</v>
      </c>
      <c r="H184" s="226" t="s">
        <v>218</v>
      </c>
      <c r="I184" s="226" t="s">
        <v>1527</v>
      </c>
      <c r="J184" s="226" t="s">
        <v>1152</v>
      </c>
      <c r="K184" s="227">
        <v>46090.770833333336</v>
      </c>
      <c r="L184" s="227">
        <v>46087.229166666664</v>
      </c>
      <c r="M184" s="227">
        <v>46094.229166666664</v>
      </c>
      <c r="N184" s="227">
        <v>46094.962500000001</v>
      </c>
      <c r="O184" s="226" t="s">
        <v>1214</v>
      </c>
      <c r="P184" s="227">
        <v>46109.229166666664</v>
      </c>
      <c r="Q184" s="226">
        <v>3</v>
      </c>
      <c r="R184" s="226"/>
      <c r="S184" s="226">
        <v>2</v>
      </c>
      <c r="T184" s="226"/>
      <c r="U184" s="226" t="s">
        <v>1</v>
      </c>
      <c r="V184" s="226" t="s">
        <v>1</v>
      </c>
      <c r="W184" s="226" t="s">
        <v>1497</v>
      </c>
      <c r="X184" s="227">
        <v>46078.810416666667</v>
      </c>
      <c r="Y184" s="226" t="s">
        <v>1528</v>
      </c>
      <c r="Z184" s="226" t="s">
        <v>1529</v>
      </c>
      <c r="AA184" s="226" t="s">
        <v>1499</v>
      </c>
      <c r="AB184" s="226"/>
      <c r="AC184" s="226"/>
      <c r="AD184" s="226" t="s">
        <v>1526</v>
      </c>
      <c r="AE184" s="226" t="s">
        <v>1300</v>
      </c>
    </row>
    <row r="185" spans="1:31">
      <c r="A185" s="226" t="s">
        <v>1524</v>
      </c>
      <c r="B185" s="226" t="s">
        <v>1123</v>
      </c>
      <c r="C185" s="226" t="s">
        <v>1525</v>
      </c>
      <c r="D185" s="226" t="s">
        <v>1526</v>
      </c>
      <c r="E185" s="226">
        <v>4278081</v>
      </c>
      <c r="F185" s="226">
        <v>4392161</v>
      </c>
      <c r="G185" s="226" t="s">
        <v>957</v>
      </c>
      <c r="H185" s="226" t="s">
        <v>218</v>
      </c>
      <c r="I185" s="226" t="s">
        <v>1527</v>
      </c>
      <c r="J185" s="226" t="s">
        <v>1152</v>
      </c>
      <c r="K185" s="227">
        <v>46090.8125</v>
      </c>
      <c r="L185" s="227">
        <v>46087.229166666664</v>
      </c>
      <c r="M185" s="227">
        <v>46094.229166666664</v>
      </c>
      <c r="N185" s="227">
        <v>46094.229166666664</v>
      </c>
      <c r="O185" s="226" t="s">
        <v>1214</v>
      </c>
      <c r="P185" s="227">
        <v>46109.229166666664</v>
      </c>
      <c r="Q185" s="226">
        <v>3</v>
      </c>
      <c r="R185" s="226"/>
      <c r="S185" s="226">
        <v>2</v>
      </c>
      <c r="T185" s="226"/>
      <c r="U185" s="226" t="s">
        <v>1</v>
      </c>
      <c r="V185" s="226" t="s">
        <v>1</v>
      </c>
      <c r="W185" s="226" t="s">
        <v>1497</v>
      </c>
      <c r="X185" s="227">
        <v>46078.811111111114</v>
      </c>
      <c r="Y185" s="226" t="s">
        <v>1528</v>
      </c>
      <c r="Z185" s="226" t="s">
        <v>1529</v>
      </c>
      <c r="AA185" s="226" t="s">
        <v>1499</v>
      </c>
      <c r="AB185" s="226"/>
      <c r="AC185" s="226"/>
      <c r="AD185" s="226" t="s">
        <v>1526</v>
      </c>
      <c r="AE185" s="226" t="s">
        <v>1300</v>
      </c>
    </row>
    <row r="186" spans="1:31">
      <c r="A186" s="226" t="s">
        <v>1277</v>
      </c>
      <c r="B186" s="226" t="s">
        <v>1123</v>
      </c>
      <c r="C186" s="226" t="s">
        <v>1149</v>
      </c>
      <c r="D186" s="226" t="s">
        <v>1278</v>
      </c>
      <c r="E186" s="226">
        <v>4386527</v>
      </c>
      <c r="F186" s="226">
        <v>4393563</v>
      </c>
      <c r="G186" s="226" t="s">
        <v>1530</v>
      </c>
      <c r="H186" s="226" t="s">
        <v>218</v>
      </c>
      <c r="I186" s="226" t="s">
        <v>1527</v>
      </c>
      <c r="J186" s="226" t="s">
        <v>1229</v>
      </c>
      <c r="K186" s="227">
        <v>46092.8125</v>
      </c>
      <c r="L186" s="227">
        <v>46091.859722222223</v>
      </c>
      <c r="M186" s="227">
        <v>46097.229166666664</v>
      </c>
      <c r="N186" s="227">
        <v>46097.811805555553</v>
      </c>
      <c r="O186" s="226" t="s">
        <v>1214</v>
      </c>
      <c r="P186" s="227">
        <v>46109.229166666664</v>
      </c>
      <c r="Q186" s="226">
        <v>3</v>
      </c>
      <c r="R186" s="226"/>
      <c r="S186" s="226">
        <v>2</v>
      </c>
      <c r="T186" s="226"/>
      <c r="U186" s="226" t="s">
        <v>1</v>
      </c>
      <c r="V186" s="226" t="s">
        <v>1</v>
      </c>
      <c r="W186" s="226" t="s">
        <v>1280</v>
      </c>
      <c r="X186" s="227">
        <v>46079.686805555553</v>
      </c>
      <c r="Y186" s="226" t="s">
        <v>1362</v>
      </c>
      <c r="Z186" s="226" t="s">
        <v>1529</v>
      </c>
      <c r="AA186" s="226" t="s">
        <v>1356</v>
      </c>
      <c r="AB186" s="226"/>
      <c r="AC186" s="226"/>
      <c r="AD186" s="226" t="s">
        <v>1281</v>
      </c>
      <c r="AE186" s="226" t="s">
        <v>1300</v>
      </c>
    </row>
    <row r="187" spans="1:31">
      <c r="A187" s="226" t="s">
        <v>1242</v>
      </c>
      <c r="B187" s="226" t="s">
        <v>1123</v>
      </c>
      <c r="C187" s="226" t="s">
        <v>1195</v>
      </c>
      <c r="D187" s="226" t="s">
        <v>1243</v>
      </c>
      <c r="E187" s="226">
        <v>4317244</v>
      </c>
      <c r="F187" s="226">
        <v>4416132</v>
      </c>
      <c r="G187" s="226" t="s">
        <v>970</v>
      </c>
      <c r="H187" s="226" t="s">
        <v>218</v>
      </c>
      <c r="I187" s="226" t="s">
        <v>1527</v>
      </c>
      <c r="J187" s="226" t="s">
        <v>1229</v>
      </c>
      <c r="K187" s="227">
        <v>46094.229166666664</v>
      </c>
      <c r="L187" s="227">
        <v>46093</v>
      </c>
      <c r="M187" s="227">
        <v>46098.229166666664</v>
      </c>
      <c r="N187" s="227">
        <v>46097.818749999999</v>
      </c>
      <c r="O187" s="226" t="s">
        <v>1214</v>
      </c>
      <c r="P187" s="227">
        <v>46109.229166666664</v>
      </c>
      <c r="Q187" s="226"/>
      <c r="R187" s="226"/>
      <c r="S187" s="226">
        <v>2</v>
      </c>
      <c r="T187" s="226"/>
      <c r="U187" s="226" t="s">
        <v>1</v>
      </c>
      <c r="V187" s="226" t="s">
        <v>1118</v>
      </c>
      <c r="W187" s="226" t="s">
        <v>1198</v>
      </c>
      <c r="X187" s="227">
        <v>46091.459027777775</v>
      </c>
      <c r="Y187" s="226" t="s">
        <v>1362</v>
      </c>
      <c r="Z187" s="226" t="s">
        <v>1529</v>
      </c>
      <c r="AA187" s="226" t="s">
        <v>1156</v>
      </c>
      <c r="AB187" s="226"/>
      <c r="AC187" s="226"/>
      <c r="AD187" s="226" t="s">
        <v>1245</v>
      </c>
      <c r="AE187" s="226" t="s">
        <v>1363</v>
      </c>
    </row>
    <row r="188" spans="1:31">
      <c r="A188" s="226" t="s">
        <v>1204</v>
      </c>
      <c r="B188" s="226" t="s">
        <v>1194</v>
      </c>
      <c r="C188" s="226" t="s">
        <v>1194</v>
      </c>
      <c r="D188" s="226" t="s">
        <v>1205</v>
      </c>
      <c r="E188" s="226">
        <v>4330994</v>
      </c>
      <c r="F188" s="226">
        <v>4416192</v>
      </c>
      <c r="G188" s="226" t="s">
        <v>1531</v>
      </c>
      <c r="H188" s="226" t="s">
        <v>218</v>
      </c>
      <c r="I188" s="226" t="s">
        <v>1527</v>
      </c>
      <c r="J188" s="226" t="s">
        <v>1229</v>
      </c>
      <c r="K188" s="227">
        <v>46094.729166666664</v>
      </c>
      <c r="L188" s="227">
        <v>46094.027777777781</v>
      </c>
      <c r="M188" s="227">
        <v>46098.229166666664</v>
      </c>
      <c r="N188" s="227">
        <v>46098.957638888889</v>
      </c>
      <c r="O188" s="226" t="s">
        <v>1208</v>
      </c>
      <c r="P188" s="227">
        <v>46109.229166666664</v>
      </c>
      <c r="Q188" s="226"/>
      <c r="R188" s="226"/>
      <c r="S188" s="226">
        <v>2</v>
      </c>
      <c r="T188" s="226"/>
      <c r="U188" s="226" t="s">
        <v>1</v>
      </c>
      <c r="V188" s="226" t="s">
        <v>1118</v>
      </c>
      <c r="W188" s="226" t="s">
        <v>1198</v>
      </c>
      <c r="X188" s="227">
        <v>46091.465277777781</v>
      </c>
      <c r="Y188" s="226" t="s">
        <v>1364</v>
      </c>
      <c r="Z188" s="226" t="s">
        <v>1529</v>
      </c>
      <c r="AA188" s="226" t="s">
        <v>1156</v>
      </c>
      <c r="AB188" s="226"/>
      <c r="AC188" s="226"/>
      <c r="AD188" s="226" t="s">
        <v>1211</v>
      </c>
      <c r="AE188" s="226" t="s">
        <v>1363</v>
      </c>
    </row>
    <row r="189" spans="1:31">
      <c r="A189" s="226" t="s">
        <v>1227</v>
      </c>
      <c r="B189" s="226" t="s">
        <v>1194</v>
      </c>
      <c r="C189" s="226" t="s">
        <v>1195</v>
      </c>
      <c r="D189" s="226" t="s">
        <v>1228</v>
      </c>
      <c r="E189" s="226">
        <v>4341338</v>
      </c>
      <c r="F189" s="226">
        <v>4343700</v>
      </c>
      <c r="G189" s="226" t="s">
        <v>961</v>
      </c>
      <c r="H189" s="226" t="s">
        <v>229</v>
      </c>
      <c r="I189" s="226" t="s">
        <v>1527</v>
      </c>
      <c r="J189" s="226" t="s">
        <v>1229</v>
      </c>
      <c r="K189" s="227">
        <v>46085.229166666664</v>
      </c>
      <c r="L189" s="227">
        <v>46084.989583333336</v>
      </c>
      <c r="M189" s="227">
        <v>46094.229166666664</v>
      </c>
      <c r="N189" s="227">
        <v>46086.029166666667</v>
      </c>
      <c r="O189" s="226" t="s">
        <v>1230</v>
      </c>
      <c r="P189" s="227">
        <v>46109.229166666664</v>
      </c>
      <c r="Q189" s="226">
        <v>3</v>
      </c>
      <c r="R189" s="226"/>
      <c r="S189" s="226">
        <v>2</v>
      </c>
      <c r="T189" s="226"/>
      <c r="U189" s="226" t="s">
        <v>1</v>
      </c>
      <c r="V189" s="226" t="s">
        <v>1</v>
      </c>
      <c r="W189" s="226" t="s">
        <v>1209</v>
      </c>
      <c r="X189" s="227">
        <v>46051.611111111109</v>
      </c>
      <c r="Y189" s="226" t="s">
        <v>1137</v>
      </c>
      <c r="Z189" s="226" t="s">
        <v>1529</v>
      </c>
      <c r="AA189" s="226" t="s">
        <v>1156</v>
      </c>
      <c r="AB189" s="226"/>
      <c r="AC189" s="226"/>
      <c r="AD189" s="226" t="s">
        <v>1532</v>
      </c>
      <c r="AE189" s="226" t="s">
        <v>1300</v>
      </c>
    </row>
    <row r="190" spans="1:31">
      <c r="A190" s="226" t="s">
        <v>1227</v>
      </c>
      <c r="B190" s="226" t="s">
        <v>1194</v>
      </c>
      <c r="C190" s="226" t="s">
        <v>1195</v>
      </c>
      <c r="D190" s="226" t="s">
        <v>1228</v>
      </c>
      <c r="E190" s="226">
        <v>4341338</v>
      </c>
      <c r="F190" s="226">
        <v>4343704</v>
      </c>
      <c r="G190" s="226" t="s">
        <v>965</v>
      </c>
      <c r="H190" s="226" t="s">
        <v>229</v>
      </c>
      <c r="I190" s="226" t="s">
        <v>1527</v>
      </c>
      <c r="J190" s="226" t="s">
        <v>1229</v>
      </c>
      <c r="K190" s="227">
        <v>46085.229166666664</v>
      </c>
      <c r="L190" s="227">
        <v>46084.988888888889</v>
      </c>
      <c r="M190" s="227">
        <v>46094.229166666664</v>
      </c>
      <c r="N190" s="227">
        <v>46086.02847222222</v>
      </c>
      <c r="O190" s="226" t="s">
        <v>1533</v>
      </c>
      <c r="P190" s="227">
        <v>46109.229166666664</v>
      </c>
      <c r="Q190" s="226">
        <v>3</v>
      </c>
      <c r="R190" s="226"/>
      <c r="S190" s="226">
        <v>2</v>
      </c>
      <c r="T190" s="226"/>
      <c r="U190" s="226" t="s">
        <v>1</v>
      </c>
      <c r="V190" s="226" t="s">
        <v>1</v>
      </c>
      <c r="W190" s="226" t="s">
        <v>1209</v>
      </c>
      <c r="X190" s="227">
        <v>46051.613194444442</v>
      </c>
      <c r="Y190" s="226" t="s">
        <v>1137</v>
      </c>
      <c r="Z190" s="226" t="s">
        <v>1529</v>
      </c>
      <c r="AA190" s="226" t="s">
        <v>1156</v>
      </c>
      <c r="AB190" s="226"/>
      <c r="AC190" s="226"/>
      <c r="AD190" s="226" t="s">
        <v>1534</v>
      </c>
      <c r="AE190" s="226" t="s">
        <v>1300</v>
      </c>
    </row>
    <row r="191" spans="1:31">
      <c r="A191" s="226" t="s">
        <v>1227</v>
      </c>
      <c r="B191" s="226" t="s">
        <v>1194</v>
      </c>
      <c r="C191" s="226" t="s">
        <v>1195</v>
      </c>
      <c r="D191" s="226" t="s">
        <v>1228</v>
      </c>
      <c r="E191" s="226">
        <v>4341338</v>
      </c>
      <c r="F191" s="226">
        <v>4343706</v>
      </c>
      <c r="G191" s="226" t="s">
        <v>966</v>
      </c>
      <c r="H191" s="226" t="s">
        <v>229</v>
      </c>
      <c r="I191" s="226" t="s">
        <v>1527</v>
      </c>
      <c r="J191" s="226" t="s">
        <v>1229</v>
      </c>
      <c r="K191" s="227">
        <v>46085.229166666664</v>
      </c>
      <c r="L191" s="227">
        <v>46084.989583333336</v>
      </c>
      <c r="M191" s="227">
        <v>46094.229166666664</v>
      </c>
      <c r="N191" s="227">
        <v>46086.02847222222</v>
      </c>
      <c r="O191" s="226" t="s">
        <v>1533</v>
      </c>
      <c r="P191" s="227">
        <v>46109.229166666664</v>
      </c>
      <c r="Q191" s="226">
        <v>3</v>
      </c>
      <c r="R191" s="226"/>
      <c r="S191" s="226">
        <v>2</v>
      </c>
      <c r="T191" s="226"/>
      <c r="U191" s="226" t="s">
        <v>1</v>
      </c>
      <c r="V191" s="226" t="s">
        <v>1</v>
      </c>
      <c r="W191" s="226" t="s">
        <v>1209</v>
      </c>
      <c r="X191" s="227">
        <v>46051.614583333336</v>
      </c>
      <c r="Y191" s="226" t="s">
        <v>1137</v>
      </c>
      <c r="Z191" s="226" t="s">
        <v>1529</v>
      </c>
      <c r="AA191" s="226" t="s">
        <v>1156</v>
      </c>
      <c r="AB191" s="226"/>
      <c r="AC191" s="226"/>
      <c r="AD191" s="226" t="s">
        <v>1535</v>
      </c>
      <c r="AE191" s="226" t="s">
        <v>1300</v>
      </c>
    </row>
    <row r="192" spans="1:31">
      <c r="A192" s="226" t="s">
        <v>1536</v>
      </c>
      <c r="B192" s="226" t="s">
        <v>1093</v>
      </c>
      <c r="C192" s="226" t="s">
        <v>1293</v>
      </c>
      <c r="D192" s="226" t="s">
        <v>1385</v>
      </c>
      <c r="E192" s="226">
        <v>4371607</v>
      </c>
      <c r="F192" s="226">
        <v>4367218</v>
      </c>
      <c r="G192" s="226" t="s">
        <v>976</v>
      </c>
      <c r="H192" s="226" t="s">
        <v>218</v>
      </c>
      <c r="I192" s="226" t="s">
        <v>1527</v>
      </c>
      <c r="J192" s="226" t="s">
        <v>1229</v>
      </c>
      <c r="K192" s="227">
        <v>46094.770833333336</v>
      </c>
      <c r="L192" s="227">
        <v>46091.007638888892</v>
      </c>
      <c r="M192" s="227">
        <v>46098.229166666664</v>
      </c>
      <c r="N192" s="227">
        <v>46099.662499999999</v>
      </c>
      <c r="O192" s="226" t="s">
        <v>1296</v>
      </c>
      <c r="P192" s="227">
        <v>46109.229166666664</v>
      </c>
      <c r="Q192" s="226">
        <v>9</v>
      </c>
      <c r="R192" s="226"/>
      <c r="S192" s="226">
        <v>2</v>
      </c>
      <c r="T192" s="226"/>
      <c r="U192" s="226" t="s">
        <v>1</v>
      </c>
      <c r="V192" s="226" t="s">
        <v>1</v>
      </c>
      <c r="W192" s="226" t="s">
        <v>1297</v>
      </c>
      <c r="X192" s="227">
        <v>46066.51666666667</v>
      </c>
      <c r="Y192" s="226" t="s">
        <v>1244</v>
      </c>
      <c r="Z192" s="226" t="s">
        <v>1529</v>
      </c>
      <c r="AA192" s="226" t="s">
        <v>1299</v>
      </c>
      <c r="AB192" s="226"/>
      <c r="AC192" s="226"/>
      <c r="AD192" s="226" t="s">
        <v>1385</v>
      </c>
      <c r="AE192" s="226" t="s">
        <v>1300</v>
      </c>
    </row>
    <row r="193" spans="1:31">
      <c r="A193" s="226" t="s">
        <v>1537</v>
      </c>
      <c r="B193" s="226" t="s">
        <v>1123</v>
      </c>
      <c r="C193" s="226" t="s">
        <v>1538</v>
      </c>
      <c r="D193" s="226" t="s">
        <v>1539</v>
      </c>
      <c r="E193" s="226">
        <v>4386335</v>
      </c>
      <c r="F193" s="226">
        <v>4370049</v>
      </c>
      <c r="G193" s="226" t="s">
        <v>1042</v>
      </c>
      <c r="H193" s="226" t="s">
        <v>218</v>
      </c>
      <c r="I193" s="226" t="s">
        <v>1540</v>
      </c>
      <c r="J193" s="226" t="s">
        <v>1541</v>
      </c>
      <c r="K193" s="227">
        <v>46092.229166666664</v>
      </c>
      <c r="L193" s="227">
        <v>46085.229166666664</v>
      </c>
      <c r="M193" s="227">
        <v>46098.229166666664</v>
      </c>
      <c r="N193" s="227">
        <v>46098.229166666664</v>
      </c>
      <c r="O193" s="226" t="s">
        <v>1542</v>
      </c>
      <c r="P193" s="227">
        <v>46109.229166666664</v>
      </c>
      <c r="Q193" s="226">
        <v>8</v>
      </c>
      <c r="R193" s="226"/>
      <c r="S193" s="226">
        <v>2</v>
      </c>
      <c r="T193" s="226"/>
      <c r="U193" s="226" t="s">
        <v>1</v>
      </c>
      <c r="V193" s="226" t="s">
        <v>1</v>
      </c>
      <c r="W193" s="226" t="s">
        <v>1543</v>
      </c>
      <c r="X193" s="227">
        <v>46069.744444444441</v>
      </c>
      <c r="Y193" s="226" t="s">
        <v>38</v>
      </c>
      <c r="Z193" s="226" t="s">
        <v>1544</v>
      </c>
      <c r="AA193" s="226" t="s">
        <v>1356</v>
      </c>
      <c r="AB193" s="226"/>
      <c r="AC193" s="226"/>
      <c r="AD193" s="226" t="s">
        <v>1545</v>
      </c>
      <c r="AE193" s="226" t="s">
        <v>1546</v>
      </c>
    </row>
    <row r="194" spans="1:31">
      <c r="A194" s="226" t="s">
        <v>1242</v>
      </c>
      <c r="B194" s="226" t="s">
        <v>1123</v>
      </c>
      <c r="C194" s="226" t="s">
        <v>1195</v>
      </c>
      <c r="D194" s="226" t="s">
        <v>1243</v>
      </c>
      <c r="E194" s="226">
        <v>4317244</v>
      </c>
      <c r="F194" s="226">
        <v>4361802</v>
      </c>
      <c r="G194" s="226" t="s">
        <v>1039</v>
      </c>
      <c r="H194" s="226" t="s">
        <v>218</v>
      </c>
      <c r="I194" s="226" t="s">
        <v>1540</v>
      </c>
      <c r="J194" s="226" t="s">
        <v>1547</v>
      </c>
      <c r="K194" s="227">
        <v>46092.229166666664</v>
      </c>
      <c r="L194" s="227">
        <v>46091.229166666664</v>
      </c>
      <c r="M194" s="227">
        <v>46098.229166666664</v>
      </c>
      <c r="N194" s="227">
        <v>46098.229166666664</v>
      </c>
      <c r="O194" s="226" t="s">
        <v>1542</v>
      </c>
      <c r="P194" s="227">
        <v>46109.229166666664</v>
      </c>
      <c r="Q194" s="226">
        <v>1</v>
      </c>
      <c r="R194" s="226"/>
      <c r="S194" s="226">
        <v>2</v>
      </c>
      <c r="T194" s="226"/>
      <c r="U194" s="226" t="s">
        <v>1</v>
      </c>
      <c r="V194" s="226" t="s">
        <v>1</v>
      </c>
      <c r="W194" s="226" t="s">
        <v>1198</v>
      </c>
      <c r="X194" s="227">
        <v>46063.996527777781</v>
      </c>
      <c r="Y194" s="226"/>
      <c r="Z194" s="226" t="s">
        <v>1544</v>
      </c>
      <c r="AA194" s="226" t="s">
        <v>1356</v>
      </c>
      <c r="AB194" s="226"/>
      <c r="AC194" s="226"/>
      <c r="AD194" s="226" t="s">
        <v>1245</v>
      </c>
      <c r="AE194" s="226" t="s">
        <v>1546</v>
      </c>
    </row>
    <row r="195" spans="1:31">
      <c r="A195" s="226" t="s">
        <v>1204</v>
      </c>
      <c r="B195" s="226" t="s">
        <v>1194</v>
      </c>
      <c r="C195" s="226" t="s">
        <v>1194</v>
      </c>
      <c r="D195" s="226" t="s">
        <v>1205</v>
      </c>
      <c r="E195" s="226">
        <v>4330994</v>
      </c>
      <c r="F195" s="226">
        <v>4364556</v>
      </c>
      <c r="G195" s="226" t="s">
        <v>1022</v>
      </c>
      <c r="H195" s="226" t="s">
        <v>218</v>
      </c>
      <c r="I195" s="226" t="s">
        <v>1540</v>
      </c>
      <c r="J195" s="226" t="s">
        <v>1541</v>
      </c>
      <c r="K195" s="227">
        <v>46092.229166666664</v>
      </c>
      <c r="L195" s="227">
        <v>46091.229166666664</v>
      </c>
      <c r="M195" s="227">
        <v>46098.229166666664</v>
      </c>
      <c r="N195" s="227">
        <v>46098.229166666664</v>
      </c>
      <c r="O195" s="226" t="s">
        <v>1547</v>
      </c>
      <c r="P195" s="227">
        <v>46109.229166666664</v>
      </c>
      <c r="Q195" s="226">
        <v>1</v>
      </c>
      <c r="R195" s="226"/>
      <c r="S195" s="226">
        <v>2</v>
      </c>
      <c r="T195" s="226"/>
      <c r="U195" s="226" t="s">
        <v>1</v>
      </c>
      <c r="V195" s="226" t="s">
        <v>1</v>
      </c>
      <c r="W195" s="226" t="s">
        <v>1209</v>
      </c>
      <c r="X195" s="227">
        <v>46065.498611111114</v>
      </c>
      <c r="Y195" s="226"/>
      <c r="Z195" s="226" t="s">
        <v>1544</v>
      </c>
      <c r="AA195" s="226" t="s">
        <v>1356</v>
      </c>
      <c r="AB195" s="226"/>
      <c r="AC195" s="226"/>
      <c r="AD195" s="226" t="s">
        <v>1211</v>
      </c>
      <c r="AE195" s="226" t="s">
        <v>1546</v>
      </c>
    </row>
    <row r="196" spans="1:31">
      <c r="A196" s="226" t="s">
        <v>1548</v>
      </c>
      <c r="B196" s="226" t="s">
        <v>1123</v>
      </c>
      <c r="C196" s="226" t="s">
        <v>1538</v>
      </c>
      <c r="D196" s="226" t="s">
        <v>1539</v>
      </c>
      <c r="E196" s="226">
        <v>4386334</v>
      </c>
      <c r="F196" s="226">
        <v>4350723</v>
      </c>
      <c r="G196" s="226" t="s">
        <v>1007</v>
      </c>
      <c r="H196" s="226" t="s">
        <v>218</v>
      </c>
      <c r="I196" s="226" t="s">
        <v>1540</v>
      </c>
      <c r="J196" s="226" t="s">
        <v>1541</v>
      </c>
      <c r="K196" s="227">
        <v>46092.229166666664</v>
      </c>
      <c r="L196" s="227">
        <v>46085.229166666664</v>
      </c>
      <c r="M196" s="227">
        <v>46098.229166666664</v>
      </c>
      <c r="N196" s="227">
        <v>46098.229166666664</v>
      </c>
      <c r="O196" s="226" t="s">
        <v>1542</v>
      </c>
      <c r="P196" s="227">
        <v>46109.229166666664</v>
      </c>
      <c r="Q196" s="226">
        <v>3</v>
      </c>
      <c r="R196" s="226"/>
      <c r="S196" s="226">
        <v>2</v>
      </c>
      <c r="T196" s="226"/>
      <c r="U196" s="226" t="s">
        <v>1</v>
      </c>
      <c r="V196" s="226" t="s">
        <v>1</v>
      </c>
      <c r="W196" s="226" t="s">
        <v>1547</v>
      </c>
      <c r="X196" s="227">
        <v>46055.8125</v>
      </c>
      <c r="Y196" s="226" t="s">
        <v>38</v>
      </c>
      <c r="Z196" s="226" t="s">
        <v>1544</v>
      </c>
      <c r="AA196" s="226" t="s">
        <v>1356</v>
      </c>
      <c r="AB196" s="226"/>
      <c r="AC196" s="226"/>
      <c r="AD196" s="226" t="s">
        <v>1549</v>
      </c>
      <c r="AE196" s="226" t="s">
        <v>1546</v>
      </c>
    </row>
    <row r="197" spans="1:31">
      <c r="A197" s="226" t="s">
        <v>1548</v>
      </c>
      <c r="B197" s="226" t="s">
        <v>1123</v>
      </c>
      <c r="C197" s="226" t="s">
        <v>1538</v>
      </c>
      <c r="D197" s="226" t="s">
        <v>1539</v>
      </c>
      <c r="E197" s="226">
        <v>4386334</v>
      </c>
      <c r="F197" s="226">
        <v>4385488</v>
      </c>
      <c r="G197" s="226" t="s">
        <v>1009</v>
      </c>
      <c r="H197" s="226" t="s">
        <v>218</v>
      </c>
      <c r="I197" s="226" t="s">
        <v>1540</v>
      </c>
      <c r="J197" s="226" t="s">
        <v>1541</v>
      </c>
      <c r="K197" s="227">
        <v>46092.229166666664</v>
      </c>
      <c r="L197" s="227">
        <v>46085.229166666664</v>
      </c>
      <c r="M197" s="227">
        <v>46098.229166666664</v>
      </c>
      <c r="N197" s="227">
        <v>46098.229166666664</v>
      </c>
      <c r="O197" s="226" t="s">
        <v>1542</v>
      </c>
      <c r="P197" s="227">
        <v>46109.229166666664</v>
      </c>
      <c r="Q197" s="226">
        <v>3</v>
      </c>
      <c r="R197" s="226"/>
      <c r="S197" s="226">
        <v>2</v>
      </c>
      <c r="T197" s="226"/>
      <c r="U197" s="226" t="s">
        <v>1</v>
      </c>
      <c r="V197" s="226" t="s">
        <v>1</v>
      </c>
      <c r="W197" s="226" t="s">
        <v>1547</v>
      </c>
      <c r="X197" s="227">
        <v>46073.652083333334</v>
      </c>
      <c r="Y197" s="226" t="s">
        <v>38</v>
      </c>
      <c r="Z197" s="226" t="s">
        <v>1544</v>
      </c>
      <c r="AA197" s="226" t="s">
        <v>1356</v>
      </c>
      <c r="AB197" s="226"/>
      <c r="AC197" s="226"/>
      <c r="AD197" s="226" t="s">
        <v>1549</v>
      </c>
      <c r="AE197" s="226" t="s">
        <v>1546</v>
      </c>
    </row>
    <row r="198" spans="1:31">
      <c r="A198" s="226" t="s">
        <v>1550</v>
      </c>
      <c r="B198" s="226" t="s">
        <v>1123</v>
      </c>
      <c r="C198" s="226" t="s">
        <v>1538</v>
      </c>
      <c r="D198" s="226" t="s">
        <v>1539</v>
      </c>
      <c r="E198" s="226">
        <v>4386341</v>
      </c>
      <c r="F198" s="226">
        <v>4381798</v>
      </c>
      <c r="G198" s="226" t="s">
        <v>1010</v>
      </c>
      <c r="H198" s="226" t="s">
        <v>218</v>
      </c>
      <c r="I198" s="226" t="s">
        <v>1540</v>
      </c>
      <c r="J198" s="226" t="s">
        <v>1541</v>
      </c>
      <c r="K198" s="227">
        <v>46092.229166666664</v>
      </c>
      <c r="L198" s="227">
        <v>46090.229166666664</v>
      </c>
      <c r="M198" s="227">
        <v>46098.229166666664</v>
      </c>
      <c r="N198" s="227">
        <v>46098.229166666664</v>
      </c>
      <c r="O198" s="226" t="s">
        <v>1542</v>
      </c>
      <c r="P198" s="227">
        <v>46109.229166666664</v>
      </c>
      <c r="Q198" s="226">
        <v>8</v>
      </c>
      <c r="R198" s="226"/>
      <c r="S198" s="226">
        <v>2</v>
      </c>
      <c r="T198" s="226"/>
      <c r="U198" s="226" t="s">
        <v>1</v>
      </c>
      <c r="V198" s="226" t="s">
        <v>1</v>
      </c>
      <c r="W198" s="226" t="s">
        <v>1547</v>
      </c>
      <c r="X198" s="227">
        <v>46073.595138888886</v>
      </c>
      <c r="Y198" s="226" t="s">
        <v>38</v>
      </c>
      <c r="Z198" s="226" t="s">
        <v>1544</v>
      </c>
      <c r="AA198" s="226" t="s">
        <v>1356</v>
      </c>
      <c r="AB198" s="226"/>
      <c r="AC198" s="226"/>
      <c r="AD198" s="226" t="s">
        <v>1551</v>
      </c>
      <c r="AE198" s="226" t="s">
        <v>1546</v>
      </c>
    </row>
    <row r="199" spans="1:31">
      <c r="A199" s="226" t="s">
        <v>1550</v>
      </c>
      <c r="B199" s="226" t="s">
        <v>1123</v>
      </c>
      <c r="C199" s="226" t="s">
        <v>1538</v>
      </c>
      <c r="D199" s="226" t="s">
        <v>1539</v>
      </c>
      <c r="E199" s="226">
        <v>4386341</v>
      </c>
      <c r="F199" s="226">
        <v>4381807</v>
      </c>
      <c r="G199" s="226" t="s">
        <v>1011</v>
      </c>
      <c r="H199" s="226" t="s">
        <v>218</v>
      </c>
      <c r="I199" s="226" t="s">
        <v>1540</v>
      </c>
      <c r="J199" s="226" t="s">
        <v>1541</v>
      </c>
      <c r="K199" s="227">
        <v>46092.229166666664</v>
      </c>
      <c r="L199" s="227">
        <v>46090.229166666664</v>
      </c>
      <c r="M199" s="227">
        <v>46098.229166666664</v>
      </c>
      <c r="N199" s="227">
        <v>46098.229166666664</v>
      </c>
      <c r="O199" s="226" t="s">
        <v>1542</v>
      </c>
      <c r="P199" s="227">
        <v>46109.229166666664</v>
      </c>
      <c r="Q199" s="226">
        <v>8</v>
      </c>
      <c r="R199" s="226"/>
      <c r="S199" s="226">
        <v>2</v>
      </c>
      <c r="T199" s="226"/>
      <c r="U199" s="226" t="s">
        <v>1</v>
      </c>
      <c r="V199" s="226" t="s">
        <v>1</v>
      </c>
      <c r="W199" s="226" t="s">
        <v>1547</v>
      </c>
      <c r="X199" s="227">
        <v>46073.597222222219</v>
      </c>
      <c r="Y199" s="226" t="s">
        <v>38</v>
      </c>
      <c r="Z199" s="226" t="s">
        <v>1544</v>
      </c>
      <c r="AA199" s="226" t="s">
        <v>1356</v>
      </c>
      <c r="AB199" s="226"/>
      <c r="AC199" s="226"/>
      <c r="AD199" s="226" t="s">
        <v>1551</v>
      </c>
      <c r="AE199" s="226" t="s">
        <v>1546</v>
      </c>
    </row>
    <row r="200" spans="1:31">
      <c r="A200" s="226" t="s">
        <v>1550</v>
      </c>
      <c r="B200" s="226" t="s">
        <v>1123</v>
      </c>
      <c r="C200" s="226" t="s">
        <v>1538</v>
      </c>
      <c r="D200" s="226" t="s">
        <v>1539</v>
      </c>
      <c r="E200" s="226">
        <v>4386341</v>
      </c>
      <c r="F200" s="226">
        <v>4381739</v>
      </c>
      <c r="G200" s="226" t="s">
        <v>1012</v>
      </c>
      <c r="H200" s="226" t="s">
        <v>218</v>
      </c>
      <c r="I200" s="226" t="s">
        <v>1540</v>
      </c>
      <c r="J200" s="226" t="s">
        <v>1541</v>
      </c>
      <c r="K200" s="227">
        <v>46092.229166666664</v>
      </c>
      <c r="L200" s="227">
        <v>46090.229166666664</v>
      </c>
      <c r="M200" s="227">
        <v>46098.229166666664</v>
      </c>
      <c r="N200" s="227">
        <v>46098.229166666664</v>
      </c>
      <c r="O200" s="226" t="s">
        <v>1542</v>
      </c>
      <c r="P200" s="227">
        <v>46109.229166666664</v>
      </c>
      <c r="Q200" s="226">
        <v>8</v>
      </c>
      <c r="R200" s="226"/>
      <c r="S200" s="226">
        <v>2</v>
      </c>
      <c r="T200" s="226"/>
      <c r="U200" s="226" t="s">
        <v>1</v>
      </c>
      <c r="V200" s="226" t="s">
        <v>1</v>
      </c>
      <c r="W200" s="226" t="s">
        <v>1547</v>
      </c>
      <c r="X200" s="227">
        <v>46073.51458333333</v>
      </c>
      <c r="Y200" s="226" t="s">
        <v>38</v>
      </c>
      <c r="Z200" s="226" t="s">
        <v>1544</v>
      </c>
      <c r="AA200" s="226" t="s">
        <v>1356</v>
      </c>
      <c r="AB200" s="226"/>
      <c r="AC200" s="226"/>
      <c r="AD200" s="226" t="s">
        <v>1551</v>
      </c>
      <c r="AE200" s="226" t="s">
        <v>1546</v>
      </c>
    </row>
    <row r="201" spans="1:31">
      <c r="A201" s="226" t="s">
        <v>1277</v>
      </c>
      <c r="B201" s="226" t="s">
        <v>1123</v>
      </c>
      <c r="C201" s="226" t="s">
        <v>1149</v>
      </c>
      <c r="D201" s="226" t="s">
        <v>1278</v>
      </c>
      <c r="E201" s="226">
        <v>4386527</v>
      </c>
      <c r="F201" s="226">
        <v>4378873</v>
      </c>
      <c r="G201" s="226" t="s">
        <v>1552</v>
      </c>
      <c r="H201" s="226" t="s">
        <v>218</v>
      </c>
      <c r="I201" s="226" t="s">
        <v>1540</v>
      </c>
      <c r="J201" s="226" t="s">
        <v>1541</v>
      </c>
      <c r="K201" s="227">
        <v>46092.229166666664</v>
      </c>
      <c r="L201" s="227">
        <v>46091.229166666664</v>
      </c>
      <c r="M201" s="227">
        <v>46098.229166666664</v>
      </c>
      <c r="N201" s="227">
        <v>46098.229166666664</v>
      </c>
      <c r="O201" s="226" t="s">
        <v>1547</v>
      </c>
      <c r="P201" s="227">
        <v>46109.229166666664</v>
      </c>
      <c r="Q201" s="226">
        <v>1</v>
      </c>
      <c r="R201" s="226"/>
      <c r="S201" s="226">
        <v>2</v>
      </c>
      <c r="T201" s="226"/>
      <c r="U201" s="226" t="s">
        <v>1</v>
      </c>
      <c r="V201" s="226" t="s">
        <v>1</v>
      </c>
      <c r="W201" s="226" t="s">
        <v>1280</v>
      </c>
      <c r="X201" s="227">
        <v>46072.71875</v>
      </c>
      <c r="Y201" s="226"/>
      <c r="Z201" s="226" t="s">
        <v>1544</v>
      </c>
      <c r="AA201" s="226" t="s">
        <v>1356</v>
      </c>
      <c r="AB201" s="226"/>
      <c r="AC201" s="226"/>
      <c r="AD201" s="226" t="s">
        <v>1281</v>
      </c>
      <c r="AE201" s="226" t="s">
        <v>1546</v>
      </c>
    </row>
    <row r="202" spans="1:31">
      <c r="A202" s="226" t="s">
        <v>1548</v>
      </c>
      <c r="B202" s="226" t="s">
        <v>1123</v>
      </c>
      <c r="C202" s="226" t="s">
        <v>1538</v>
      </c>
      <c r="D202" s="226" t="s">
        <v>1539</v>
      </c>
      <c r="E202" s="226">
        <v>4386334</v>
      </c>
      <c r="F202" s="226">
        <v>4386111</v>
      </c>
      <c r="G202" s="226" t="s">
        <v>1008</v>
      </c>
      <c r="H202" s="226" t="s">
        <v>218</v>
      </c>
      <c r="I202" s="226" t="s">
        <v>1540</v>
      </c>
      <c r="J202" s="226" t="s">
        <v>1541</v>
      </c>
      <c r="K202" s="227">
        <v>46092.229166666664</v>
      </c>
      <c r="L202" s="227">
        <v>46085.229166666664</v>
      </c>
      <c r="M202" s="227">
        <v>46098.229166666664</v>
      </c>
      <c r="N202" s="227">
        <v>46098.229166666664</v>
      </c>
      <c r="O202" s="226" t="s">
        <v>1542</v>
      </c>
      <c r="P202" s="227">
        <v>46109.229166666664</v>
      </c>
      <c r="Q202" s="226">
        <v>2</v>
      </c>
      <c r="R202" s="226"/>
      <c r="S202" s="226">
        <v>2</v>
      </c>
      <c r="T202" s="226"/>
      <c r="U202" s="226" t="s">
        <v>1</v>
      </c>
      <c r="V202" s="226" t="s">
        <v>1</v>
      </c>
      <c r="W202" s="226" t="s">
        <v>1547</v>
      </c>
      <c r="X202" s="227">
        <v>46073.799305555556</v>
      </c>
      <c r="Y202" s="226" t="s">
        <v>38</v>
      </c>
      <c r="Z202" s="226" t="s">
        <v>1544</v>
      </c>
      <c r="AA202" s="226" t="s">
        <v>1356</v>
      </c>
      <c r="AB202" s="226"/>
      <c r="AC202" s="226"/>
      <c r="AD202" s="226" t="s">
        <v>1549</v>
      </c>
      <c r="AE202" s="226" t="s">
        <v>1546</v>
      </c>
    </row>
    <row r="203" spans="1:31">
      <c r="A203" s="226" t="s">
        <v>1553</v>
      </c>
      <c r="B203" s="226" t="s">
        <v>1123</v>
      </c>
      <c r="C203" s="226" t="s">
        <v>1538</v>
      </c>
      <c r="D203" s="226" t="s">
        <v>1539</v>
      </c>
      <c r="E203" s="226">
        <v>4386339</v>
      </c>
      <c r="F203" s="226">
        <v>4386112</v>
      </c>
      <c r="G203" s="226" t="s">
        <v>1018</v>
      </c>
      <c r="H203" s="226" t="s">
        <v>218</v>
      </c>
      <c r="I203" s="226" t="s">
        <v>1540</v>
      </c>
      <c r="J203" s="226" t="s">
        <v>1541</v>
      </c>
      <c r="K203" s="227">
        <v>46092.229166666664</v>
      </c>
      <c r="L203" s="227">
        <v>46085.229166666664</v>
      </c>
      <c r="M203" s="227">
        <v>46098.229166666664</v>
      </c>
      <c r="N203" s="227">
        <v>46098.229166666664</v>
      </c>
      <c r="O203" s="226" t="s">
        <v>1542</v>
      </c>
      <c r="P203" s="227">
        <v>46109.229166666664</v>
      </c>
      <c r="Q203" s="226">
        <v>3</v>
      </c>
      <c r="R203" s="226"/>
      <c r="S203" s="226">
        <v>2</v>
      </c>
      <c r="T203" s="226"/>
      <c r="U203" s="226" t="s">
        <v>1</v>
      </c>
      <c r="V203" s="226" t="s">
        <v>1</v>
      </c>
      <c r="W203" s="226" t="s">
        <v>1547</v>
      </c>
      <c r="X203" s="227">
        <v>46073.800694444442</v>
      </c>
      <c r="Y203" s="226" t="s">
        <v>38</v>
      </c>
      <c r="Z203" s="226" t="s">
        <v>1544</v>
      </c>
      <c r="AA203" s="226" t="s">
        <v>1356</v>
      </c>
      <c r="AB203" s="226"/>
      <c r="AC203" s="226"/>
      <c r="AD203" s="226" t="s">
        <v>1554</v>
      </c>
      <c r="AE203" s="226" t="s">
        <v>1546</v>
      </c>
    </row>
    <row r="204" spans="1:31">
      <c r="A204" s="226" t="s">
        <v>1555</v>
      </c>
      <c r="B204" s="226" t="s">
        <v>1123</v>
      </c>
      <c r="C204" s="226" t="s">
        <v>1538</v>
      </c>
      <c r="D204" s="226" t="s">
        <v>1539</v>
      </c>
      <c r="E204" s="226">
        <v>4278294</v>
      </c>
      <c r="F204" s="226">
        <v>4386114</v>
      </c>
      <c r="G204" s="226" t="s">
        <v>1019</v>
      </c>
      <c r="H204" s="226" t="s">
        <v>218</v>
      </c>
      <c r="I204" s="226" t="s">
        <v>1540</v>
      </c>
      <c r="J204" s="226" t="s">
        <v>1541</v>
      </c>
      <c r="K204" s="227">
        <v>46092.229166666664</v>
      </c>
      <c r="L204" s="227">
        <v>46090.229166666664</v>
      </c>
      <c r="M204" s="227">
        <v>46098.229166666664</v>
      </c>
      <c r="N204" s="227">
        <v>46098.229166666664</v>
      </c>
      <c r="O204" s="226" t="s">
        <v>1542</v>
      </c>
      <c r="P204" s="227">
        <v>46109.229166666664</v>
      </c>
      <c r="Q204" s="226">
        <v>5</v>
      </c>
      <c r="R204" s="226"/>
      <c r="S204" s="226">
        <v>2</v>
      </c>
      <c r="T204" s="226"/>
      <c r="U204" s="226" t="s">
        <v>1</v>
      </c>
      <c r="V204" s="226" t="s">
        <v>1</v>
      </c>
      <c r="W204" s="226" t="s">
        <v>1547</v>
      </c>
      <c r="X204" s="227">
        <v>46073.802083333336</v>
      </c>
      <c r="Y204" s="226" t="s">
        <v>38</v>
      </c>
      <c r="Z204" s="226" t="s">
        <v>1544</v>
      </c>
      <c r="AA204" s="226" t="s">
        <v>1356</v>
      </c>
      <c r="AB204" s="226"/>
      <c r="AC204" s="226"/>
      <c r="AD204" s="226" t="s">
        <v>1556</v>
      </c>
      <c r="AE204" s="226" t="s">
        <v>1546</v>
      </c>
    </row>
    <row r="205" spans="1:31">
      <c r="A205" s="226" t="s">
        <v>1555</v>
      </c>
      <c r="B205" s="226" t="s">
        <v>1123</v>
      </c>
      <c r="C205" s="226" t="s">
        <v>1538</v>
      </c>
      <c r="D205" s="226" t="s">
        <v>1539</v>
      </c>
      <c r="E205" s="226">
        <v>4278294</v>
      </c>
      <c r="F205" s="226">
        <v>4386115</v>
      </c>
      <c r="G205" s="226" t="s">
        <v>1020</v>
      </c>
      <c r="H205" s="226" t="s">
        <v>218</v>
      </c>
      <c r="I205" s="226" t="s">
        <v>1540</v>
      </c>
      <c r="J205" s="226" t="s">
        <v>1541</v>
      </c>
      <c r="K205" s="227">
        <v>46092.229166666664</v>
      </c>
      <c r="L205" s="227">
        <v>46090.229166666664</v>
      </c>
      <c r="M205" s="227">
        <v>46098.229166666664</v>
      </c>
      <c r="N205" s="227">
        <v>46098.229166666664</v>
      </c>
      <c r="O205" s="226" t="s">
        <v>1542</v>
      </c>
      <c r="P205" s="227">
        <v>46109.229166666664</v>
      </c>
      <c r="Q205" s="226">
        <v>5</v>
      </c>
      <c r="R205" s="226"/>
      <c r="S205" s="226">
        <v>2</v>
      </c>
      <c r="T205" s="226"/>
      <c r="U205" s="226" t="s">
        <v>1</v>
      </c>
      <c r="V205" s="226" t="s">
        <v>1</v>
      </c>
      <c r="W205" s="226" t="s">
        <v>1547</v>
      </c>
      <c r="X205" s="227">
        <v>46073.802777777775</v>
      </c>
      <c r="Y205" s="226" t="s">
        <v>38</v>
      </c>
      <c r="Z205" s="226" t="s">
        <v>1544</v>
      </c>
      <c r="AA205" s="226" t="s">
        <v>1356</v>
      </c>
      <c r="AB205" s="226"/>
      <c r="AC205" s="226"/>
      <c r="AD205" s="226" t="s">
        <v>1556</v>
      </c>
      <c r="AE205" s="226" t="s">
        <v>1546</v>
      </c>
    </row>
    <row r="206" spans="1:31">
      <c r="A206" s="226" t="s">
        <v>1555</v>
      </c>
      <c r="B206" s="226" t="s">
        <v>1123</v>
      </c>
      <c r="C206" s="226" t="s">
        <v>1538</v>
      </c>
      <c r="D206" s="226" t="s">
        <v>1539</v>
      </c>
      <c r="E206" s="226">
        <v>4278294</v>
      </c>
      <c r="F206" s="226">
        <v>4386118</v>
      </c>
      <c r="G206" s="226" t="s">
        <v>1021</v>
      </c>
      <c r="H206" s="226" t="s">
        <v>218</v>
      </c>
      <c r="I206" s="226" t="s">
        <v>1540</v>
      </c>
      <c r="J206" s="226" t="s">
        <v>1541</v>
      </c>
      <c r="K206" s="227">
        <v>46092.229166666664</v>
      </c>
      <c r="L206" s="227">
        <v>46090.229166666664</v>
      </c>
      <c r="M206" s="227">
        <v>46098.229166666664</v>
      </c>
      <c r="N206" s="227">
        <v>46098.229166666664</v>
      </c>
      <c r="O206" s="226" t="s">
        <v>1542</v>
      </c>
      <c r="P206" s="227">
        <v>46109.229166666664</v>
      </c>
      <c r="Q206" s="226">
        <v>5</v>
      </c>
      <c r="R206" s="226"/>
      <c r="S206" s="226">
        <v>2</v>
      </c>
      <c r="T206" s="226"/>
      <c r="U206" s="226" t="s">
        <v>1</v>
      </c>
      <c r="V206" s="226" t="s">
        <v>1</v>
      </c>
      <c r="W206" s="226" t="s">
        <v>1547</v>
      </c>
      <c r="X206" s="227">
        <v>46073.804166666669</v>
      </c>
      <c r="Y206" s="226" t="s">
        <v>38</v>
      </c>
      <c r="Z206" s="226" t="s">
        <v>1544</v>
      </c>
      <c r="AA206" s="226" t="s">
        <v>1356</v>
      </c>
      <c r="AB206" s="226"/>
      <c r="AC206" s="226"/>
      <c r="AD206" s="226" t="s">
        <v>1556</v>
      </c>
      <c r="AE206" s="226" t="s">
        <v>1546</v>
      </c>
    </row>
    <row r="207" spans="1:31">
      <c r="A207" s="226" t="s">
        <v>1557</v>
      </c>
      <c r="B207" s="226" t="s">
        <v>1123</v>
      </c>
      <c r="C207" s="226" t="s">
        <v>1538</v>
      </c>
      <c r="D207" s="226" t="s">
        <v>1539</v>
      </c>
      <c r="E207" s="226">
        <v>4317352</v>
      </c>
      <c r="F207" s="226">
        <v>4386119</v>
      </c>
      <c r="G207" s="226" t="s">
        <v>1002</v>
      </c>
      <c r="H207" s="226" t="s">
        <v>218</v>
      </c>
      <c r="I207" s="226" t="s">
        <v>1540</v>
      </c>
      <c r="J207" s="226" t="s">
        <v>1541</v>
      </c>
      <c r="K207" s="227">
        <v>46092.229166666664</v>
      </c>
      <c r="L207" s="227">
        <v>46091.229166666664</v>
      </c>
      <c r="M207" s="227">
        <v>46098.229166666664</v>
      </c>
      <c r="N207" s="227">
        <v>46098.229166666664</v>
      </c>
      <c r="O207" s="226" t="s">
        <v>1542</v>
      </c>
      <c r="P207" s="227">
        <v>46109.229166666664</v>
      </c>
      <c r="Q207" s="226">
        <v>5</v>
      </c>
      <c r="R207" s="226"/>
      <c r="S207" s="226">
        <v>2</v>
      </c>
      <c r="T207" s="226"/>
      <c r="U207" s="226" t="s">
        <v>1</v>
      </c>
      <c r="V207" s="226" t="s">
        <v>1</v>
      </c>
      <c r="W207" s="226" t="s">
        <v>1547</v>
      </c>
      <c r="X207" s="227">
        <v>46073.806250000001</v>
      </c>
      <c r="Y207" s="226" t="s">
        <v>38</v>
      </c>
      <c r="Z207" s="226" t="s">
        <v>1544</v>
      </c>
      <c r="AA207" s="226" t="s">
        <v>1356</v>
      </c>
      <c r="AB207" s="226"/>
      <c r="AC207" s="226"/>
      <c r="AD207" s="226" t="s">
        <v>1558</v>
      </c>
      <c r="AE207" s="226" t="s">
        <v>1546</v>
      </c>
    </row>
    <row r="208" spans="1:31">
      <c r="A208" s="226" t="s">
        <v>1557</v>
      </c>
      <c r="B208" s="226" t="s">
        <v>1123</v>
      </c>
      <c r="C208" s="226" t="s">
        <v>1538</v>
      </c>
      <c r="D208" s="226" t="s">
        <v>1539</v>
      </c>
      <c r="E208" s="226">
        <v>4317352</v>
      </c>
      <c r="F208" s="226">
        <v>4386120</v>
      </c>
      <c r="G208" s="226" t="s">
        <v>1003</v>
      </c>
      <c r="H208" s="226" t="s">
        <v>218</v>
      </c>
      <c r="I208" s="226" t="s">
        <v>1540</v>
      </c>
      <c r="J208" s="226" t="s">
        <v>1541</v>
      </c>
      <c r="K208" s="227">
        <v>46092.229166666664</v>
      </c>
      <c r="L208" s="227">
        <v>46091.229166666664</v>
      </c>
      <c r="M208" s="227">
        <v>46098.229166666664</v>
      </c>
      <c r="N208" s="227">
        <v>46098.229166666664</v>
      </c>
      <c r="O208" s="226" t="s">
        <v>1542</v>
      </c>
      <c r="P208" s="227">
        <v>46109.229166666664</v>
      </c>
      <c r="Q208" s="226">
        <v>5</v>
      </c>
      <c r="R208" s="226"/>
      <c r="S208" s="226">
        <v>2</v>
      </c>
      <c r="T208" s="226"/>
      <c r="U208" s="226" t="s">
        <v>1</v>
      </c>
      <c r="V208" s="226" t="s">
        <v>1</v>
      </c>
      <c r="W208" s="226" t="s">
        <v>1547</v>
      </c>
      <c r="X208" s="227">
        <v>46073.806944444441</v>
      </c>
      <c r="Y208" s="226" t="s">
        <v>38</v>
      </c>
      <c r="Z208" s="226" t="s">
        <v>1544</v>
      </c>
      <c r="AA208" s="226" t="s">
        <v>1356</v>
      </c>
      <c r="AB208" s="226"/>
      <c r="AC208" s="226"/>
      <c r="AD208" s="226" t="s">
        <v>1558</v>
      </c>
      <c r="AE208" s="226" t="s">
        <v>1546</v>
      </c>
    </row>
    <row r="209" spans="1:31">
      <c r="A209" s="226" t="s">
        <v>1557</v>
      </c>
      <c r="B209" s="226" t="s">
        <v>1123</v>
      </c>
      <c r="C209" s="226" t="s">
        <v>1538</v>
      </c>
      <c r="D209" s="226" t="s">
        <v>1539</v>
      </c>
      <c r="E209" s="226">
        <v>4317352</v>
      </c>
      <c r="F209" s="226">
        <v>4386121</v>
      </c>
      <c r="G209" s="226" t="s">
        <v>1005</v>
      </c>
      <c r="H209" s="226" t="s">
        <v>218</v>
      </c>
      <c r="I209" s="226" t="s">
        <v>1540</v>
      </c>
      <c r="J209" s="226" t="s">
        <v>1541</v>
      </c>
      <c r="K209" s="227">
        <v>46092.229166666664</v>
      </c>
      <c r="L209" s="227">
        <v>46091.229166666664</v>
      </c>
      <c r="M209" s="227">
        <v>46098.229166666664</v>
      </c>
      <c r="N209" s="227">
        <v>46098.229166666664</v>
      </c>
      <c r="O209" s="226" t="s">
        <v>1542</v>
      </c>
      <c r="P209" s="227">
        <v>46109.229166666664</v>
      </c>
      <c r="Q209" s="226">
        <v>5</v>
      </c>
      <c r="R209" s="226"/>
      <c r="S209" s="226">
        <v>2</v>
      </c>
      <c r="T209" s="226"/>
      <c r="U209" s="226" t="s">
        <v>1</v>
      </c>
      <c r="V209" s="226" t="s">
        <v>1</v>
      </c>
      <c r="W209" s="226" t="s">
        <v>1547</v>
      </c>
      <c r="X209" s="227">
        <v>46073.806944444441</v>
      </c>
      <c r="Y209" s="226" t="s">
        <v>38</v>
      </c>
      <c r="Z209" s="226" t="s">
        <v>1544</v>
      </c>
      <c r="AA209" s="226" t="s">
        <v>1356</v>
      </c>
      <c r="AB209" s="226"/>
      <c r="AC209" s="226"/>
      <c r="AD209" s="226" t="s">
        <v>1558</v>
      </c>
      <c r="AE209" s="226" t="s">
        <v>1546</v>
      </c>
    </row>
    <row r="210" spans="1:31">
      <c r="A210" s="226" t="s">
        <v>1557</v>
      </c>
      <c r="B210" s="226" t="s">
        <v>1123</v>
      </c>
      <c r="C210" s="226" t="s">
        <v>1538</v>
      </c>
      <c r="D210" s="226" t="s">
        <v>1539</v>
      </c>
      <c r="E210" s="226">
        <v>4317352</v>
      </c>
      <c r="F210" s="226">
        <v>4386122</v>
      </c>
      <c r="G210" s="226" t="s">
        <v>1004</v>
      </c>
      <c r="H210" s="226" t="s">
        <v>218</v>
      </c>
      <c r="I210" s="226" t="s">
        <v>1540</v>
      </c>
      <c r="J210" s="226" t="s">
        <v>1541</v>
      </c>
      <c r="K210" s="227">
        <v>46092.229166666664</v>
      </c>
      <c r="L210" s="227">
        <v>46091.229166666664</v>
      </c>
      <c r="M210" s="227">
        <v>46098.229166666664</v>
      </c>
      <c r="N210" s="227">
        <v>46098.229166666664</v>
      </c>
      <c r="O210" s="226" t="s">
        <v>1542</v>
      </c>
      <c r="P210" s="227">
        <v>46109.229166666664</v>
      </c>
      <c r="Q210" s="226">
        <v>5</v>
      </c>
      <c r="R210" s="226"/>
      <c r="S210" s="226">
        <v>2</v>
      </c>
      <c r="T210" s="226"/>
      <c r="U210" s="226" t="s">
        <v>1</v>
      </c>
      <c r="V210" s="226" t="s">
        <v>1</v>
      </c>
      <c r="W210" s="226" t="s">
        <v>1547</v>
      </c>
      <c r="X210" s="227">
        <v>46073.807638888888</v>
      </c>
      <c r="Y210" s="226" t="s">
        <v>38</v>
      </c>
      <c r="Z210" s="226" t="s">
        <v>1544</v>
      </c>
      <c r="AA210" s="226" t="s">
        <v>1356</v>
      </c>
      <c r="AB210" s="226"/>
      <c r="AC210" s="226"/>
      <c r="AD210" s="226" t="s">
        <v>1558</v>
      </c>
      <c r="AE210" s="226" t="s">
        <v>1546</v>
      </c>
    </row>
    <row r="211" spans="1:31">
      <c r="A211" s="226" t="s">
        <v>1559</v>
      </c>
      <c r="B211" s="226" t="s">
        <v>1123</v>
      </c>
      <c r="C211" s="226" t="s">
        <v>1538</v>
      </c>
      <c r="D211" s="226" t="s">
        <v>1539</v>
      </c>
      <c r="E211" s="226">
        <v>4278295</v>
      </c>
      <c r="F211" s="226">
        <v>4386124</v>
      </c>
      <c r="G211" s="226" t="s">
        <v>1014</v>
      </c>
      <c r="H211" s="226" t="s">
        <v>218</v>
      </c>
      <c r="I211" s="226" t="s">
        <v>1540</v>
      </c>
      <c r="J211" s="226" t="s">
        <v>1541</v>
      </c>
      <c r="K211" s="227">
        <v>46092.229166666664</v>
      </c>
      <c r="L211" s="227">
        <v>46085.229166666664</v>
      </c>
      <c r="M211" s="227">
        <v>46098.229166666664</v>
      </c>
      <c r="N211" s="227">
        <v>46098.229166666664</v>
      </c>
      <c r="O211" s="226" t="s">
        <v>1542</v>
      </c>
      <c r="P211" s="227">
        <v>46109.229166666664</v>
      </c>
      <c r="Q211" s="226">
        <v>3</v>
      </c>
      <c r="R211" s="226"/>
      <c r="S211" s="226">
        <v>2</v>
      </c>
      <c r="T211" s="226"/>
      <c r="U211" s="226" t="s">
        <v>1</v>
      </c>
      <c r="V211" s="226" t="s">
        <v>1</v>
      </c>
      <c r="W211" s="226" t="s">
        <v>1547</v>
      </c>
      <c r="X211" s="227">
        <v>46073.809027777781</v>
      </c>
      <c r="Y211" s="226" t="s">
        <v>38</v>
      </c>
      <c r="Z211" s="226" t="s">
        <v>1544</v>
      </c>
      <c r="AA211" s="226" t="s">
        <v>1356</v>
      </c>
      <c r="AB211" s="226"/>
      <c r="AC211" s="226"/>
      <c r="AD211" s="226" t="s">
        <v>1014</v>
      </c>
      <c r="AE211" s="226" t="s">
        <v>1546</v>
      </c>
    </row>
    <row r="212" spans="1:31">
      <c r="A212" s="226" t="s">
        <v>1559</v>
      </c>
      <c r="B212" s="226" t="s">
        <v>1123</v>
      </c>
      <c r="C212" s="226" t="s">
        <v>1538</v>
      </c>
      <c r="D212" s="226" t="s">
        <v>1539</v>
      </c>
      <c r="E212" s="226">
        <v>4278295</v>
      </c>
      <c r="F212" s="226">
        <v>4386128</v>
      </c>
      <c r="G212" s="226" t="s">
        <v>1013</v>
      </c>
      <c r="H212" s="226" t="s">
        <v>218</v>
      </c>
      <c r="I212" s="226" t="s">
        <v>1540</v>
      </c>
      <c r="J212" s="226" t="s">
        <v>1541</v>
      </c>
      <c r="K212" s="227">
        <v>46092.229166666664</v>
      </c>
      <c r="L212" s="227">
        <v>46085.229166666664</v>
      </c>
      <c r="M212" s="227">
        <v>46098.229166666664</v>
      </c>
      <c r="N212" s="227">
        <v>46098.229166666664</v>
      </c>
      <c r="O212" s="226" t="s">
        <v>1542</v>
      </c>
      <c r="P212" s="227">
        <v>46109.229166666664</v>
      </c>
      <c r="Q212" s="226">
        <v>2</v>
      </c>
      <c r="R212" s="226"/>
      <c r="S212" s="226">
        <v>2</v>
      </c>
      <c r="T212" s="226"/>
      <c r="U212" s="226" t="s">
        <v>1</v>
      </c>
      <c r="V212" s="226" t="s">
        <v>1</v>
      </c>
      <c r="W212" s="226" t="s">
        <v>1547</v>
      </c>
      <c r="X212" s="227">
        <v>46073.80972222222</v>
      </c>
      <c r="Y212" s="226" t="s">
        <v>38</v>
      </c>
      <c r="Z212" s="226" t="s">
        <v>1544</v>
      </c>
      <c r="AA212" s="226" t="s">
        <v>1356</v>
      </c>
      <c r="AB212" s="226"/>
      <c r="AC212" s="226"/>
      <c r="AD212" s="226" t="s">
        <v>1014</v>
      </c>
      <c r="AE212" s="226" t="s">
        <v>1546</v>
      </c>
    </row>
    <row r="213" spans="1:31">
      <c r="A213" s="226" t="s">
        <v>1560</v>
      </c>
      <c r="B213" s="226" t="s">
        <v>1123</v>
      </c>
      <c r="C213" s="226" t="s">
        <v>1538</v>
      </c>
      <c r="D213" s="226" t="s">
        <v>1539</v>
      </c>
      <c r="E213" s="226">
        <v>4386347</v>
      </c>
      <c r="F213" s="226">
        <v>4386129</v>
      </c>
      <c r="G213" s="226" t="s">
        <v>999</v>
      </c>
      <c r="H213" s="226" t="s">
        <v>218</v>
      </c>
      <c r="I213" s="226" t="s">
        <v>1540</v>
      </c>
      <c r="J213" s="226" t="s">
        <v>1541</v>
      </c>
      <c r="K213" s="227">
        <v>46092.229166666664</v>
      </c>
      <c r="L213" s="227">
        <v>46085.229166666664</v>
      </c>
      <c r="M213" s="227">
        <v>46098.229166666664</v>
      </c>
      <c r="N213" s="227">
        <v>46098.229166666664</v>
      </c>
      <c r="O213" s="226" t="s">
        <v>1542</v>
      </c>
      <c r="P213" s="227">
        <v>46109.229166666664</v>
      </c>
      <c r="Q213" s="226">
        <v>5</v>
      </c>
      <c r="R213" s="226"/>
      <c r="S213" s="226">
        <v>2</v>
      </c>
      <c r="T213" s="226"/>
      <c r="U213" s="226" t="s">
        <v>1</v>
      </c>
      <c r="V213" s="226" t="s">
        <v>1</v>
      </c>
      <c r="W213" s="226" t="s">
        <v>1547</v>
      </c>
      <c r="X213" s="227">
        <v>46073.810416666667</v>
      </c>
      <c r="Y213" s="226" t="s">
        <v>38</v>
      </c>
      <c r="Z213" s="226" t="s">
        <v>1544</v>
      </c>
      <c r="AA213" s="226" t="s">
        <v>1356</v>
      </c>
      <c r="AB213" s="226"/>
      <c r="AC213" s="226"/>
      <c r="AD213" s="226" t="s">
        <v>1561</v>
      </c>
      <c r="AE213" s="226" t="s">
        <v>1546</v>
      </c>
    </row>
    <row r="214" spans="1:31">
      <c r="A214" s="226" t="s">
        <v>1560</v>
      </c>
      <c r="B214" s="226" t="s">
        <v>1123</v>
      </c>
      <c r="C214" s="226" t="s">
        <v>1538</v>
      </c>
      <c r="D214" s="226" t="s">
        <v>1539</v>
      </c>
      <c r="E214" s="226">
        <v>4386347</v>
      </c>
      <c r="F214" s="226">
        <v>4386131</v>
      </c>
      <c r="G214" s="226" t="s">
        <v>1000</v>
      </c>
      <c r="H214" s="226" t="s">
        <v>218</v>
      </c>
      <c r="I214" s="226" t="s">
        <v>1540</v>
      </c>
      <c r="J214" s="226" t="s">
        <v>1541</v>
      </c>
      <c r="K214" s="227">
        <v>46092.229166666664</v>
      </c>
      <c r="L214" s="227">
        <v>46085.229166666664</v>
      </c>
      <c r="M214" s="227">
        <v>46098.229166666664</v>
      </c>
      <c r="N214" s="227">
        <v>46098.229166666664</v>
      </c>
      <c r="O214" s="226" t="s">
        <v>1542</v>
      </c>
      <c r="P214" s="227">
        <v>46109.229166666664</v>
      </c>
      <c r="Q214" s="226">
        <v>5</v>
      </c>
      <c r="R214" s="226"/>
      <c r="S214" s="226">
        <v>2</v>
      </c>
      <c r="T214" s="226"/>
      <c r="U214" s="226" t="s">
        <v>1</v>
      </c>
      <c r="V214" s="226" t="s">
        <v>1</v>
      </c>
      <c r="W214" s="226" t="s">
        <v>1547</v>
      </c>
      <c r="X214" s="227">
        <v>46073.811111111114</v>
      </c>
      <c r="Y214" s="226" t="s">
        <v>38</v>
      </c>
      <c r="Z214" s="226" t="s">
        <v>1544</v>
      </c>
      <c r="AA214" s="226" t="s">
        <v>1356</v>
      </c>
      <c r="AB214" s="226"/>
      <c r="AC214" s="226"/>
      <c r="AD214" s="226" t="s">
        <v>1561</v>
      </c>
      <c r="AE214" s="226" t="s">
        <v>1546</v>
      </c>
    </row>
    <row r="215" spans="1:31">
      <c r="A215" s="226" t="s">
        <v>1560</v>
      </c>
      <c r="B215" s="226" t="s">
        <v>1123</v>
      </c>
      <c r="C215" s="226" t="s">
        <v>1538</v>
      </c>
      <c r="D215" s="226" t="s">
        <v>1562</v>
      </c>
      <c r="E215" s="226">
        <v>4386347</v>
      </c>
      <c r="F215" s="226">
        <v>4386132</v>
      </c>
      <c r="G215" s="226" t="s">
        <v>996</v>
      </c>
      <c r="H215" s="226" t="s">
        <v>218</v>
      </c>
      <c r="I215" s="226" t="s">
        <v>1540</v>
      </c>
      <c r="J215" s="226" t="s">
        <v>1541</v>
      </c>
      <c r="K215" s="227">
        <v>46092.229166666664</v>
      </c>
      <c r="L215" s="227">
        <v>46085.229166666664</v>
      </c>
      <c r="M215" s="227">
        <v>46098.229166666664</v>
      </c>
      <c r="N215" s="227">
        <v>46098.229166666664</v>
      </c>
      <c r="O215" s="226" t="s">
        <v>1542</v>
      </c>
      <c r="P215" s="227">
        <v>46109.229166666664</v>
      </c>
      <c r="Q215" s="226">
        <v>5</v>
      </c>
      <c r="R215" s="226"/>
      <c r="S215" s="226">
        <v>2</v>
      </c>
      <c r="T215" s="226"/>
      <c r="U215" s="226" t="s">
        <v>1</v>
      </c>
      <c r="V215" s="226" t="s">
        <v>1</v>
      </c>
      <c r="W215" s="226" t="s">
        <v>1547</v>
      </c>
      <c r="X215" s="227">
        <v>46073.811805555553</v>
      </c>
      <c r="Y215" s="226" t="s">
        <v>38</v>
      </c>
      <c r="Z215" s="226" t="s">
        <v>1544</v>
      </c>
      <c r="AA215" s="226" t="s">
        <v>1356</v>
      </c>
      <c r="AB215" s="226"/>
      <c r="AC215" s="226"/>
      <c r="AD215" s="226" t="s">
        <v>1561</v>
      </c>
      <c r="AE215" s="226" t="s">
        <v>1546</v>
      </c>
    </row>
    <row r="216" spans="1:31">
      <c r="A216" s="226" t="s">
        <v>1563</v>
      </c>
      <c r="B216" s="226" t="s">
        <v>1123</v>
      </c>
      <c r="C216" s="226" t="s">
        <v>1538</v>
      </c>
      <c r="D216" s="226" t="s">
        <v>1539</v>
      </c>
      <c r="E216" s="226">
        <v>4386333</v>
      </c>
      <c r="F216" s="226">
        <v>4386134</v>
      </c>
      <c r="G216" s="226" t="s">
        <v>1015</v>
      </c>
      <c r="H216" s="226" t="s">
        <v>218</v>
      </c>
      <c r="I216" s="226" t="s">
        <v>1540</v>
      </c>
      <c r="J216" s="226" t="s">
        <v>1541</v>
      </c>
      <c r="K216" s="227">
        <v>46092.229166666664</v>
      </c>
      <c r="L216" s="227">
        <v>46085.229166666664</v>
      </c>
      <c r="M216" s="227">
        <v>46098.229166666664</v>
      </c>
      <c r="N216" s="227">
        <v>46098.229166666664</v>
      </c>
      <c r="O216" s="226" t="s">
        <v>1542</v>
      </c>
      <c r="P216" s="227">
        <v>46109.229166666664</v>
      </c>
      <c r="Q216" s="226">
        <v>3</v>
      </c>
      <c r="R216" s="226"/>
      <c r="S216" s="226">
        <v>2</v>
      </c>
      <c r="T216" s="226"/>
      <c r="U216" s="226" t="s">
        <v>1</v>
      </c>
      <c r="V216" s="226" t="s">
        <v>1</v>
      </c>
      <c r="W216" s="226" t="s">
        <v>1547</v>
      </c>
      <c r="X216" s="227">
        <v>46073.8125</v>
      </c>
      <c r="Y216" s="226" t="s">
        <v>38</v>
      </c>
      <c r="Z216" s="226" t="s">
        <v>1544</v>
      </c>
      <c r="AA216" s="226" t="s">
        <v>1356</v>
      </c>
      <c r="AB216" s="226"/>
      <c r="AC216" s="226"/>
      <c r="AD216" s="226" t="s">
        <v>1015</v>
      </c>
      <c r="AE216" s="226" t="s">
        <v>1546</v>
      </c>
    </row>
    <row r="217" spans="1:31">
      <c r="A217" s="226" t="s">
        <v>1555</v>
      </c>
      <c r="B217" s="226" t="s">
        <v>1123</v>
      </c>
      <c r="C217" s="226" t="s">
        <v>1538</v>
      </c>
      <c r="D217" s="226" t="s">
        <v>1539</v>
      </c>
      <c r="E217" s="226">
        <v>4278294</v>
      </c>
      <c r="F217" s="226">
        <v>4386164</v>
      </c>
      <c r="G217" s="226" t="s">
        <v>1041</v>
      </c>
      <c r="H217" s="226" t="s">
        <v>218</v>
      </c>
      <c r="I217" s="226" t="s">
        <v>1540</v>
      </c>
      <c r="J217" s="226" t="s">
        <v>1541</v>
      </c>
      <c r="K217" s="227">
        <v>46092.229166666664</v>
      </c>
      <c r="L217" s="227">
        <v>46086.229166666664</v>
      </c>
      <c r="M217" s="227">
        <v>46098.229166666664</v>
      </c>
      <c r="N217" s="227">
        <v>46098.229166666664</v>
      </c>
      <c r="O217" s="226" t="s">
        <v>1542</v>
      </c>
      <c r="P217" s="227">
        <v>46109.229166666664</v>
      </c>
      <c r="Q217" s="226"/>
      <c r="R217" s="226"/>
      <c r="S217" s="226">
        <v>2</v>
      </c>
      <c r="T217" s="226"/>
      <c r="U217" s="226" t="s">
        <v>1</v>
      </c>
      <c r="V217" s="226" t="s">
        <v>1</v>
      </c>
      <c r="W217" s="226" t="s">
        <v>1547</v>
      </c>
      <c r="X217" s="227">
        <v>46073.813194444447</v>
      </c>
      <c r="Y217" s="226" t="s">
        <v>38</v>
      </c>
      <c r="Z217" s="226" t="s">
        <v>1544</v>
      </c>
      <c r="AA217" s="226" t="s">
        <v>1356</v>
      </c>
      <c r="AB217" s="226"/>
      <c r="AC217" s="226"/>
      <c r="AD217" s="226" t="s">
        <v>1564</v>
      </c>
      <c r="AE217" s="226" t="s">
        <v>1546</v>
      </c>
    </row>
    <row r="218" spans="1:31">
      <c r="A218" s="226" t="s">
        <v>1553</v>
      </c>
      <c r="B218" s="226" t="s">
        <v>1123</v>
      </c>
      <c r="C218" s="226" t="s">
        <v>1538</v>
      </c>
      <c r="D218" s="226" t="s">
        <v>1539</v>
      </c>
      <c r="E218" s="226">
        <v>4386339</v>
      </c>
      <c r="F218" s="226">
        <v>4374090</v>
      </c>
      <c r="G218" s="226" t="s">
        <v>1017</v>
      </c>
      <c r="H218" s="226" t="s">
        <v>218</v>
      </c>
      <c r="I218" s="226" t="s">
        <v>1540</v>
      </c>
      <c r="J218" s="226" t="s">
        <v>1541</v>
      </c>
      <c r="K218" s="227">
        <v>46092.229166666664</v>
      </c>
      <c r="L218" s="227">
        <v>46085.229166666664</v>
      </c>
      <c r="M218" s="227">
        <v>46098.229166666664</v>
      </c>
      <c r="N218" s="227">
        <v>46098.229166666664</v>
      </c>
      <c r="O218" s="226" t="s">
        <v>1542</v>
      </c>
      <c r="P218" s="227">
        <v>46109.229166666664</v>
      </c>
      <c r="Q218" s="226">
        <v>3</v>
      </c>
      <c r="R218" s="226"/>
      <c r="S218" s="226">
        <v>2</v>
      </c>
      <c r="T218" s="226"/>
      <c r="U218" s="226" t="s">
        <v>1</v>
      </c>
      <c r="V218" s="226" t="s">
        <v>1</v>
      </c>
      <c r="W218" s="226" t="s">
        <v>1547</v>
      </c>
      <c r="X218" s="227">
        <v>46072.531944444447</v>
      </c>
      <c r="Y218" s="226" t="s">
        <v>38</v>
      </c>
      <c r="Z218" s="226" t="s">
        <v>1544</v>
      </c>
      <c r="AA218" s="226" t="s">
        <v>1356</v>
      </c>
      <c r="AB218" s="226"/>
      <c r="AC218" s="226"/>
      <c r="AD218" s="226" t="s">
        <v>1554</v>
      </c>
      <c r="AE218" s="226" t="s">
        <v>1546</v>
      </c>
    </row>
    <row r="219" spans="1:31">
      <c r="A219" s="226" t="s">
        <v>1565</v>
      </c>
      <c r="B219" s="226" t="s">
        <v>1123</v>
      </c>
      <c r="C219" s="226" t="s">
        <v>1538</v>
      </c>
      <c r="D219" s="226" t="s">
        <v>1539</v>
      </c>
      <c r="E219" s="226">
        <v>4275871</v>
      </c>
      <c r="F219" s="226">
        <v>4376340</v>
      </c>
      <c r="G219" s="226" t="s">
        <v>1006</v>
      </c>
      <c r="H219" s="226" t="s">
        <v>218</v>
      </c>
      <c r="I219" s="226" t="s">
        <v>1540</v>
      </c>
      <c r="J219" s="226" t="s">
        <v>1541</v>
      </c>
      <c r="K219" s="227">
        <v>46092.229166666664</v>
      </c>
      <c r="L219" s="227">
        <v>46085.229166666664</v>
      </c>
      <c r="M219" s="227">
        <v>46098.229166666664</v>
      </c>
      <c r="N219" s="227">
        <v>46098.229166666664</v>
      </c>
      <c r="O219" s="226" t="s">
        <v>1542</v>
      </c>
      <c r="P219" s="227">
        <v>46109.229166666664</v>
      </c>
      <c r="Q219" s="226">
        <v>2</v>
      </c>
      <c r="R219" s="226"/>
      <c r="S219" s="226">
        <v>2</v>
      </c>
      <c r="T219" s="226"/>
      <c r="U219" s="226" t="s">
        <v>1</v>
      </c>
      <c r="V219" s="226" t="s">
        <v>1</v>
      </c>
      <c r="W219" s="226" t="s">
        <v>1547</v>
      </c>
      <c r="X219" s="227">
        <v>46072.604166666664</v>
      </c>
      <c r="Y219" s="226" t="s">
        <v>38</v>
      </c>
      <c r="Z219" s="226" t="s">
        <v>1544</v>
      </c>
      <c r="AA219" s="226" t="s">
        <v>1356</v>
      </c>
      <c r="AB219" s="226"/>
      <c r="AC219" s="226"/>
      <c r="AD219" s="226" t="s">
        <v>1566</v>
      </c>
      <c r="AE219" s="226" t="s">
        <v>1546</v>
      </c>
    </row>
    <row r="220" spans="1:31">
      <c r="A220" s="226" t="s">
        <v>1553</v>
      </c>
      <c r="B220" s="226" t="s">
        <v>1123</v>
      </c>
      <c r="C220" s="226" t="s">
        <v>1538</v>
      </c>
      <c r="D220" s="226" t="s">
        <v>1539</v>
      </c>
      <c r="E220" s="226">
        <v>4386339</v>
      </c>
      <c r="F220" s="226">
        <v>4374020</v>
      </c>
      <c r="G220" s="226" t="s">
        <v>1016</v>
      </c>
      <c r="H220" s="226" t="s">
        <v>218</v>
      </c>
      <c r="I220" s="226" t="s">
        <v>1540</v>
      </c>
      <c r="J220" s="226" t="s">
        <v>1541</v>
      </c>
      <c r="K220" s="227">
        <v>46092.229166666664</v>
      </c>
      <c r="L220" s="227">
        <v>46085.229166666664</v>
      </c>
      <c r="M220" s="227">
        <v>46098.229166666664</v>
      </c>
      <c r="N220" s="227">
        <v>46098.229166666664</v>
      </c>
      <c r="O220" s="226" t="s">
        <v>1542</v>
      </c>
      <c r="P220" s="227">
        <v>46109.229166666664</v>
      </c>
      <c r="Q220" s="226">
        <v>3</v>
      </c>
      <c r="R220" s="226"/>
      <c r="S220" s="226">
        <v>2</v>
      </c>
      <c r="T220" s="226"/>
      <c r="U220" s="226" t="s">
        <v>1</v>
      </c>
      <c r="V220" s="226" t="s">
        <v>1</v>
      </c>
      <c r="W220" s="226" t="s">
        <v>1547</v>
      </c>
      <c r="X220" s="227">
        <v>46072.494444444441</v>
      </c>
      <c r="Y220" s="226" t="s">
        <v>38</v>
      </c>
      <c r="Z220" s="226" t="s">
        <v>1544</v>
      </c>
      <c r="AA220" s="226" t="s">
        <v>1356</v>
      </c>
      <c r="AB220" s="226"/>
      <c r="AC220" s="226"/>
      <c r="AD220" s="226" t="s">
        <v>1567</v>
      </c>
      <c r="AE220" s="226" t="s">
        <v>1546</v>
      </c>
    </row>
    <row r="221" spans="1:31">
      <c r="A221" s="226" t="s">
        <v>1242</v>
      </c>
      <c r="B221" s="226" t="s">
        <v>1123</v>
      </c>
      <c r="C221" s="226" t="s">
        <v>1195</v>
      </c>
      <c r="D221" s="226" t="s">
        <v>1243</v>
      </c>
      <c r="E221" s="226">
        <v>4317244</v>
      </c>
      <c r="F221" s="226">
        <v>4386412</v>
      </c>
      <c r="G221" s="226" t="s">
        <v>324</v>
      </c>
      <c r="H221" s="226" t="s">
        <v>218</v>
      </c>
      <c r="I221" s="226" t="s">
        <v>1568</v>
      </c>
      <c r="J221" s="226" t="s">
        <v>1207</v>
      </c>
      <c r="K221" s="227">
        <v>46092.229166666664</v>
      </c>
      <c r="L221" s="227">
        <v>46092.879861111112</v>
      </c>
      <c r="M221" s="227">
        <v>46097.979166666664</v>
      </c>
      <c r="N221" s="227">
        <v>46097.936111111114</v>
      </c>
      <c r="O221" s="226" t="s">
        <v>1214</v>
      </c>
      <c r="P221" s="227">
        <v>46109.229166666664</v>
      </c>
      <c r="Q221" s="226">
        <v>5</v>
      </c>
      <c r="R221" s="226"/>
      <c r="S221" s="226">
        <v>2</v>
      </c>
      <c r="T221" s="226"/>
      <c r="U221" s="226" t="s">
        <v>1</v>
      </c>
      <c r="V221" s="226" t="s">
        <v>1118</v>
      </c>
      <c r="W221" s="226" t="s">
        <v>1198</v>
      </c>
      <c r="X221" s="227">
        <v>46074.527777777781</v>
      </c>
      <c r="Y221" s="226"/>
      <c r="Z221" s="226" t="s">
        <v>1569</v>
      </c>
      <c r="AA221" s="226" t="s">
        <v>1156</v>
      </c>
      <c r="AB221" s="226"/>
      <c r="AC221" s="226"/>
      <c r="AD221" s="226" t="s">
        <v>1245</v>
      </c>
      <c r="AE221" s="226" t="s">
        <v>1570</v>
      </c>
    </row>
    <row r="222" spans="1:31">
      <c r="A222" s="226" t="s">
        <v>1204</v>
      </c>
      <c r="B222" s="226" t="s">
        <v>1194</v>
      </c>
      <c r="C222" s="226" t="s">
        <v>1194</v>
      </c>
      <c r="D222" s="226" t="s">
        <v>1205</v>
      </c>
      <c r="E222" s="226">
        <v>4330994</v>
      </c>
      <c r="F222" s="226">
        <v>4381608</v>
      </c>
      <c r="G222" s="226" t="s">
        <v>227</v>
      </c>
      <c r="H222" s="226" t="s">
        <v>866</v>
      </c>
      <c r="I222" s="226" t="s">
        <v>1568</v>
      </c>
      <c r="J222" s="226" t="s">
        <v>1287</v>
      </c>
      <c r="K222" s="227">
        <v>46092.229166666664</v>
      </c>
      <c r="L222" s="227">
        <v>46093.664583333331</v>
      </c>
      <c r="M222" s="227">
        <v>46098.0625</v>
      </c>
      <c r="N222" s="227">
        <v>46097.93472222222</v>
      </c>
      <c r="O222" s="226" t="s">
        <v>1208</v>
      </c>
      <c r="P222" s="227">
        <v>46109.229166666664</v>
      </c>
      <c r="Q222" s="226">
        <v>3</v>
      </c>
      <c r="R222" s="226"/>
      <c r="S222" s="226">
        <v>2</v>
      </c>
      <c r="T222" s="226"/>
      <c r="U222" s="226" t="s">
        <v>1</v>
      </c>
      <c r="V222" s="226" t="s">
        <v>1118</v>
      </c>
      <c r="W222" s="226" t="s">
        <v>1198</v>
      </c>
      <c r="X222" s="227">
        <v>46073.435416666667</v>
      </c>
      <c r="Y222" s="226"/>
      <c r="Z222" s="226" t="s">
        <v>1569</v>
      </c>
      <c r="AA222" s="226" t="s">
        <v>1156</v>
      </c>
      <c r="AB222" s="226"/>
      <c r="AC222" s="226"/>
      <c r="AD222" s="226" t="s">
        <v>1211</v>
      </c>
      <c r="AE222" s="226" t="s">
        <v>1570</v>
      </c>
    </row>
    <row r="223" spans="1:31">
      <c r="A223" s="226" t="s">
        <v>1571</v>
      </c>
      <c r="B223" s="226" t="s">
        <v>1093</v>
      </c>
      <c r="C223" s="226" t="s">
        <v>1149</v>
      </c>
      <c r="D223" s="226" t="s">
        <v>1572</v>
      </c>
      <c r="E223" s="226">
        <v>4358702</v>
      </c>
      <c r="F223" s="226">
        <v>4358746</v>
      </c>
      <c r="G223" s="226" t="s">
        <v>911</v>
      </c>
      <c r="H223" s="226" t="s">
        <v>229</v>
      </c>
      <c r="I223" s="226" t="s">
        <v>1568</v>
      </c>
      <c r="J223" s="226" t="s">
        <v>1378</v>
      </c>
      <c r="K223" s="227">
        <v>46092.229166666664</v>
      </c>
      <c r="L223" s="227">
        <v>46092.661111111112</v>
      </c>
      <c r="M223" s="227">
        <v>46101.229166666664</v>
      </c>
      <c r="N223" s="227"/>
      <c r="O223" s="226" t="s">
        <v>1573</v>
      </c>
      <c r="P223" s="227">
        <v>46109.229166666664</v>
      </c>
      <c r="Q223" s="226">
        <v>3</v>
      </c>
      <c r="R223" s="226"/>
      <c r="S223" s="226">
        <v>2</v>
      </c>
      <c r="T223" s="226"/>
      <c r="U223" s="226" t="s">
        <v>1</v>
      </c>
      <c r="V223" s="226" t="s">
        <v>1</v>
      </c>
      <c r="W223" s="226" t="s">
        <v>1574</v>
      </c>
      <c r="X223" s="227">
        <v>46062.852777777778</v>
      </c>
      <c r="Y223" s="226" t="s">
        <v>1575</v>
      </c>
      <c r="Z223" s="226" t="s">
        <v>1569</v>
      </c>
      <c r="AA223" s="226" t="s">
        <v>1106</v>
      </c>
      <c r="AB223" s="226"/>
      <c r="AC223" s="226"/>
      <c r="AD223" s="226" t="s">
        <v>1576</v>
      </c>
      <c r="AE223" s="226" t="s">
        <v>1570</v>
      </c>
    </row>
    <row r="224" spans="1:31">
      <c r="A224" s="226" t="s">
        <v>1571</v>
      </c>
      <c r="B224" s="226" t="s">
        <v>1093</v>
      </c>
      <c r="C224" s="226" t="s">
        <v>1149</v>
      </c>
      <c r="D224" s="226" t="s">
        <v>1572</v>
      </c>
      <c r="E224" s="226">
        <v>4358702</v>
      </c>
      <c r="F224" s="226">
        <v>4358748</v>
      </c>
      <c r="G224" s="226" t="s">
        <v>304</v>
      </c>
      <c r="H224" s="226" t="s">
        <v>866</v>
      </c>
      <c r="I224" s="226" t="s">
        <v>1568</v>
      </c>
      <c r="J224" s="226" t="s">
        <v>1207</v>
      </c>
      <c r="K224" s="227">
        <v>46092.229166666664</v>
      </c>
      <c r="L224" s="227">
        <v>46091.229166666664</v>
      </c>
      <c r="M224" s="227"/>
      <c r="N224" s="226"/>
      <c r="O224" s="226" t="s">
        <v>1502</v>
      </c>
      <c r="P224" s="227">
        <v>46109.229166666664</v>
      </c>
      <c r="Q224" s="226">
        <v>3</v>
      </c>
      <c r="R224" s="226"/>
      <c r="S224" s="226">
        <v>2</v>
      </c>
      <c r="T224" s="226"/>
      <c r="U224" s="226" t="s">
        <v>1</v>
      </c>
      <c r="V224" s="226" t="s">
        <v>1</v>
      </c>
      <c r="W224" s="226" t="s">
        <v>1574</v>
      </c>
      <c r="X224" s="227">
        <v>46062.854861111111</v>
      </c>
      <c r="Y224" s="226" t="s">
        <v>1577</v>
      </c>
      <c r="Z224" s="226" t="s">
        <v>1569</v>
      </c>
      <c r="AA224" s="226" t="s">
        <v>1106</v>
      </c>
      <c r="AB224" s="226"/>
      <c r="AC224" s="226"/>
      <c r="AD224" s="226" t="s">
        <v>303</v>
      </c>
      <c r="AE224" s="226" t="s">
        <v>1570</v>
      </c>
    </row>
    <row r="225" spans="1:31">
      <c r="A225" s="226" t="s">
        <v>1571</v>
      </c>
      <c r="B225" s="226" t="s">
        <v>1093</v>
      </c>
      <c r="C225" s="226" t="s">
        <v>1149</v>
      </c>
      <c r="D225" s="226" t="s">
        <v>1572</v>
      </c>
      <c r="E225" s="226">
        <v>4358702</v>
      </c>
      <c r="F225" s="226">
        <v>4358750</v>
      </c>
      <c r="G225" s="226" t="s">
        <v>235</v>
      </c>
      <c r="H225" s="226" t="s">
        <v>866</v>
      </c>
      <c r="I225" s="226" t="s">
        <v>1568</v>
      </c>
      <c r="J225" s="226" t="s">
        <v>1207</v>
      </c>
      <c r="K225" s="227">
        <v>46092.229166666664</v>
      </c>
      <c r="L225" s="227">
        <v>46091.229166666664</v>
      </c>
      <c r="M225" s="226"/>
      <c r="N225" s="226"/>
      <c r="O225" s="226" t="s">
        <v>1578</v>
      </c>
      <c r="P225" s="227">
        <v>46109.229166666664</v>
      </c>
      <c r="Q225" s="226">
        <v>3</v>
      </c>
      <c r="R225" s="226"/>
      <c r="S225" s="226">
        <v>2</v>
      </c>
      <c r="T225" s="226"/>
      <c r="U225" s="226" t="s">
        <v>1</v>
      </c>
      <c r="V225" s="226" t="s">
        <v>1</v>
      </c>
      <c r="W225" s="226" t="s">
        <v>1574</v>
      </c>
      <c r="X225" s="227">
        <v>46062.857638888891</v>
      </c>
      <c r="Y225" s="226" t="s">
        <v>1579</v>
      </c>
      <c r="Z225" s="226" t="s">
        <v>1569</v>
      </c>
      <c r="AA225" s="226" t="s">
        <v>1106</v>
      </c>
      <c r="AB225" s="226"/>
      <c r="AC225" s="226"/>
      <c r="AD225" s="226" t="s">
        <v>1580</v>
      </c>
      <c r="AE225" s="226" t="s">
        <v>1570</v>
      </c>
    </row>
    <row r="226" spans="1:31">
      <c r="A226" s="226" t="s">
        <v>1571</v>
      </c>
      <c r="B226" s="226" t="s">
        <v>1093</v>
      </c>
      <c r="C226" s="226" t="s">
        <v>1149</v>
      </c>
      <c r="D226" s="226" t="s">
        <v>1572</v>
      </c>
      <c r="E226" s="226">
        <v>4358702</v>
      </c>
      <c r="F226" s="226">
        <v>4358752</v>
      </c>
      <c r="G226" s="226" t="s">
        <v>239</v>
      </c>
      <c r="H226" s="226" t="s">
        <v>866</v>
      </c>
      <c r="I226" s="226" t="s">
        <v>1568</v>
      </c>
      <c r="J226" s="226" t="s">
        <v>1207</v>
      </c>
      <c r="K226" s="227">
        <v>46092.229166666664</v>
      </c>
      <c r="L226" s="227">
        <v>46091.229166666664</v>
      </c>
      <c r="M226" s="226"/>
      <c r="N226" s="226"/>
      <c r="O226" s="226" t="s">
        <v>1581</v>
      </c>
      <c r="P226" s="227">
        <v>46109.229166666664</v>
      </c>
      <c r="Q226" s="226">
        <v>3</v>
      </c>
      <c r="R226" s="226"/>
      <c r="S226" s="226">
        <v>2</v>
      </c>
      <c r="T226" s="226"/>
      <c r="U226" s="226" t="s">
        <v>1</v>
      </c>
      <c r="V226" s="226" t="s">
        <v>1</v>
      </c>
      <c r="W226" s="226" t="s">
        <v>1574</v>
      </c>
      <c r="X226" s="227">
        <v>46062.859027777777</v>
      </c>
      <c r="Y226" s="226" t="s">
        <v>1582</v>
      </c>
      <c r="Z226" s="226" t="s">
        <v>1569</v>
      </c>
      <c r="AA226" s="226" t="s">
        <v>1106</v>
      </c>
      <c r="AB226" s="226"/>
      <c r="AC226" s="226"/>
      <c r="AD226" s="226" t="s">
        <v>1583</v>
      </c>
      <c r="AE226" s="226" t="s">
        <v>1570</v>
      </c>
    </row>
    <row r="227" spans="1:31">
      <c r="A227" s="226" t="s">
        <v>1325</v>
      </c>
      <c r="B227" s="226" t="s">
        <v>1123</v>
      </c>
      <c r="C227" s="226" t="s">
        <v>1149</v>
      </c>
      <c r="D227" s="226" t="s">
        <v>1584</v>
      </c>
      <c r="E227" s="226">
        <v>4366466</v>
      </c>
      <c r="F227" s="226">
        <v>4366141</v>
      </c>
      <c r="G227" s="226" t="s">
        <v>1585</v>
      </c>
      <c r="H227" s="226" t="s">
        <v>218</v>
      </c>
      <c r="I227" s="226" t="s">
        <v>1586</v>
      </c>
      <c r="J227" s="226" t="s">
        <v>1207</v>
      </c>
      <c r="K227" s="227">
        <v>46093.1875</v>
      </c>
      <c r="L227" s="227">
        <v>46092.847222222219</v>
      </c>
      <c r="M227" s="227">
        <v>46097.979166666664</v>
      </c>
      <c r="N227" s="227">
        <v>46097.806944444441</v>
      </c>
      <c r="O227" s="226" t="s">
        <v>1214</v>
      </c>
      <c r="P227" s="227">
        <v>46109.229166666664</v>
      </c>
      <c r="Q227" s="226">
        <v>5</v>
      </c>
      <c r="R227" s="226"/>
      <c r="S227" s="226">
        <v>2</v>
      </c>
      <c r="T227" s="226"/>
      <c r="U227" s="226" t="s">
        <v>1</v>
      </c>
      <c r="V227" s="226" t="s">
        <v>1</v>
      </c>
      <c r="W227" s="226" t="s">
        <v>1189</v>
      </c>
      <c r="X227" s="227">
        <v>46065.866666666669</v>
      </c>
      <c r="Y227" s="226" t="s">
        <v>1215</v>
      </c>
      <c r="Z227" s="226" t="s">
        <v>1587</v>
      </c>
      <c r="AA227" s="226" t="s">
        <v>1216</v>
      </c>
      <c r="AB227" s="226"/>
      <c r="AC227" s="226"/>
      <c r="AD227" s="226" t="s">
        <v>1588</v>
      </c>
      <c r="AE227" s="226" t="s">
        <v>1500</v>
      </c>
    </row>
    <row r="228" spans="1:31">
      <c r="A228" s="226" t="s">
        <v>1589</v>
      </c>
      <c r="B228" s="226" t="s">
        <v>1123</v>
      </c>
      <c r="C228" s="226" t="s">
        <v>1149</v>
      </c>
      <c r="D228" s="226" t="s">
        <v>1590</v>
      </c>
      <c r="E228" s="226">
        <v>4369575</v>
      </c>
      <c r="F228" s="226">
        <v>4369533</v>
      </c>
      <c r="G228" s="226" t="s">
        <v>1591</v>
      </c>
      <c r="H228" s="226" t="s">
        <v>866</v>
      </c>
      <c r="I228" s="226" t="s">
        <v>1586</v>
      </c>
      <c r="J228" s="226" t="s">
        <v>1207</v>
      </c>
      <c r="K228" s="227">
        <v>46092.104166666664</v>
      </c>
      <c r="L228" s="227">
        <v>46090.229166666664</v>
      </c>
      <c r="M228" s="226"/>
      <c r="N228" s="226"/>
      <c r="O228" s="226" t="s">
        <v>1503</v>
      </c>
      <c r="P228" s="227">
        <v>46109.229166666664</v>
      </c>
      <c r="Q228" s="226">
        <v>3</v>
      </c>
      <c r="R228" s="226"/>
      <c r="S228" s="226">
        <v>2</v>
      </c>
      <c r="T228" s="226"/>
      <c r="U228" s="226" t="s">
        <v>1</v>
      </c>
      <c r="V228" s="226" t="s">
        <v>1</v>
      </c>
      <c r="W228" s="226" t="s">
        <v>1489</v>
      </c>
      <c r="X228" s="227">
        <v>46069.598611111112</v>
      </c>
      <c r="Y228" s="226" t="s">
        <v>1592</v>
      </c>
      <c r="Z228" s="226" t="s">
        <v>1587</v>
      </c>
      <c r="AA228" s="226" t="s">
        <v>1593</v>
      </c>
      <c r="AB228" s="226"/>
      <c r="AC228" s="226"/>
      <c r="AD228" s="226" t="s">
        <v>1594</v>
      </c>
      <c r="AE228" s="226" t="s">
        <v>1500</v>
      </c>
    </row>
    <row r="229" spans="1:31">
      <c r="A229" s="226" t="s">
        <v>1212</v>
      </c>
      <c r="B229" s="226" t="s">
        <v>1123</v>
      </c>
      <c r="C229" s="226" t="s">
        <v>1149</v>
      </c>
      <c r="D229" s="226" t="s">
        <v>1595</v>
      </c>
      <c r="E229" s="226">
        <v>4365826</v>
      </c>
      <c r="F229" s="226">
        <v>4370557</v>
      </c>
      <c r="G229" s="226" t="s">
        <v>276</v>
      </c>
      <c r="H229" s="226" t="s">
        <v>866</v>
      </c>
      <c r="I229" s="226" t="s">
        <v>1586</v>
      </c>
      <c r="J229" s="226" t="s">
        <v>1207</v>
      </c>
      <c r="K229" s="227">
        <v>46088.104166666664</v>
      </c>
      <c r="L229" s="227">
        <v>46087.952777777777</v>
      </c>
      <c r="M229" s="226"/>
      <c r="N229" s="226"/>
      <c r="O229" s="226" t="s">
        <v>1501</v>
      </c>
      <c r="P229" s="227">
        <v>46109.229166666664</v>
      </c>
      <c r="Q229" s="226">
        <v>3</v>
      </c>
      <c r="R229" s="226"/>
      <c r="S229" s="226">
        <v>2</v>
      </c>
      <c r="T229" s="226"/>
      <c r="U229" s="226" t="s">
        <v>18</v>
      </c>
      <c r="V229" s="226" t="s">
        <v>1</v>
      </c>
      <c r="W229" s="226" t="s">
        <v>1189</v>
      </c>
      <c r="X229" s="227">
        <v>46069.886805555558</v>
      </c>
      <c r="Y229" s="226" t="s">
        <v>1596</v>
      </c>
      <c r="Z229" s="226" t="s">
        <v>1587</v>
      </c>
      <c r="AA229" s="226" t="s">
        <v>1597</v>
      </c>
      <c r="AB229" s="226"/>
      <c r="AC229" s="226"/>
      <c r="AD229" s="226" t="s">
        <v>1598</v>
      </c>
      <c r="AE229" s="226" t="s">
        <v>1500</v>
      </c>
    </row>
    <row r="230" spans="1:31">
      <c r="A230" s="226" t="s">
        <v>1589</v>
      </c>
      <c r="B230" s="226" t="s">
        <v>1123</v>
      </c>
      <c r="C230" s="226" t="s">
        <v>1149</v>
      </c>
      <c r="D230" s="226" t="s">
        <v>1590</v>
      </c>
      <c r="E230" s="226">
        <v>4369575</v>
      </c>
      <c r="F230" s="226">
        <v>4372140</v>
      </c>
      <c r="G230" s="226" t="s">
        <v>1599</v>
      </c>
      <c r="H230" s="226" t="s">
        <v>229</v>
      </c>
      <c r="I230" s="226" t="s">
        <v>1586</v>
      </c>
      <c r="J230" s="226" t="s">
        <v>1207</v>
      </c>
      <c r="K230" s="227">
        <v>46095.104166666664</v>
      </c>
      <c r="L230" s="227">
        <v>46093.229166666664</v>
      </c>
      <c r="M230" s="226"/>
      <c r="N230" s="226"/>
      <c r="O230" s="226" t="s">
        <v>1502</v>
      </c>
      <c r="P230" s="227">
        <v>46109.229166666664</v>
      </c>
      <c r="Q230" s="226">
        <v>5</v>
      </c>
      <c r="R230" s="226"/>
      <c r="S230" s="226">
        <v>2</v>
      </c>
      <c r="T230" s="226"/>
      <c r="U230" s="226" t="s">
        <v>1</v>
      </c>
      <c r="V230" s="226" t="s">
        <v>1118</v>
      </c>
      <c r="W230" s="226" t="s">
        <v>1489</v>
      </c>
      <c r="X230" s="227">
        <v>46071.45208333333</v>
      </c>
      <c r="Y230" s="226" t="s">
        <v>1592</v>
      </c>
      <c r="Z230" s="226" t="s">
        <v>1587</v>
      </c>
      <c r="AA230" s="226" t="s">
        <v>1593</v>
      </c>
      <c r="AB230" s="226"/>
      <c r="AC230" s="226"/>
      <c r="AD230" s="226" t="s">
        <v>1594</v>
      </c>
      <c r="AE230" s="226" t="s">
        <v>1500</v>
      </c>
    </row>
    <row r="231" spans="1:31">
      <c r="A231" s="226" t="s">
        <v>1600</v>
      </c>
      <c r="B231" s="226" t="s">
        <v>1093</v>
      </c>
      <c r="C231" s="226" t="s">
        <v>1486</v>
      </c>
      <c r="D231" s="226" t="s">
        <v>291</v>
      </c>
      <c r="E231" s="226">
        <v>4364046</v>
      </c>
      <c r="F231" s="226">
        <v>4342359</v>
      </c>
      <c r="G231" s="226" t="s">
        <v>242</v>
      </c>
      <c r="H231" s="226" t="s">
        <v>866</v>
      </c>
      <c r="I231" s="226" t="s">
        <v>1586</v>
      </c>
      <c r="J231" s="226" t="s">
        <v>1207</v>
      </c>
      <c r="K231" s="227">
        <v>46091.104166666664</v>
      </c>
      <c r="L231" s="227">
        <v>46090.229166666664</v>
      </c>
      <c r="M231" s="227"/>
      <c r="N231" s="227"/>
      <c r="O231" s="226" t="s">
        <v>1502</v>
      </c>
      <c r="P231" s="227">
        <v>46109.229166666664</v>
      </c>
      <c r="Q231" s="226">
        <v>3</v>
      </c>
      <c r="R231" s="226"/>
      <c r="S231" s="226">
        <v>2</v>
      </c>
      <c r="T231" s="226"/>
      <c r="U231" s="226" t="s">
        <v>1</v>
      </c>
      <c r="V231" s="226" t="s">
        <v>1118</v>
      </c>
      <c r="W231" s="226" t="s">
        <v>1601</v>
      </c>
      <c r="X231" s="227">
        <v>46050.79583333333</v>
      </c>
      <c r="Y231" s="226" t="s">
        <v>1602</v>
      </c>
      <c r="Z231" s="226" t="s">
        <v>1587</v>
      </c>
      <c r="AA231" s="226" t="s">
        <v>1492</v>
      </c>
      <c r="AB231" s="226"/>
      <c r="AC231" s="226"/>
      <c r="AD231" s="226" t="s">
        <v>1603</v>
      </c>
      <c r="AE231" s="226" t="s">
        <v>1500</v>
      </c>
    </row>
    <row r="232" spans="1:31">
      <c r="A232" s="226" t="s">
        <v>1204</v>
      </c>
      <c r="B232" s="226" t="s">
        <v>1194</v>
      </c>
      <c r="C232" s="226" t="s">
        <v>1194</v>
      </c>
      <c r="D232" s="226" t="s">
        <v>1205</v>
      </c>
      <c r="E232" s="226">
        <v>4330994</v>
      </c>
      <c r="F232" s="226">
        <v>4315785</v>
      </c>
      <c r="G232" s="226" t="s">
        <v>1604</v>
      </c>
      <c r="H232" s="226" t="s">
        <v>866</v>
      </c>
      <c r="I232" s="226" t="s">
        <v>1586</v>
      </c>
      <c r="J232" s="226" t="s">
        <v>1287</v>
      </c>
      <c r="K232" s="227">
        <v>46092.104166666664</v>
      </c>
      <c r="L232" s="227">
        <v>46091.956944444442</v>
      </c>
      <c r="M232" s="227">
        <v>46095.0625</v>
      </c>
      <c r="N232" s="227">
        <v>46094.960416666669</v>
      </c>
      <c r="O232" s="226" t="s">
        <v>1208</v>
      </c>
      <c r="P232" s="227">
        <v>46109.229166666664</v>
      </c>
      <c r="Q232" s="226">
        <v>4</v>
      </c>
      <c r="R232" s="226"/>
      <c r="S232" s="226">
        <v>1</v>
      </c>
      <c r="T232" s="226"/>
      <c r="U232" s="226" t="s">
        <v>1</v>
      </c>
      <c r="V232" s="226" t="s">
        <v>1</v>
      </c>
      <c r="W232" s="226" t="s">
        <v>1198</v>
      </c>
      <c r="X232" s="227">
        <v>46029.035416666666</v>
      </c>
      <c r="Y232" s="226" t="s">
        <v>1244</v>
      </c>
      <c r="Z232" s="226" t="s">
        <v>1587</v>
      </c>
      <c r="AA232" s="226" t="s">
        <v>1499</v>
      </c>
      <c r="AB232" s="226"/>
      <c r="AC232" s="226"/>
      <c r="AD232" s="226" t="s">
        <v>1605</v>
      </c>
      <c r="AE232" s="226" t="s">
        <v>1500</v>
      </c>
    </row>
    <row r="233" spans="1:31">
      <c r="A233" s="226" t="s">
        <v>1524</v>
      </c>
      <c r="B233" s="226" t="s">
        <v>1123</v>
      </c>
      <c r="C233" s="226" t="s">
        <v>1149</v>
      </c>
      <c r="D233" s="226" t="s">
        <v>1526</v>
      </c>
      <c r="E233" s="226">
        <v>4278081</v>
      </c>
      <c r="F233" s="226">
        <v>4311857</v>
      </c>
      <c r="G233" s="226" t="s">
        <v>341</v>
      </c>
      <c r="H233" s="226" t="s">
        <v>218</v>
      </c>
      <c r="I233" s="226" t="s">
        <v>1586</v>
      </c>
      <c r="J233" s="226" t="s">
        <v>1152</v>
      </c>
      <c r="K233" s="227">
        <v>46091.104166666664</v>
      </c>
      <c r="L233" s="227">
        <v>46090.759027777778</v>
      </c>
      <c r="M233" s="227">
        <v>46094.229166666664</v>
      </c>
      <c r="N233" s="227">
        <v>46095.052083333336</v>
      </c>
      <c r="O233" s="226" t="s">
        <v>1214</v>
      </c>
      <c r="P233" s="227">
        <v>46109.229166666664</v>
      </c>
      <c r="Q233" s="226">
        <v>2</v>
      </c>
      <c r="R233" s="226"/>
      <c r="S233" s="226">
        <v>2</v>
      </c>
      <c r="T233" s="226"/>
      <c r="U233" s="226" t="s">
        <v>1</v>
      </c>
      <c r="V233" s="226" t="s">
        <v>1</v>
      </c>
      <c r="W233" s="226" t="s">
        <v>1497</v>
      </c>
      <c r="X233" s="227">
        <v>46027.49722222222</v>
      </c>
      <c r="Y233" s="226" t="s">
        <v>1606</v>
      </c>
      <c r="Z233" s="226" t="s">
        <v>1587</v>
      </c>
      <c r="AA233" s="226" t="s">
        <v>1499</v>
      </c>
      <c r="AB233" s="226"/>
      <c r="AC233" s="226"/>
      <c r="AD233" s="226" t="s">
        <v>1526</v>
      </c>
      <c r="AE233" s="226" t="s">
        <v>1500</v>
      </c>
    </row>
    <row r="234" spans="1:31">
      <c r="A234" s="226" t="s">
        <v>1589</v>
      </c>
      <c r="B234" s="226" t="s">
        <v>1123</v>
      </c>
      <c r="C234" s="226" t="s">
        <v>1149</v>
      </c>
      <c r="D234" s="226" t="s">
        <v>1590</v>
      </c>
      <c r="E234" s="226">
        <v>4369027</v>
      </c>
      <c r="F234" s="226">
        <v>4258549</v>
      </c>
      <c r="G234" s="226" t="s">
        <v>1607</v>
      </c>
      <c r="H234" s="226" t="s">
        <v>866</v>
      </c>
      <c r="I234" s="226" t="s">
        <v>1586</v>
      </c>
      <c r="J234" s="226" t="s">
        <v>1207</v>
      </c>
      <c r="K234" s="227">
        <v>46092.104166666664</v>
      </c>
      <c r="L234" s="227">
        <v>46090.229166666664</v>
      </c>
      <c r="M234" s="227"/>
      <c r="N234" s="227"/>
      <c r="O234" s="226" t="s">
        <v>1502</v>
      </c>
      <c r="P234" s="227">
        <v>46109.229166666664</v>
      </c>
      <c r="Q234" s="226">
        <v>5</v>
      </c>
      <c r="R234" s="226"/>
      <c r="S234" s="226">
        <v>2</v>
      </c>
      <c r="T234" s="226"/>
      <c r="U234" s="226" t="s">
        <v>1</v>
      </c>
      <c r="V234" s="226" t="s">
        <v>1</v>
      </c>
      <c r="W234" s="226" t="s">
        <v>1489</v>
      </c>
      <c r="X234" s="227">
        <v>45988.880555555559</v>
      </c>
      <c r="Y234" s="226" t="s">
        <v>1592</v>
      </c>
      <c r="Z234" s="226" t="s">
        <v>1587</v>
      </c>
      <c r="AA234" s="226" t="s">
        <v>1593</v>
      </c>
      <c r="AB234" s="226"/>
      <c r="AC234" s="226"/>
      <c r="AD234" s="226" t="s">
        <v>1594</v>
      </c>
      <c r="AE234" s="226" t="s">
        <v>1500</v>
      </c>
    </row>
    <row r="235" spans="1:31">
      <c r="A235" s="226" t="s">
        <v>1608</v>
      </c>
      <c r="B235" s="226" t="s">
        <v>1123</v>
      </c>
      <c r="C235" s="226" t="s">
        <v>1149</v>
      </c>
      <c r="D235" s="226" t="s">
        <v>1510</v>
      </c>
      <c r="E235" s="226">
        <v>4226586</v>
      </c>
      <c r="F235" s="226">
        <v>4187518</v>
      </c>
      <c r="G235" s="226" t="s">
        <v>248</v>
      </c>
      <c r="H235" s="226" t="s">
        <v>866</v>
      </c>
      <c r="I235" s="226" t="s">
        <v>1586</v>
      </c>
      <c r="J235" s="226" t="s">
        <v>1207</v>
      </c>
      <c r="K235" s="227">
        <v>46088.104166666664</v>
      </c>
      <c r="L235" s="227">
        <v>46087.229166666664</v>
      </c>
      <c r="M235" s="226"/>
      <c r="N235" s="226"/>
      <c r="O235" s="226" t="s">
        <v>1609</v>
      </c>
      <c r="P235" s="227">
        <v>46109.229166666664</v>
      </c>
      <c r="Q235" s="226">
        <v>5</v>
      </c>
      <c r="R235" s="226"/>
      <c r="S235" s="226">
        <v>1</v>
      </c>
      <c r="T235" s="226"/>
      <c r="U235" s="226" t="s">
        <v>1</v>
      </c>
      <c r="V235" s="226" t="s">
        <v>1</v>
      </c>
      <c r="W235" s="226" t="s">
        <v>1220</v>
      </c>
      <c r="X235" s="227">
        <v>45959.049305555556</v>
      </c>
      <c r="Y235" s="226" t="s">
        <v>1610</v>
      </c>
      <c r="Z235" s="226" t="s">
        <v>1587</v>
      </c>
      <c r="AA235" s="226" t="s">
        <v>1156</v>
      </c>
      <c r="AB235" s="226"/>
      <c r="AC235" s="226"/>
      <c r="AD235" s="226" t="s">
        <v>1611</v>
      </c>
      <c r="AE235" s="226" t="s">
        <v>1500</v>
      </c>
    </row>
    <row r="236" spans="1:31">
      <c r="A236" s="226" t="s">
        <v>1612</v>
      </c>
      <c r="B236" s="226" t="s">
        <v>1123</v>
      </c>
      <c r="C236" s="226" t="s">
        <v>1159</v>
      </c>
      <c r="D236" s="226" t="s">
        <v>1150</v>
      </c>
      <c r="E236" s="226">
        <v>4387615</v>
      </c>
      <c r="F236" s="226">
        <v>4373604</v>
      </c>
      <c r="G236" s="226" t="s">
        <v>396</v>
      </c>
      <c r="H236" s="226" t="s">
        <v>866</v>
      </c>
      <c r="I236" s="226" t="s">
        <v>1586</v>
      </c>
      <c r="J236" s="226" t="s">
        <v>1152</v>
      </c>
      <c r="K236" s="227">
        <v>46092.1875</v>
      </c>
      <c r="L236" s="227">
        <v>46091.838888888888</v>
      </c>
      <c r="M236" s="227">
        <v>46094.229166666664</v>
      </c>
      <c r="N236" s="227">
        <v>46095.040277777778</v>
      </c>
      <c r="O236" s="226" t="s">
        <v>1098</v>
      </c>
      <c r="P236" s="227">
        <v>46109.229166666664</v>
      </c>
      <c r="Q236" s="226">
        <v>5</v>
      </c>
      <c r="R236" s="226"/>
      <c r="S236" s="226">
        <v>2</v>
      </c>
      <c r="T236" s="226"/>
      <c r="U236" s="226" t="s">
        <v>1</v>
      </c>
      <c r="V236" s="226" t="s">
        <v>1</v>
      </c>
      <c r="W236" s="226" t="s">
        <v>1220</v>
      </c>
      <c r="X236" s="227">
        <v>46072.106944444444</v>
      </c>
      <c r="Y236" s="226" t="s">
        <v>1302</v>
      </c>
      <c r="Z236" s="226" t="s">
        <v>1587</v>
      </c>
      <c r="AA236" s="226" t="s">
        <v>1613</v>
      </c>
      <c r="AB236" s="226"/>
      <c r="AC236" s="226"/>
      <c r="AD236" s="226" t="s">
        <v>1614</v>
      </c>
      <c r="AE236" s="226" t="s">
        <v>1500</v>
      </c>
    </row>
    <row r="237" spans="1:31">
      <c r="A237" s="226" t="s">
        <v>1615</v>
      </c>
      <c r="B237" s="226" t="s">
        <v>1123</v>
      </c>
      <c r="C237" s="226" t="s">
        <v>1159</v>
      </c>
      <c r="D237" s="226" t="s">
        <v>1150</v>
      </c>
      <c r="E237" s="226">
        <v>4387613</v>
      </c>
      <c r="F237" s="226">
        <v>4373589</v>
      </c>
      <c r="G237" s="226" t="s">
        <v>395</v>
      </c>
      <c r="H237" s="226" t="s">
        <v>866</v>
      </c>
      <c r="I237" s="226" t="s">
        <v>1586</v>
      </c>
      <c r="J237" s="226" t="s">
        <v>1152</v>
      </c>
      <c r="K237" s="227">
        <v>46092.104166666664</v>
      </c>
      <c r="L237" s="227">
        <v>46091.837500000001</v>
      </c>
      <c r="M237" s="227">
        <v>46094.229166666664</v>
      </c>
      <c r="N237" s="227">
        <v>46095.044444444444</v>
      </c>
      <c r="O237" s="226" t="s">
        <v>1098</v>
      </c>
      <c r="P237" s="227">
        <v>46109.229166666664</v>
      </c>
      <c r="Q237" s="226">
        <v>3</v>
      </c>
      <c r="R237" s="226"/>
      <c r="S237" s="226">
        <v>2</v>
      </c>
      <c r="T237" s="226"/>
      <c r="U237" s="226" t="s">
        <v>1</v>
      </c>
      <c r="V237" s="226" t="s">
        <v>1</v>
      </c>
      <c r="W237" s="226" t="s">
        <v>1220</v>
      </c>
      <c r="X237" s="227">
        <v>46072.048611111109</v>
      </c>
      <c r="Y237" s="226" t="s">
        <v>1302</v>
      </c>
      <c r="Z237" s="226" t="s">
        <v>1587</v>
      </c>
      <c r="AA237" s="226" t="s">
        <v>1106</v>
      </c>
      <c r="AB237" s="226"/>
      <c r="AC237" s="226"/>
      <c r="AD237" s="226" t="s">
        <v>1616</v>
      </c>
      <c r="AE237" s="226" t="s">
        <v>1500</v>
      </c>
    </row>
    <row r="238" spans="1:31">
      <c r="A238" s="226" t="s">
        <v>1212</v>
      </c>
      <c r="B238" s="226" t="s">
        <v>1123</v>
      </c>
      <c r="C238" s="226" t="s">
        <v>1149</v>
      </c>
      <c r="D238" s="226" t="s">
        <v>1217</v>
      </c>
      <c r="E238" s="226">
        <v>4365826</v>
      </c>
      <c r="F238" s="226">
        <v>4391283</v>
      </c>
      <c r="G238" s="226" t="s">
        <v>308</v>
      </c>
      <c r="H238" s="226" t="s">
        <v>218</v>
      </c>
      <c r="I238" s="226" t="s">
        <v>1586</v>
      </c>
      <c r="J238" s="226" t="s">
        <v>1207</v>
      </c>
      <c r="K238" s="227">
        <v>46093.104166666664</v>
      </c>
      <c r="L238" s="227">
        <v>46092.229166666664</v>
      </c>
      <c r="M238" s="227">
        <v>46097.979166666664</v>
      </c>
      <c r="N238" s="227">
        <v>46097.77847222222</v>
      </c>
      <c r="O238" s="226" t="s">
        <v>1214</v>
      </c>
      <c r="P238" s="227">
        <v>46109.229166666664</v>
      </c>
      <c r="Q238" s="226">
        <v>3</v>
      </c>
      <c r="R238" s="226"/>
      <c r="S238" s="226">
        <v>2</v>
      </c>
      <c r="T238" s="226"/>
      <c r="U238" s="226" t="s">
        <v>18</v>
      </c>
      <c r="V238" s="226" t="s">
        <v>18</v>
      </c>
      <c r="W238" s="226" t="s">
        <v>1189</v>
      </c>
      <c r="X238" s="227">
        <v>46078.490972222222</v>
      </c>
      <c r="Y238" s="226" t="s">
        <v>1215</v>
      </c>
      <c r="Z238" s="226" t="s">
        <v>1587</v>
      </c>
      <c r="AA238" s="226" t="s">
        <v>1156</v>
      </c>
      <c r="AB238" s="226"/>
      <c r="AC238" s="226"/>
      <c r="AD238" s="226" t="s">
        <v>1617</v>
      </c>
      <c r="AE238" s="226" t="s">
        <v>1500</v>
      </c>
    </row>
    <row r="239" spans="1:31">
      <c r="A239" s="226" t="s">
        <v>1618</v>
      </c>
      <c r="B239" s="226" t="s">
        <v>1123</v>
      </c>
      <c r="C239" s="226" t="s">
        <v>50</v>
      </c>
      <c r="D239" s="226" t="s">
        <v>50</v>
      </c>
      <c r="E239" s="226">
        <v>4390197</v>
      </c>
      <c r="F239" s="226">
        <v>4393585</v>
      </c>
      <c r="G239" s="226" t="s">
        <v>788</v>
      </c>
      <c r="H239" s="226" t="s">
        <v>218</v>
      </c>
      <c r="I239" s="226" t="s">
        <v>1619</v>
      </c>
      <c r="J239" s="226" t="s">
        <v>1170</v>
      </c>
      <c r="K239" s="227">
        <v>46100.229166666664</v>
      </c>
      <c r="L239" s="227">
        <v>46101.229166666664</v>
      </c>
      <c r="M239" s="227">
        <v>46100.229166666664</v>
      </c>
      <c r="N239" s="227">
        <v>46104.627083333333</v>
      </c>
      <c r="O239" s="226" t="s">
        <v>1171</v>
      </c>
      <c r="P239" s="227">
        <v>46109.229166666664</v>
      </c>
      <c r="Q239" s="226">
        <v>4</v>
      </c>
      <c r="R239" s="226"/>
      <c r="S239" s="226">
        <v>2</v>
      </c>
      <c r="T239" s="226"/>
      <c r="U239" s="226" t="s">
        <v>1</v>
      </c>
      <c r="V239" s="226" t="s">
        <v>1</v>
      </c>
      <c r="W239" s="226" t="s">
        <v>1180</v>
      </c>
      <c r="X239" s="227">
        <v>46079.701388888891</v>
      </c>
      <c r="Y239" s="226" t="s">
        <v>1620</v>
      </c>
      <c r="Z239" s="226" t="s">
        <v>1621</v>
      </c>
      <c r="AA239" s="226" t="s">
        <v>1106</v>
      </c>
      <c r="AB239" s="226"/>
      <c r="AC239" s="226"/>
      <c r="AD239" s="226" t="s">
        <v>1622</v>
      </c>
      <c r="AE239" s="226" t="s">
        <v>1434</v>
      </c>
    </row>
    <row r="240" spans="1:31">
      <c r="A240" s="226" t="s">
        <v>1623</v>
      </c>
      <c r="B240" s="226" t="s">
        <v>1123</v>
      </c>
      <c r="C240" s="226" t="s">
        <v>50</v>
      </c>
      <c r="D240" s="226" t="s">
        <v>50</v>
      </c>
      <c r="E240" s="226">
        <v>4395058</v>
      </c>
      <c r="F240" s="226">
        <v>4395033</v>
      </c>
      <c r="G240" s="226" t="s">
        <v>777</v>
      </c>
      <c r="H240" s="226" t="s">
        <v>218</v>
      </c>
      <c r="I240" s="226" t="s">
        <v>1619</v>
      </c>
      <c r="J240" s="226" t="s">
        <v>1179</v>
      </c>
      <c r="K240" s="227">
        <v>46092.229166666664</v>
      </c>
      <c r="L240" s="227">
        <v>46092.229166666664</v>
      </c>
      <c r="M240" s="227">
        <v>46098.229166666664</v>
      </c>
      <c r="N240" s="227">
        <v>46097.883333333331</v>
      </c>
      <c r="O240" s="226" t="s">
        <v>1171</v>
      </c>
      <c r="P240" s="227">
        <v>46109.229166666664</v>
      </c>
      <c r="Q240" s="226">
        <v>1.85</v>
      </c>
      <c r="R240" s="226"/>
      <c r="S240" s="226">
        <v>2</v>
      </c>
      <c r="T240" s="226"/>
      <c r="U240" s="226" t="s">
        <v>1</v>
      </c>
      <c r="V240" s="226" t="s">
        <v>1</v>
      </c>
      <c r="W240" s="226" t="s">
        <v>1180</v>
      </c>
      <c r="X240" s="227">
        <v>46080.984027777777</v>
      </c>
      <c r="Y240" s="226" t="s">
        <v>1413</v>
      </c>
      <c r="Z240" s="226" t="s">
        <v>1621</v>
      </c>
      <c r="AA240" s="226" t="s">
        <v>1106</v>
      </c>
      <c r="AB240" s="226"/>
      <c r="AC240" s="226"/>
      <c r="AD240" s="226" t="s">
        <v>1624</v>
      </c>
      <c r="AE240" s="226" t="s">
        <v>1434</v>
      </c>
    </row>
    <row r="241" spans="1:31">
      <c r="A241" s="226" t="s">
        <v>1625</v>
      </c>
      <c r="B241" s="226" t="s">
        <v>1123</v>
      </c>
      <c r="C241" s="226" t="s">
        <v>50</v>
      </c>
      <c r="D241" s="226" t="s">
        <v>50</v>
      </c>
      <c r="E241" s="226">
        <v>4373652</v>
      </c>
      <c r="F241" s="226">
        <v>4395035</v>
      </c>
      <c r="G241" s="226" t="s">
        <v>1626</v>
      </c>
      <c r="H241" s="226" t="s">
        <v>218</v>
      </c>
      <c r="I241" s="226" t="s">
        <v>1619</v>
      </c>
      <c r="J241" s="226" t="s">
        <v>1179</v>
      </c>
      <c r="K241" s="227">
        <v>46092.229166666664</v>
      </c>
      <c r="L241" s="227">
        <v>46092.885416666664</v>
      </c>
      <c r="M241" s="227">
        <v>46098.229166666664</v>
      </c>
      <c r="N241" s="227">
        <v>46098.909722222219</v>
      </c>
      <c r="O241" s="226" t="s">
        <v>1171</v>
      </c>
      <c r="P241" s="227">
        <v>46109.229166666664</v>
      </c>
      <c r="Q241" s="226">
        <v>1.85</v>
      </c>
      <c r="R241" s="226"/>
      <c r="S241" s="226">
        <v>2</v>
      </c>
      <c r="T241" s="226"/>
      <c r="U241" s="226" t="s">
        <v>1</v>
      </c>
      <c r="V241" s="226" t="s">
        <v>1</v>
      </c>
      <c r="W241" s="226" t="s">
        <v>1180</v>
      </c>
      <c r="X241" s="227">
        <v>46080.986111111109</v>
      </c>
      <c r="Y241" s="226" t="s">
        <v>1413</v>
      </c>
      <c r="Z241" s="226" t="s">
        <v>1621</v>
      </c>
      <c r="AA241" s="226" t="s">
        <v>1106</v>
      </c>
      <c r="AB241" s="226"/>
      <c r="AC241" s="226"/>
      <c r="AD241" s="226" t="s">
        <v>1627</v>
      </c>
      <c r="AE241" s="226" t="s">
        <v>1434</v>
      </c>
    </row>
    <row r="242" spans="1:31">
      <c r="A242" s="226" t="s">
        <v>1148</v>
      </c>
      <c r="B242" s="226" t="s">
        <v>1123</v>
      </c>
      <c r="C242" s="226" t="s">
        <v>1149</v>
      </c>
      <c r="D242" s="226" t="s">
        <v>1150</v>
      </c>
      <c r="E242" s="226">
        <v>4275996</v>
      </c>
      <c r="F242" s="226">
        <v>4391643</v>
      </c>
      <c r="G242" s="226" t="s">
        <v>342</v>
      </c>
      <c r="H242" s="226" t="s">
        <v>866</v>
      </c>
      <c r="I242" s="226" t="s">
        <v>1619</v>
      </c>
      <c r="J242" s="226" t="s">
        <v>1152</v>
      </c>
      <c r="K242" s="227">
        <v>46092.229166666664</v>
      </c>
      <c r="L242" s="227">
        <v>46093.229166666664</v>
      </c>
      <c r="M242" s="227">
        <v>46095.0625</v>
      </c>
      <c r="N242" s="227">
        <v>46094.997916666667</v>
      </c>
      <c r="O242" s="226" t="s">
        <v>1098</v>
      </c>
      <c r="P242" s="227">
        <v>46109.229166666664</v>
      </c>
      <c r="Q242" s="226">
        <v>3</v>
      </c>
      <c r="R242" s="226"/>
      <c r="S242" s="226">
        <v>2</v>
      </c>
      <c r="T242" s="226"/>
      <c r="U242" s="226" t="s">
        <v>1</v>
      </c>
      <c r="V242" s="226" t="s">
        <v>1</v>
      </c>
      <c r="W242" s="226" t="s">
        <v>1153</v>
      </c>
      <c r="X242" s="227">
        <v>46078.597916666666</v>
      </c>
      <c r="Y242" s="226" t="s">
        <v>1244</v>
      </c>
      <c r="Z242" s="226" t="s">
        <v>1621</v>
      </c>
      <c r="AA242" s="226" t="s">
        <v>1156</v>
      </c>
      <c r="AB242" s="226"/>
      <c r="AC242" s="226"/>
      <c r="AD242" s="226" t="s">
        <v>1157</v>
      </c>
      <c r="AE242" s="226" t="s">
        <v>1434</v>
      </c>
    </row>
    <row r="243" spans="1:31">
      <c r="A243" s="226" t="s">
        <v>1212</v>
      </c>
      <c r="B243" s="226" t="s">
        <v>1123</v>
      </c>
      <c r="C243" s="226" t="s">
        <v>1149</v>
      </c>
      <c r="D243" s="226" t="s">
        <v>1628</v>
      </c>
      <c r="E243" s="226">
        <v>4365826</v>
      </c>
      <c r="F243" s="226">
        <v>4391360</v>
      </c>
      <c r="G243" s="226" t="s">
        <v>773</v>
      </c>
      <c r="H243" s="226" t="s">
        <v>218</v>
      </c>
      <c r="I243" s="226" t="s">
        <v>1619</v>
      </c>
      <c r="J243" s="226" t="s">
        <v>1179</v>
      </c>
      <c r="K243" s="227">
        <v>46092.229166666664</v>
      </c>
      <c r="L243" s="227">
        <v>46092.884722222225</v>
      </c>
      <c r="M243" s="227">
        <v>46095.0625</v>
      </c>
      <c r="N243" s="227">
        <v>46093.711805555555</v>
      </c>
      <c r="O243" s="226" t="s">
        <v>1171</v>
      </c>
      <c r="P243" s="227">
        <v>46109.229166666664</v>
      </c>
      <c r="Q243" s="226">
        <v>3</v>
      </c>
      <c r="R243" s="226"/>
      <c r="S243" s="226">
        <v>2</v>
      </c>
      <c r="T243" s="226"/>
      <c r="U243" s="226" t="s">
        <v>1</v>
      </c>
      <c r="V243" s="226" t="s">
        <v>1</v>
      </c>
      <c r="W243" s="226" t="s">
        <v>1189</v>
      </c>
      <c r="X243" s="227">
        <v>46078.511805555558</v>
      </c>
      <c r="Y243" s="226" t="s">
        <v>1215</v>
      </c>
      <c r="Z243" s="226" t="s">
        <v>1621</v>
      </c>
      <c r="AA243" s="226" t="s">
        <v>1156</v>
      </c>
      <c r="AB243" s="226"/>
      <c r="AC243" s="226"/>
      <c r="AD243" s="226" t="s">
        <v>1629</v>
      </c>
      <c r="AE243" s="226" t="s">
        <v>1434</v>
      </c>
    </row>
    <row r="244" spans="1:31">
      <c r="A244" s="226" t="s">
        <v>1630</v>
      </c>
      <c r="B244" s="226" t="s">
        <v>1123</v>
      </c>
      <c r="C244" s="226" t="s">
        <v>50</v>
      </c>
      <c r="D244" s="226" t="s">
        <v>50</v>
      </c>
      <c r="E244" s="226">
        <v>4364390</v>
      </c>
      <c r="F244" s="226">
        <v>4373649</v>
      </c>
      <c r="G244" s="226" t="s">
        <v>612</v>
      </c>
      <c r="H244" s="226" t="s">
        <v>218</v>
      </c>
      <c r="I244" s="226" t="s">
        <v>1619</v>
      </c>
      <c r="J244" s="226" t="s">
        <v>1179</v>
      </c>
      <c r="K244" s="227">
        <v>46101.229166666664</v>
      </c>
      <c r="L244" s="227">
        <v>46099.947916666664</v>
      </c>
      <c r="M244" s="227">
        <v>46101.229166666664</v>
      </c>
      <c r="N244" s="227">
        <v>46100.665277777778</v>
      </c>
      <c r="O244" s="226" t="s">
        <v>1171</v>
      </c>
      <c r="P244" s="227">
        <v>46109.229166666664</v>
      </c>
      <c r="Q244" s="226">
        <v>3</v>
      </c>
      <c r="R244" s="226"/>
      <c r="S244" s="226">
        <v>2</v>
      </c>
      <c r="T244" s="226"/>
      <c r="U244" s="226" t="s">
        <v>1</v>
      </c>
      <c r="V244" s="226" t="s">
        <v>1</v>
      </c>
      <c r="W244" s="226" t="s">
        <v>1180</v>
      </c>
      <c r="X244" s="227">
        <v>46072.374305555553</v>
      </c>
      <c r="Y244" s="226" t="s">
        <v>1631</v>
      </c>
      <c r="Z244" s="226" t="s">
        <v>1621</v>
      </c>
      <c r="AA244" s="226" t="s">
        <v>1106</v>
      </c>
      <c r="AB244" s="226"/>
      <c r="AC244" s="226"/>
      <c r="AD244" s="226" t="s">
        <v>1632</v>
      </c>
      <c r="AE244" s="226" t="s">
        <v>1434</v>
      </c>
    </row>
    <row r="245" spans="1:31">
      <c r="A245" s="226" t="s">
        <v>1630</v>
      </c>
      <c r="B245" s="226" t="s">
        <v>1123</v>
      </c>
      <c r="C245" s="226" t="s">
        <v>50</v>
      </c>
      <c r="D245" s="226" t="s">
        <v>50</v>
      </c>
      <c r="E245" s="226">
        <v>4364390</v>
      </c>
      <c r="F245" s="226">
        <v>4373650</v>
      </c>
      <c r="G245" s="226" t="s">
        <v>615</v>
      </c>
      <c r="H245" s="226" t="s">
        <v>218</v>
      </c>
      <c r="I245" s="226" t="s">
        <v>1619</v>
      </c>
      <c r="J245" s="226" t="s">
        <v>1179</v>
      </c>
      <c r="K245" s="227">
        <v>46101.229166666664</v>
      </c>
      <c r="L245" s="227">
        <v>46101.025694444441</v>
      </c>
      <c r="M245" s="227">
        <v>46101.229166666664</v>
      </c>
      <c r="N245" s="227">
        <v>46101.025694444441</v>
      </c>
      <c r="O245" s="226" t="s">
        <v>1171</v>
      </c>
      <c r="P245" s="227">
        <v>46109.229166666664</v>
      </c>
      <c r="Q245" s="226">
        <v>1.8</v>
      </c>
      <c r="R245" s="226"/>
      <c r="S245" s="226">
        <v>2</v>
      </c>
      <c r="T245" s="226"/>
      <c r="U245" s="226"/>
      <c r="V245" s="226"/>
      <c r="W245" s="226" t="s">
        <v>1180</v>
      </c>
      <c r="X245" s="227">
        <v>46072.376388888886</v>
      </c>
      <c r="Y245" s="226" t="s">
        <v>1631</v>
      </c>
      <c r="Z245" s="226" t="s">
        <v>1621</v>
      </c>
      <c r="AA245" s="226" t="s">
        <v>1106</v>
      </c>
      <c r="AB245" s="226"/>
      <c r="AC245" s="226"/>
      <c r="AD245" s="226" t="s">
        <v>1633</v>
      </c>
      <c r="AE245" s="226" t="s">
        <v>1434</v>
      </c>
    </row>
    <row r="246" spans="1:31">
      <c r="A246" s="226" t="s">
        <v>1625</v>
      </c>
      <c r="B246" s="226" t="s">
        <v>1123</v>
      </c>
      <c r="C246" s="226" t="s">
        <v>50</v>
      </c>
      <c r="D246" s="226" t="s">
        <v>50</v>
      </c>
      <c r="E246" s="226">
        <v>4373652</v>
      </c>
      <c r="F246" s="226">
        <v>4373686</v>
      </c>
      <c r="G246" s="226" t="s">
        <v>1634</v>
      </c>
      <c r="H246" s="226" t="s">
        <v>218</v>
      </c>
      <c r="I246" s="226" t="s">
        <v>1619</v>
      </c>
      <c r="J246" s="226" t="s">
        <v>1179</v>
      </c>
      <c r="K246" s="227">
        <v>46092.229166666664</v>
      </c>
      <c r="L246" s="227">
        <v>46092.970138888886</v>
      </c>
      <c r="M246" s="227">
        <v>46095.0625</v>
      </c>
      <c r="N246" s="227">
        <v>46097.756249999999</v>
      </c>
      <c r="O246" s="226" t="s">
        <v>1171</v>
      </c>
      <c r="P246" s="227">
        <v>46109.229166666664</v>
      </c>
      <c r="Q246" s="226">
        <v>3</v>
      </c>
      <c r="R246" s="226"/>
      <c r="S246" s="226">
        <v>2</v>
      </c>
      <c r="T246" s="226"/>
      <c r="U246" s="226" t="s">
        <v>1</v>
      </c>
      <c r="V246" s="226" t="s">
        <v>1</v>
      </c>
      <c r="W246" s="226" t="s">
        <v>1180</v>
      </c>
      <c r="X246" s="227">
        <v>46072.393750000003</v>
      </c>
      <c r="Y246" s="226" t="s">
        <v>1244</v>
      </c>
      <c r="Z246" s="226" t="s">
        <v>1621</v>
      </c>
      <c r="AA246" s="226" t="s">
        <v>1635</v>
      </c>
      <c r="AB246" s="226"/>
      <c r="AC246" s="226"/>
      <c r="AD246" s="226" t="s">
        <v>1636</v>
      </c>
      <c r="AE246" s="226" t="s">
        <v>1434</v>
      </c>
    </row>
    <row r="247" spans="1:31">
      <c r="A247" s="226" t="s">
        <v>1625</v>
      </c>
      <c r="B247" s="226" t="s">
        <v>1123</v>
      </c>
      <c r="C247" s="226" t="s">
        <v>50</v>
      </c>
      <c r="D247" s="226" t="s">
        <v>50</v>
      </c>
      <c r="E247" s="226">
        <v>4373652</v>
      </c>
      <c r="F247" s="226">
        <v>4373711</v>
      </c>
      <c r="G247" s="226" t="s">
        <v>616</v>
      </c>
      <c r="H247" s="226" t="s">
        <v>218</v>
      </c>
      <c r="I247" s="226" t="s">
        <v>1619</v>
      </c>
      <c r="J247" s="226" t="s">
        <v>1179</v>
      </c>
      <c r="K247" s="227">
        <v>46101.229166666664</v>
      </c>
      <c r="L247" s="227">
        <v>46099.947222222225</v>
      </c>
      <c r="M247" s="227">
        <v>46101.229166666664</v>
      </c>
      <c r="N247" s="227">
        <v>46100.665972222225</v>
      </c>
      <c r="O247" s="226" t="s">
        <v>1171</v>
      </c>
      <c r="P247" s="227">
        <v>46109.229166666664</v>
      </c>
      <c r="Q247" s="226">
        <v>4</v>
      </c>
      <c r="R247" s="226"/>
      <c r="S247" s="226">
        <v>2</v>
      </c>
      <c r="T247" s="226"/>
      <c r="U247" s="226" t="s">
        <v>1</v>
      </c>
      <c r="V247" s="226" t="s">
        <v>1</v>
      </c>
      <c r="W247" s="226" t="s">
        <v>1180</v>
      </c>
      <c r="X247" s="227">
        <v>46072.395833333336</v>
      </c>
      <c r="Y247" s="226" t="s">
        <v>1631</v>
      </c>
      <c r="Z247" s="226" t="s">
        <v>1621</v>
      </c>
      <c r="AA247" s="226" t="s">
        <v>1106</v>
      </c>
      <c r="AB247" s="226"/>
      <c r="AC247" s="226"/>
      <c r="AD247" s="226" t="s">
        <v>1637</v>
      </c>
      <c r="AE247" s="226" t="s">
        <v>1434</v>
      </c>
    </row>
    <row r="248" spans="1:31">
      <c r="A248" s="226" t="s">
        <v>1623</v>
      </c>
      <c r="B248" s="226" t="s">
        <v>1123</v>
      </c>
      <c r="C248" s="226" t="s">
        <v>50</v>
      </c>
      <c r="D248" s="226" t="s">
        <v>50</v>
      </c>
      <c r="E248" s="226">
        <v>4395058</v>
      </c>
      <c r="F248" s="226">
        <v>4373712</v>
      </c>
      <c r="G248" s="226" t="s">
        <v>609</v>
      </c>
      <c r="H248" s="226" t="s">
        <v>218</v>
      </c>
      <c r="I248" s="226" t="s">
        <v>1619</v>
      </c>
      <c r="J248" s="226" t="s">
        <v>1179</v>
      </c>
      <c r="K248" s="227">
        <v>46098.229166666664</v>
      </c>
      <c r="L248" s="227">
        <v>46098.813888888886</v>
      </c>
      <c r="M248" s="227">
        <v>46098.0625</v>
      </c>
      <c r="N248" s="227">
        <v>46098.813888888886</v>
      </c>
      <c r="O248" s="226" t="s">
        <v>1171</v>
      </c>
      <c r="P248" s="227">
        <v>46109.229166666664</v>
      </c>
      <c r="Q248" s="226">
        <v>3</v>
      </c>
      <c r="R248" s="226"/>
      <c r="S248" s="226">
        <v>2</v>
      </c>
      <c r="T248" s="226"/>
      <c r="U248" s="226" t="s">
        <v>1</v>
      </c>
      <c r="V248" s="226" t="s">
        <v>1</v>
      </c>
      <c r="W248" s="226" t="s">
        <v>1180</v>
      </c>
      <c r="X248" s="227">
        <v>46072.397222222222</v>
      </c>
      <c r="Y248" s="226" t="s">
        <v>1154</v>
      </c>
      <c r="Z248" s="226" t="s">
        <v>1621</v>
      </c>
      <c r="AA248" s="226" t="s">
        <v>1106</v>
      </c>
      <c r="AB248" s="226"/>
      <c r="AC248" s="226"/>
      <c r="AD248" s="226" t="s">
        <v>1638</v>
      </c>
      <c r="AE248" s="226" t="s">
        <v>1434</v>
      </c>
    </row>
    <row r="249" spans="1:31">
      <c r="A249" s="226" t="s">
        <v>1625</v>
      </c>
      <c r="B249" s="226" t="s">
        <v>1123</v>
      </c>
      <c r="C249" s="226" t="s">
        <v>50</v>
      </c>
      <c r="D249" s="226" t="s">
        <v>50</v>
      </c>
      <c r="E249" s="226">
        <v>4373652</v>
      </c>
      <c r="F249" s="226">
        <v>4395041</v>
      </c>
      <c r="G249" s="226" t="s">
        <v>775</v>
      </c>
      <c r="H249" s="226" t="s">
        <v>218</v>
      </c>
      <c r="I249" s="226" t="s">
        <v>1619</v>
      </c>
      <c r="J249" s="226" t="s">
        <v>1179</v>
      </c>
      <c r="K249" s="227">
        <v>46097.229166666664</v>
      </c>
      <c r="L249" s="227">
        <v>46097.874305555553</v>
      </c>
      <c r="M249" s="227">
        <v>46098.229166666664</v>
      </c>
      <c r="N249" s="227">
        <v>46098.647916666669</v>
      </c>
      <c r="O249" s="226" t="s">
        <v>1171</v>
      </c>
      <c r="P249" s="227">
        <v>46109.229166666664</v>
      </c>
      <c r="Q249" s="226">
        <v>1.85</v>
      </c>
      <c r="R249" s="226"/>
      <c r="S249" s="226">
        <v>2</v>
      </c>
      <c r="T249" s="226"/>
      <c r="U249" s="226" t="s">
        <v>1</v>
      </c>
      <c r="V249" s="226" t="s">
        <v>1</v>
      </c>
      <c r="W249" s="226" t="s">
        <v>1180</v>
      </c>
      <c r="X249" s="227">
        <v>46080.993055555555</v>
      </c>
      <c r="Y249" s="226" t="s">
        <v>1413</v>
      </c>
      <c r="Z249" s="226" t="s">
        <v>1621</v>
      </c>
      <c r="AA249" s="226" t="s">
        <v>1106</v>
      </c>
      <c r="AB249" s="226"/>
      <c r="AC249" s="226"/>
      <c r="AD249" s="226" t="s">
        <v>1639</v>
      </c>
      <c r="AE249" s="226" t="s">
        <v>1434</v>
      </c>
    </row>
    <row r="250" spans="1:31">
      <c r="A250" s="226" t="s">
        <v>1242</v>
      </c>
      <c r="B250" s="226" t="s">
        <v>1123</v>
      </c>
      <c r="C250" s="226" t="s">
        <v>1195</v>
      </c>
      <c r="D250" s="226" t="s">
        <v>1243</v>
      </c>
      <c r="E250" s="226">
        <v>4317244</v>
      </c>
      <c r="F250" s="226">
        <v>4319914</v>
      </c>
      <c r="G250" s="226" t="s">
        <v>729</v>
      </c>
      <c r="H250" s="226" t="s">
        <v>218</v>
      </c>
      <c r="I250" s="226" t="s">
        <v>1619</v>
      </c>
      <c r="J250" s="226" t="s">
        <v>1179</v>
      </c>
      <c r="K250" s="227">
        <v>46094.229166666664</v>
      </c>
      <c r="L250" s="227">
        <v>46098.040277777778</v>
      </c>
      <c r="M250" s="227">
        <v>46098.229166666664</v>
      </c>
      <c r="N250" s="227">
        <v>46098.765277777777</v>
      </c>
      <c r="O250" s="226" t="s">
        <v>1214</v>
      </c>
      <c r="P250" s="227">
        <v>46109.229166666664</v>
      </c>
      <c r="Q250" s="226">
        <v>4</v>
      </c>
      <c r="R250" s="226"/>
      <c r="S250" s="226">
        <v>2</v>
      </c>
      <c r="T250" s="226"/>
      <c r="U250" s="226" t="s">
        <v>1</v>
      </c>
      <c r="V250" s="226" t="s">
        <v>1</v>
      </c>
      <c r="W250" s="226" t="s">
        <v>1198</v>
      </c>
      <c r="X250" s="227">
        <v>46035.043749999997</v>
      </c>
      <c r="Y250" s="226"/>
      <c r="Z250" s="226" t="s">
        <v>1621</v>
      </c>
      <c r="AA250" s="226" t="s">
        <v>1156</v>
      </c>
      <c r="AB250" s="226"/>
      <c r="AC250" s="226"/>
      <c r="AD250" s="226" t="s">
        <v>1245</v>
      </c>
      <c r="AE250" s="226" t="s">
        <v>1434</v>
      </c>
    </row>
    <row r="251" spans="1:31">
      <c r="A251" s="226" t="s">
        <v>1625</v>
      </c>
      <c r="B251" s="226" t="s">
        <v>1123</v>
      </c>
      <c r="C251" s="226" t="s">
        <v>50</v>
      </c>
      <c r="D251" s="226" t="s">
        <v>1640</v>
      </c>
      <c r="E251" s="226">
        <v>4373652</v>
      </c>
      <c r="F251" s="226">
        <v>4371050</v>
      </c>
      <c r="G251" s="226" t="s">
        <v>1641</v>
      </c>
      <c r="H251" s="226" t="s">
        <v>218</v>
      </c>
      <c r="I251" s="226" t="s">
        <v>1619</v>
      </c>
      <c r="J251" s="226" t="s">
        <v>1179</v>
      </c>
      <c r="K251" s="227">
        <v>46098.0625</v>
      </c>
      <c r="L251" s="227">
        <v>46097.229166666664</v>
      </c>
      <c r="M251" s="227">
        <v>46095.0625</v>
      </c>
      <c r="N251" s="227">
        <v>46098.693749999999</v>
      </c>
      <c r="O251" s="226" t="s">
        <v>1171</v>
      </c>
      <c r="P251" s="227">
        <v>46109.229166666664</v>
      </c>
      <c r="Q251" s="226">
        <v>2</v>
      </c>
      <c r="R251" s="226"/>
      <c r="S251" s="226">
        <v>2</v>
      </c>
      <c r="T251" s="226"/>
      <c r="U251" s="226" t="s">
        <v>1</v>
      </c>
      <c r="V251" s="226" t="s">
        <v>1</v>
      </c>
      <c r="W251" s="226" t="s">
        <v>1180</v>
      </c>
      <c r="X251" s="227">
        <v>46070.447222222225</v>
      </c>
      <c r="Y251" s="226" t="s">
        <v>1642</v>
      </c>
      <c r="Z251" s="226" t="s">
        <v>1621</v>
      </c>
      <c r="AA251" s="226" t="s">
        <v>1106</v>
      </c>
      <c r="AB251" s="226"/>
      <c r="AC251" s="226"/>
      <c r="AD251" s="226" t="s">
        <v>1643</v>
      </c>
      <c r="AE251" s="226" t="s">
        <v>1434</v>
      </c>
    </row>
    <row r="252" spans="1:31">
      <c r="A252" s="226" t="s">
        <v>1277</v>
      </c>
      <c r="B252" s="226" t="s">
        <v>1123</v>
      </c>
      <c r="C252" s="226" t="s">
        <v>1149</v>
      </c>
      <c r="D252" s="226" t="s">
        <v>1644</v>
      </c>
      <c r="E252" s="226">
        <v>4386527</v>
      </c>
      <c r="F252" s="226">
        <v>4372653</v>
      </c>
      <c r="G252" s="226" t="s">
        <v>1645</v>
      </c>
      <c r="H252" s="226" t="s">
        <v>218</v>
      </c>
      <c r="I252" s="226" t="s">
        <v>1646</v>
      </c>
      <c r="J252" s="226" t="s">
        <v>1127</v>
      </c>
      <c r="K252" s="227">
        <v>46090.229166666664</v>
      </c>
      <c r="L252" s="227">
        <v>46083.861111111109</v>
      </c>
      <c r="M252" s="227">
        <v>46087.229166666664</v>
      </c>
      <c r="N252" s="227">
        <v>46087.923611111109</v>
      </c>
      <c r="O252" s="226" t="s">
        <v>1214</v>
      </c>
      <c r="P252" s="227">
        <v>46109.229166666664</v>
      </c>
      <c r="Q252" s="226">
        <v>8</v>
      </c>
      <c r="R252" s="226"/>
      <c r="S252" s="226">
        <v>2</v>
      </c>
      <c r="T252" s="226"/>
      <c r="U252" s="226" t="s">
        <v>1</v>
      </c>
      <c r="V252" s="226" t="s">
        <v>1</v>
      </c>
      <c r="W252" s="226" t="s">
        <v>1280</v>
      </c>
      <c r="X252" s="227">
        <v>46071.539583333331</v>
      </c>
      <c r="Y252" s="226"/>
      <c r="Z252" s="226" t="s">
        <v>1647</v>
      </c>
      <c r="AA252" s="226" t="s">
        <v>1156</v>
      </c>
      <c r="AB252" s="226"/>
      <c r="AC252" s="226"/>
      <c r="AD252" s="226" t="s">
        <v>1357</v>
      </c>
      <c r="AE252" s="226" t="s">
        <v>1132</v>
      </c>
    </row>
    <row r="253" spans="1:31">
      <c r="A253" s="226" t="s">
        <v>1277</v>
      </c>
      <c r="B253" s="226" t="s">
        <v>1123</v>
      </c>
      <c r="C253" s="226" t="s">
        <v>1149</v>
      </c>
      <c r="D253" s="226" t="s">
        <v>1644</v>
      </c>
      <c r="E253" s="226">
        <v>4386527</v>
      </c>
      <c r="F253" s="226">
        <v>4372897</v>
      </c>
      <c r="G253" s="226" t="s">
        <v>1648</v>
      </c>
      <c r="H253" s="226" t="s">
        <v>218</v>
      </c>
      <c r="I253" s="226" t="s">
        <v>1646</v>
      </c>
      <c r="J253" s="226" t="s">
        <v>1127</v>
      </c>
      <c r="K253" s="227">
        <v>46087.229166666664</v>
      </c>
      <c r="L253" s="227">
        <v>46108.95208333333</v>
      </c>
      <c r="M253" s="227">
        <v>46093.229166666664</v>
      </c>
      <c r="N253" s="227">
        <v>46093.662499999999</v>
      </c>
      <c r="O253" s="226" t="s">
        <v>1214</v>
      </c>
      <c r="P253" s="227">
        <v>46109.229166666664</v>
      </c>
      <c r="Q253" s="226">
        <v>8</v>
      </c>
      <c r="R253" s="226"/>
      <c r="S253" s="226">
        <v>2</v>
      </c>
      <c r="T253" s="226"/>
      <c r="U253" s="226" t="s">
        <v>1</v>
      </c>
      <c r="V253" s="226" t="s">
        <v>1</v>
      </c>
      <c r="W253" s="226" t="s">
        <v>1280</v>
      </c>
      <c r="X253" s="227">
        <v>46071.620138888888</v>
      </c>
      <c r="Y253" s="226"/>
      <c r="Z253" s="226" t="s">
        <v>1647</v>
      </c>
      <c r="AA253" s="226" t="s">
        <v>1156</v>
      </c>
      <c r="AB253" s="226"/>
      <c r="AC253" s="226"/>
      <c r="AD253" s="226" t="s">
        <v>1357</v>
      </c>
      <c r="AE253" s="226" t="s">
        <v>1132</v>
      </c>
    </row>
    <row r="254" spans="1:31">
      <c r="A254" s="226" t="s">
        <v>1277</v>
      </c>
      <c r="B254" s="226" t="s">
        <v>1123</v>
      </c>
      <c r="C254" s="226" t="s">
        <v>1149</v>
      </c>
      <c r="D254" s="226" t="s">
        <v>1644</v>
      </c>
      <c r="E254" s="226">
        <v>4386527</v>
      </c>
      <c r="F254" s="226">
        <v>4367505</v>
      </c>
      <c r="G254" s="226" t="s">
        <v>1649</v>
      </c>
      <c r="H254" s="226" t="s">
        <v>218</v>
      </c>
      <c r="I254" s="226" t="s">
        <v>1646</v>
      </c>
      <c r="J254" s="226" t="s">
        <v>1127</v>
      </c>
      <c r="K254" s="227">
        <v>46087.229166666664</v>
      </c>
      <c r="L254" s="227">
        <v>46084.882638888892</v>
      </c>
      <c r="M254" s="227">
        <v>46094.229166666664</v>
      </c>
      <c r="N254" s="227">
        <v>46093.663194444445</v>
      </c>
      <c r="O254" s="226" t="s">
        <v>1214</v>
      </c>
      <c r="P254" s="227">
        <v>46109.229166666664</v>
      </c>
      <c r="Q254" s="226">
        <v>3</v>
      </c>
      <c r="R254" s="226"/>
      <c r="S254" s="226">
        <v>2</v>
      </c>
      <c r="T254" s="226"/>
      <c r="U254" s="226" t="s">
        <v>1</v>
      </c>
      <c r="V254" s="226" t="s">
        <v>1</v>
      </c>
      <c r="W254" s="226" t="s">
        <v>1280</v>
      </c>
      <c r="X254" s="227">
        <v>46066.677083333336</v>
      </c>
      <c r="Y254" s="226"/>
      <c r="Z254" s="226" t="s">
        <v>1647</v>
      </c>
      <c r="AA254" s="226" t="s">
        <v>1156</v>
      </c>
      <c r="AB254" s="226"/>
      <c r="AC254" s="226"/>
      <c r="AD254" s="226" t="s">
        <v>1357</v>
      </c>
      <c r="AE254" s="226" t="s">
        <v>1132</v>
      </c>
    </row>
    <row r="255" spans="1:31">
      <c r="A255" s="226" t="s">
        <v>1166</v>
      </c>
      <c r="B255" s="226" t="s">
        <v>1123</v>
      </c>
      <c r="C255" s="226" t="s">
        <v>1159</v>
      </c>
      <c r="D255" s="226" t="s">
        <v>1150</v>
      </c>
      <c r="E255" s="226">
        <v>4378908</v>
      </c>
      <c r="F255" s="226">
        <v>4378608</v>
      </c>
      <c r="G255" s="226" t="s">
        <v>1650</v>
      </c>
      <c r="H255" s="226" t="s">
        <v>866</v>
      </c>
      <c r="I255" s="226" t="s">
        <v>1646</v>
      </c>
      <c r="J255" s="226" t="s">
        <v>1127</v>
      </c>
      <c r="K255" s="227">
        <v>46092.229166666664</v>
      </c>
      <c r="L255" s="227">
        <v>46083.854166666664</v>
      </c>
      <c r="M255" s="227">
        <v>46095.0625</v>
      </c>
      <c r="N255" s="227">
        <v>46097.675000000003</v>
      </c>
      <c r="O255" s="226" t="s">
        <v>1098</v>
      </c>
      <c r="P255" s="227">
        <v>46109.229166666664</v>
      </c>
      <c r="Q255" s="226">
        <v>5</v>
      </c>
      <c r="R255" s="226"/>
      <c r="S255" s="226">
        <v>2</v>
      </c>
      <c r="T255" s="226"/>
      <c r="U255" s="226" t="s">
        <v>1</v>
      </c>
      <c r="V255" s="226" t="s">
        <v>1</v>
      </c>
      <c r="W255" s="226" t="s">
        <v>1223</v>
      </c>
      <c r="X255" s="227">
        <v>46072.679861111108</v>
      </c>
      <c r="Y255" s="226" t="s">
        <v>1274</v>
      </c>
      <c r="Z255" s="226" t="s">
        <v>1651</v>
      </c>
      <c r="AA255" s="226" t="s">
        <v>1275</v>
      </c>
      <c r="AB255" s="226"/>
      <c r="AC255" s="226"/>
      <c r="AD255" s="226" t="s">
        <v>1276</v>
      </c>
      <c r="AE255" s="226" t="s">
        <v>1132</v>
      </c>
    </row>
    <row r="256" spans="1:31">
      <c r="A256" s="226" t="s">
        <v>1122</v>
      </c>
      <c r="B256" s="226" t="s">
        <v>1123</v>
      </c>
      <c r="C256" s="226" t="s">
        <v>1124</v>
      </c>
      <c r="D256" s="226" t="s">
        <v>23</v>
      </c>
      <c r="E256" s="226">
        <v>4384974</v>
      </c>
      <c r="F256" s="226">
        <v>4386791</v>
      </c>
      <c r="G256" s="226" t="s">
        <v>486</v>
      </c>
      <c r="H256" s="226" t="s">
        <v>218</v>
      </c>
      <c r="I256" s="226" t="s">
        <v>1646</v>
      </c>
      <c r="J256" s="226" t="s">
        <v>1127</v>
      </c>
      <c r="K256" s="227">
        <v>46062.695138888892</v>
      </c>
      <c r="L256" s="227">
        <v>46085.688888888886</v>
      </c>
      <c r="M256" s="227">
        <v>46094.229166666664</v>
      </c>
      <c r="N256" s="227">
        <v>46094.739583333336</v>
      </c>
      <c r="O256" s="226" t="s">
        <v>1214</v>
      </c>
      <c r="P256" s="227">
        <v>46109.229166666664</v>
      </c>
      <c r="Q256" s="226">
        <v>8</v>
      </c>
      <c r="R256" s="226"/>
      <c r="S256" s="226">
        <v>2</v>
      </c>
      <c r="T256" s="226"/>
      <c r="U256" s="226" t="s">
        <v>1</v>
      </c>
      <c r="V256" s="226" t="s">
        <v>1</v>
      </c>
      <c r="W256" s="226" t="s">
        <v>1129</v>
      </c>
      <c r="X256" s="227">
        <v>46076.47152777778</v>
      </c>
      <c r="Y256" s="226"/>
      <c r="Z256" s="226" t="s">
        <v>1647</v>
      </c>
      <c r="AA256" s="226" t="s">
        <v>1106</v>
      </c>
      <c r="AB256" s="226"/>
      <c r="AC256" s="226"/>
      <c r="AD256" s="226" t="s">
        <v>1652</v>
      </c>
      <c r="AE256" s="226" t="s">
        <v>1132</v>
      </c>
    </row>
    <row r="257" spans="1:31">
      <c r="A257" s="226" t="s">
        <v>1212</v>
      </c>
      <c r="B257" s="226" t="s">
        <v>1123</v>
      </c>
      <c r="C257" s="226" t="s">
        <v>1149</v>
      </c>
      <c r="D257" s="226" t="s">
        <v>1217</v>
      </c>
      <c r="E257" s="226">
        <v>4365826</v>
      </c>
      <c r="F257" s="226">
        <v>4391370</v>
      </c>
      <c r="G257" s="226" t="s">
        <v>1027</v>
      </c>
      <c r="H257" s="226" t="s">
        <v>218</v>
      </c>
      <c r="I257" s="226" t="s">
        <v>1646</v>
      </c>
      <c r="J257" s="226" t="s">
        <v>1127</v>
      </c>
      <c r="K257" s="227">
        <v>46092.229166666664</v>
      </c>
      <c r="L257" s="227">
        <v>46083.986111111109</v>
      </c>
      <c r="M257" s="227">
        <v>46097.229166666664</v>
      </c>
      <c r="N257" s="227">
        <v>46094.758333333331</v>
      </c>
      <c r="O257" s="226" t="s">
        <v>1214</v>
      </c>
      <c r="P257" s="227">
        <v>46109.229166666664</v>
      </c>
      <c r="Q257" s="226">
        <v>3</v>
      </c>
      <c r="R257" s="226"/>
      <c r="S257" s="226">
        <v>2</v>
      </c>
      <c r="T257" s="226"/>
      <c r="U257" s="226" t="s">
        <v>1</v>
      </c>
      <c r="V257" s="226" t="s">
        <v>1</v>
      </c>
      <c r="W257" s="226" t="s">
        <v>1189</v>
      </c>
      <c r="X257" s="227">
        <v>46078.513194444444</v>
      </c>
      <c r="Y257" s="226" t="s">
        <v>1215</v>
      </c>
      <c r="Z257" s="226" t="s">
        <v>1647</v>
      </c>
      <c r="AA257" s="226" t="s">
        <v>1156</v>
      </c>
      <c r="AB257" s="226"/>
      <c r="AC257" s="226"/>
      <c r="AD257" s="226" t="s">
        <v>1653</v>
      </c>
      <c r="AE257" s="226" t="s">
        <v>1132</v>
      </c>
    </row>
    <row r="258" spans="1:31">
      <c r="A258" s="226" t="s">
        <v>1391</v>
      </c>
      <c r="B258" s="226" t="s">
        <v>1123</v>
      </c>
      <c r="C258" s="226" t="s">
        <v>1124</v>
      </c>
      <c r="D258" s="226" t="s">
        <v>23</v>
      </c>
      <c r="E258" s="226">
        <v>4378932</v>
      </c>
      <c r="F258" s="226">
        <v>4390222</v>
      </c>
      <c r="G258" s="226" t="s">
        <v>979</v>
      </c>
      <c r="H258" s="226" t="s">
        <v>866</v>
      </c>
      <c r="I258" s="226" t="s">
        <v>1646</v>
      </c>
      <c r="J258" s="226" t="s">
        <v>1127</v>
      </c>
      <c r="K258" s="227">
        <v>46064.229166666664</v>
      </c>
      <c r="L258" s="227">
        <v>46084.9</v>
      </c>
      <c r="M258" s="227">
        <v>46094.229166666664</v>
      </c>
      <c r="N258" s="227"/>
      <c r="O258" s="226" t="s">
        <v>1654</v>
      </c>
      <c r="P258" s="227">
        <v>46109.229166666664</v>
      </c>
      <c r="Q258" s="226">
        <v>5</v>
      </c>
      <c r="R258" s="226"/>
      <c r="S258" s="226">
        <v>2</v>
      </c>
      <c r="T258" s="226"/>
      <c r="U258" s="226" t="s">
        <v>1</v>
      </c>
      <c r="V258" s="226" t="s">
        <v>1</v>
      </c>
      <c r="W258" s="226" t="s">
        <v>1153</v>
      </c>
      <c r="X258" s="227">
        <v>46077.711805555555</v>
      </c>
      <c r="Y258" s="226" t="s">
        <v>1137</v>
      </c>
      <c r="Z258" s="226" t="s">
        <v>1647</v>
      </c>
      <c r="AA258" s="226" t="s">
        <v>1106</v>
      </c>
      <c r="AB258" s="226"/>
      <c r="AC258" s="226"/>
      <c r="AD258" s="226" t="s">
        <v>1395</v>
      </c>
      <c r="AE258" s="226" t="s">
        <v>1132</v>
      </c>
    </row>
    <row r="259" spans="1:31">
      <c r="A259" s="226" t="s">
        <v>1277</v>
      </c>
      <c r="B259" s="226" t="s">
        <v>1123</v>
      </c>
      <c r="C259" s="226" t="s">
        <v>1149</v>
      </c>
      <c r="D259" s="226" t="s">
        <v>1644</v>
      </c>
      <c r="E259" s="226">
        <v>4386527</v>
      </c>
      <c r="F259" s="226">
        <v>4387497</v>
      </c>
      <c r="G259" s="226" t="s">
        <v>1655</v>
      </c>
      <c r="H259" s="226" t="s">
        <v>218</v>
      </c>
      <c r="I259" s="226" t="s">
        <v>1646</v>
      </c>
      <c r="J259" s="226" t="s">
        <v>1127</v>
      </c>
      <c r="K259" s="227">
        <v>46087.229166666664</v>
      </c>
      <c r="L259" s="227">
        <v>46080.683333333334</v>
      </c>
      <c r="M259" s="227">
        <v>46092.229166666664</v>
      </c>
      <c r="N259" s="227">
        <v>46093.663194444445</v>
      </c>
      <c r="O259" s="226" t="s">
        <v>1214</v>
      </c>
      <c r="P259" s="227">
        <v>46109.229166666664</v>
      </c>
      <c r="Q259" s="226">
        <v>8</v>
      </c>
      <c r="R259" s="226"/>
      <c r="S259" s="226">
        <v>2</v>
      </c>
      <c r="T259" s="226"/>
      <c r="U259" s="226" t="s">
        <v>1</v>
      </c>
      <c r="V259" s="226" t="s">
        <v>1</v>
      </c>
      <c r="W259" s="226" t="s">
        <v>1153</v>
      </c>
      <c r="X259" s="227">
        <v>46076.65</v>
      </c>
      <c r="Y259" s="226" t="s">
        <v>1656</v>
      </c>
      <c r="Z259" s="226" t="s">
        <v>1647</v>
      </c>
      <c r="AA259" s="226" t="s">
        <v>1156</v>
      </c>
      <c r="AB259" s="226"/>
      <c r="AC259" s="226"/>
      <c r="AD259" s="226" t="s">
        <v>1357</v>
      </c>
      <c r="AE259" s="226" t="s">
        <v>1132</v>
      </c>
    </row>
    <row r="260" spans="1:31">
      <c r="A260" s="226" t="s">
        <v>1277</v>
      </c>
      <c r="B260" s="226" t="s">
        <v>1123</v>
      </c>
      <c r="C260" s="226" t="s">
        <v>1149</v>
      </c>
      <c r="D260" s="226" t="s">
        <v>1644</v>
      </c>
      <c r="E260" s="226">
        <v>4386527</v>
      </c>
      <c r="F260" s="226">
        <v>4387505</v>
      </c>
      <c r="G260" s="226" t="s">
        <v>1657</v>
      </c>
      <c r="H260" s="226" t="s">
        <v>218</v>
      </c>
      <c r="I260" s="226" t="s">
        <v>1646</v>
      </c>
      <c r="J260" s="226" t="s">
        <v>1127</v>
      </c>
      <c r="K260" s="227">
        <v>46090.229166666664</v>
      </c>
      <c r="L260" s="227">
        <v>46085.977083333331</v>
      </c>
      <c r="M260" s="227">
        <v>46094.229166666664</v>
      </c>
      <c r="N260" s="227">
        <v>46094.718055555553</v>
      </c>
      <c r="O260" s="226" t="s">
        <v>1214</v>
      </c>
      <c r="P260" s="227">
        <v>46109.229166666664</v>
      </c>
      <c r="Q260" s="226">
        <v>8</v>
      </c>
      <c r="R260" s="226"/>
      <c r="S260" s="226">
        <v>2</v>
      </c>
      <c r="T260" s="226"/>
      <c r="U260" s="226" t="s">
        <v>1</v>
      </c>
      <c r="V260" s="226" t="s">
        <v>1</v>
      </c>
      <c r="W260" s="226" t="s">
        <v>1153</v>
      </c>
      <c r="X260" s="227">
        <v>46076.656944444447</v>
      </c>
      <c r="Y260" s="226" t="s">
        <v>1656</v>
      </c>
      <c r="Z260" s="226" t="s">
        <v>1647</v>
      </c>
      <c r="AA260" s="226" t="s">
        <v>1156</v>
      </c>
      <c r="AB260" s="226"/>
      <c r="AC260" s="226"/>
      <c r="AD260" s="226" t="s">
        <v>1357</v>
      </c>
      <c r="AE260" s="226" t="s">
        <v>1132</v>
      </c>
    </row>
    <row r="261" spans="1:31">
      <c r="A261" s="226" t="s">
        <v>1277</v>
      </c>
      <c r="B261" s="226" t="s">
        <v>1123</v>
      </c>
      <c r="C261" s="226" t="s">
        <v>1149</v>
      </c>
      <c r="D261" s="226" t="s">
        <v>1644</v>
      </c>
      <c r="E261" s="226">
        <v>4386527</v>
      </c>
      <c r="F261" s="226">
        <v>4387512</v>
      </c>
      <c r="G261" s="226" t="s">
        <v>1658</v>
      </c>
      <c r="H261" s="226" t="s">
        <v>218</v>
      </c>
      <c r="I261" s="226" t="s">
        <v>1646</v>
      </c>
      <c r="J261" s="226" t="s">
        <v>1127</v>
      </c>
      <c r="K261" s="227">
        <v>46092.229166666664</v>
      </c>
      <c r="L261" s="227">
        <v>46085.976388888892</v>
      </c>
      <c r="M261" s="227">
        <v>46097.229166666664</v>
      </c>
      <c r="N261" s="227">
        <v>46090.849305555559</v>
      </c>
      <c r="O261" s="226" t="s">
        <v>1214</v>
      </c>
      <c r="P261" s="227">
        <v>46109.229166666664</v>
      </c>
      <c r="Q261" s="226">
        <v>8</v>
      </c>
      <c r="R261" s="226"/>
      <c r="S261" s="226">
        <v>2</v>
      </c>
      <c r="T261" s="226"/>
      <c r="U261" s="226" t="s">
        <v>1</v>
      </c>
      <c r="V261" s="226" t="s">
        <v>1</v>
      </c>
      <c r="W261" s="226" t="s">
        <v>1153</v>
      </c>
      <c r="X261" s="227">
        <v>46076.65902777778</v>
      </c>
      <c r="Y261" s="226" t="s">
        <v>1656</v>
      </c>
      <c r="Z261" s="226" t="s">
        <v>1647</v>
      </c>
      <c r="AA261" s="226" t="s">
        <v>1156</v>
      </c>
      <c r="AB261" s="226"/>
      <c r="AC261" s="226"/>
      <c r="AD261" s="226" t="s">
        <v>1357</v>
      </c>
      <c r="AE261" s="226" t="s">
        <v>1132</v>
      </c>
    </row>
    <row r="262" spans="1:31">
      <c r="A262" s="226" t="s">
        <v>1659</v>
      </c>
      <c r="B262" s="226" t="s">
        <v>1123</v>
      </c>
      <c r="C262" s="226" t="s">
        <v>1159</v>
      </c>
      <c r="D262" s="226" t="s">
        <v>1660</v>
      </c>
      <c r="E262" s="226">
        <v>4386636</v>
      </c>
      <c r="F262" s="226">
        <v>4387170</v>
      </c>
      <c r="G262" s="226" t="s">
        <v>1033</v>
      </c>
      <c r="H262" s="226" t="s">
        <v>229</v>
      </c>
      <c r="I262" s="226" t="s">
        <v>1661</v>
      </c>
      <c r="J262" s="226" t="s">
        <v>1662</v>
      </c>
      <c r="K262" s="227">
        <v>46087.228472222225</v>
      </c>
      <c r="L262" s="227">
        <v>46086.229166666664</v>
      </c>
      <c r="M262" s="227"/>
      <c r="N262" s="227"/>
      <c r="O262" s="226" t="s">
        <v>1663</v>
      </c>
      <c r="P262" s="227">
        <v>46109.229166666664</v>
      </c>
      <c r="Q262" s="226">
        <v>8</v>
      </c>
      <c r="R262" s="226"/>
      <c r="S262" s="226">
        <v>2</v>
      </c>
      <c r="T262" s="226"/>
      <c r="U262" s="226" t="s">
        <v>1</v>
      </c>
      <c r="V262" s="226" t="s">
        <v>1</v>
      </c>
      <c r="W262" s="226" t="s">
        <v>1664</v>
      </c>
      <c r="X262" s="227">
        <v>46076.484027777777</v>
      </c>
      <c r="Y262" s="226" t="s">
        <v>1665</v>
      </c>
      <c r="Z262" s="226" t="s">
        <v>1666</v>
      </c>
      <c r="AA262" s="226" t="s">
        <v>1667</v>
      </c>
      <c r="AB262" s="226"/>
      <c r="AC262" s="226"/>
      <c r="AD262" s="226" t="s">
        <v>1668</v>
      </c>
      <c r="AE262" s="226" t="s">
        <v>1669</v>
      </c>
    </row>
    <row r="263" spans="1:31">
      <c r="A263" s="226" t="s">
        <v>1625</v>
      </c>
      <c r="B263" s="226" t="s">
        <v>1123</v>
      </c>
      <c r="C263" s="226" t="s">
        <v>50</v>
      </c>
      <c r="D263" s="226" t="s">
        <v>50</v>
      </c>
      <c r="E263" s="226">
        <v>4373652</v>
      </c>
      <c r="F263" s="226">
        <v>4373661</v>
      </c>
      <c r="G263" s="226" t="s">
        <v>1670</v>
      </c>
      <c r="H263" s="226" t="s">
        <v>218</v>
      </c>
      <c r="I263" s="226" t="s">
        <v>1671</v>
      </c>
      <c r="J263" s="226" t="s">
        <v>1179</v>
      </c>
      <c r="K263" s="227">
        <v>46091.910416666666</v>
      </c>
      <c r="L263" s="227">
        <v>46091.74722222222</v>
      </c>
      <c r="M263" s="227">
        <v>46095.0625</v>
      </c>
      <c r="N263" s="227">
        <v>46093.71875</v>
      </c>
      <c r="O263" s="226" t="s">
        <v>1171</v>
      </c>
      <c r="P263" s="227">
        <v>46109.229166666664</v>
      </c>
      <c r="Q263" s="226">
        <v>5.3</v>
      </c>
      <c r="R263" s="226"/>
      <c r="S263" s="226">
        <v>2</v>
      </c>
      <c r="T263" s="226"/>
      <c r="U263" s="226" t="s">
        <v>1</v>
      </c>
      <c r="V263" s="226" t="s">
        <v>1</v>
      </c>
      <c r="W263" s="226" t="s">
        <v>1180</v>
      </c>
      <c r="X263" s="227">
        <v>46072.390972222223</v>
      </c>
      <c r="Y263" s="226"/>
      <c r="Z263" s="226" t="s">
        <v>1672</v>
      </c>
      <c r="AA263" s="226" t="s">
        <v>1106</v>
      </c>
      <c r="AB263" s="226"/>
      <c r="AC263" s="226"/>
      <c r="AD263" s="226" t="s">
        <v>1184</v>
      </c>
      <c r="AE263" s="226" t="s">
        <v>1434</v>
      </c>
    </row>
    <row r="264" spans="1:31">
      <c r="A264" s="226" t="s">
        <v>1277</v>
      </c>
      <c r="B264" s="226" t="s">
        <v>1123</v>
      </c>
      <c r="C264" s="226" t="s">
        <v>1149</v>
      </c>
      <c r="D264" s="226" t="s">
        <v>1278</v>
      </c>
      <c r="E264" s="226">
        <v>4386527</v>
      </c>
      <c r="F264" s="226">
        <v>4373066</v>
      </c>
      <c r="G264" s="226" t="s">
        <v>1673</v>
      </c>
      <c r="H264" s="226" t="s">
        <v>218</v>
      </c>
      <c r="I264" s="226" t="s">
        <v>1671</v>
      </c>
      <c r="J264" s="226" t="s">
        <v>1207</v>
      </c>
      <c r="K264" s="227">
        <v>46090.229166666664</v>
      </c>
      <c r="L264" s="227">
        <v>46090.229166666664</v>
      </c>
      <c r="M264" s="227">
        <v>46094.979166666664</v>
      </c>
      <c r="N264" s="227">
        <v>46097.679166666669</v>
      </c>
      <c r="O264" s="226" t="s">
        <v>1214</v>
      </c>
      <c r="P264" s="227">
        <v>46109.229166666664</v>
      </c>
      <c r="Q264" s="226">
        <v>2</v>
      </c>
      <c r="R264" s="226"/>
      <c r="S264" s="226">
        <v>2</v>
      </c>
      <c r="T264" s="226"/>
      <c r="U264" s="226" t="s">
        <v>1</v>
      </c>
      <c r="V264" s="226" t="s">
        <v>1</v>
      </c>
      <c r="W264" s="226" t="s">
        <v>1280</v>
      </c>
      <c r="X264" s="227">
        <v>46071.70416666667</v>
      </c>
      <c r="Y264" s="226" t="s">
        <v>1674</v>
      </c>
      <c r="Z264" s="226" t="s">
        <v>1672</v>
      </c>
      <c r="AA264" s="226" t="s">
        <v>1156</v>
      </c>
      <c r="AB264" s="226"/>
      <c r="AC264" s="226"/>
      <c r="AD264" s="226" t="s">
        <v>1281</v>
      </c>
      <c r="AE264" s="226" t="s">
        <v>1434</v>
      </c>
    </row>
    <row r="265" spans="1:31">
      <c r="A265" s="226" t="s">
        <v>1212</v>
      </c>
      <c r="B265" s="226" t="s">
        <v>1123</v>
      </c>
      <c r="C265" s="226" t="s">
        <v>1149</v>
      </c>
      <c r="D265" s="226" t="s">
        <v>1217</v>
      </c>
      <c r="E265" s="226">
        <v>4365826</v>
      </c>
      <c r="F265" s="226">
        <v>4391349</v>
      </c>
      <c r="G265" s="226" t="s">
        <v>745</v>
      </c>
      <c r="H265" s="226" t="s">
        <v>218</v>
      </c>
      <c r="I265" s="226" t="s">
        <v>1671</v>
      </c>
      <c r="J265" s="226" t="s">
        <v>1179</v>
      </c>
      <c r="K265" s="227">
        <v>46090.229166666664</v>
      </c>
      <c r="L265" s="227">
        <v>46090.229166666664</v>
      </c>
      <c r="M265" s="227">
        <v>46092.020833333336</v>
      </c>
      <c r="N265" s="227">
        <v>46091.873611111114</v>
      </c>
      <c r="O265" s="226" t="s">
        <v>1171</v>
      </c>
      <c r="P265" s="227">
        <v>46109.229166666664</v>
      </c>
      <c r="Q265" s="226">
        <v>2</v>
      </c>
      <c r="R265" s="226"/>
      <c r="S265" s="226">
        <v>2</v>
      </c>
      <c r="T265" s="226"/>
      <c r="U265" s="226" t="s">
        <v>1</v>
      </c>
      <c r="V265" s="226" t="s">
        <v>1</v>
      </c>
      <c r="W265" s="226" t="s">
        <v>1189</v>
      </c>
      <c r="X265" s="227">
        <v>46078.509027777778</v>
      </c>
      <c r="Y265" s="226" t="s">
        <v>1269</v>
      </c>
      <c r="Z265" s="226" t="s">
        <v>1672</v>
      </c>
      <c r="AA265" s="226" t="s">
        <v>1156</v>
      </c>
      <c r="AB265" s="226"/>
      <c r="AC265" s="226"/>
      <c r="AD265" s="226" t="s">
        <v>1629</v>
      </c>
      <c r="AE265" s="226" t="s">
        <v>1434</v>
      </c>
    </row>
    <row r="266" spans="1:31">
      <c r="A266" s="226" t="s">
        <v>1625</v>
      </c>
      <c r="B266" s="226" t="s">
        <v>1123</v>
      </c>
      <c r="C266" s="226" t="s">
        <v>50</v>
      </c>
      <c r="D266" s="226" t="s">
        <v>50</v>
      </c>
      <c r="E266" s="226">
        <v>4373652</v>
      </c>
      <c r="F266" s="226">
        <v>4395034</v>
      </c>
      <c r="G266" s="226" t="s">
        <v>778</v>
      </c>
      <c r="H266" s="226" t="s">
        <v>218</v>
      </c>
      <c r="I266" s="226" t="s">
        <v>1671</v>
      </c>
      <c r="J266" s="226" t="s">
        <v>1179</v>
      </c>
      <c r="K266" s="227">
        <v>46091.853472222225</v>
      </c>
      <c r="L266" s="227">
        <v>46091.861805555556</v>
      </c>
      <c r="M266" s="227">
        <v>46101.229166666664</v>
      </c>
      <c r="N266" s="227">
        <v>46094.899305555555</v>
      </c>
      <c r="O266" s="226" t="s">
        <v>1171</v>
      </c>
      <c r="P266" s="227">
        <v>46109.229166666664</v>
      </c>
      <c r="Q266" s="226">
        <v>3.75</v>
      </c>
      <c r="R266" s="226"/>
      <c r="S266" s="226">
        <v>2</v>
      </c>
      <c r="T266" s="226"/>
      <c r="U266" s="226" t="s">
        <v>1</v>
      </c>
      <c r="V266" s="226" t="s">
        <v>1</v>
      </c>
      <c r="W266" s="226" t="s">
        <v>1180</v>
      </c>
      <c r="X266" s="227">
        <v>46080.98541666667</v>
      </c>
      <c r="Y266" s="226" t="s">
        <v>1413</v>
      </c>
      <c r="Z266" s="226" t="s">
        <v>1672</v>
      </c>
      <c r="AA266" s="226" t="s">
        <v>1106</v>
      </c>
      <c r="AB266" s="226"/>
      <c r="AC266" s="226"/>
      <c r="AD266" s="226" t="s">
        <v>1675</v>
      </c>
      <c r="AE266" s="226" t="s">
        <v>1434</v>
      </c>
    </row>
    <row r="267" spans="1:31">
      <c r="A267" s="226" t="s">
        <v>1625</v>
      </c>
      <c r="B267" s="226" t="s">
        <v>1123</v>
      </c>
      <c r="C267" s="226" t="s">
        <v>50</v>
      </c>
      <c r="D267" s="226" t="s">
        <v>50</v>
      </c>
      <c r="E267" s="226">
        <v>4373652</v>
      </c>
      <c r="F267" s="226">
        <v>4395043</v>
      </c>
      <c r="G267" s="226" t="s">
        <v>761</v>
      </c>
      <c r="H267" s="226" t="s">
        <v>218</v>
      </c>
      <c r="I267" s="226" t="s">
        <v>1671</v>
      </c>
      <c r="J267" s="226" t="s">
        <v>1179</v>
      </c>
      <c r="K267" s="227">
        <v>46092.784722222219</v>
      </c>
      <c r="L267" s="227">
        <v>46092.902083333334</v>
      </c>
      <c r="M267" s="227">
        <v>46098.229166666664</v>
      </c>
      <c r="N267" s="227">
        <v>46093.834027777775</v>
      </c>
      <c r="O267" s="226" t="s">
        <v>1171</v>
      </c>
      <c r="P267" s="227">
        <v>46109.229166666664</v>
      </c>
      <c r="Q267" s="226">
        <v>2</v>
      </c>
      <c r="R267" s="226"/>
      <c r="S267" s="226">
        <v>2</v>
      </c>
      <c r="T267" s="226"/>
      <c r="U267" s="226" t="s">
        <v>1</v>
      </c>
      <c r="V267" s="226" t="s">
        <v>1</v>
      </c>
      <c r="W267" s="226" t="s">
        <v>1180</v>
      </c>
      <c r="X267" s="227">
        <v>46080.994444444441</v>
      </c>
      <c r="Y267" s="226" t="s">
        <v>1676</v>
      </c>
      <c r="Z267" s="226" t="s">
        <v>1672</v>
      </c>
      <c r="AA267" s="226" t="s">
        <v>1106</v>
      </c>
      <c r="AB267" s="226"/>
      <c r="AC267" s="226"/>
      <c r="AD267" s="226" t="s">
        <v>1677</v>
      </c>
      <c r="AE267" s="226" t="s">
        <v>1434</v>
      </c>
    </row>
    <row r="268" spans="1:31">
      <c r="A268" s="226" t="s">
        <v>1623</v>
      </c>
      <c r="B268" s="226" t="s">
        <v>1123</v>
      </c>
      <c r="C268" s="226" t="s">
        <v>50</v>
      </c>
      <c r="D268" s="226" t="s">
        <v>50</v>
      </c>
      <c r="E268" s="226">
        <v>4395058</v>
      </c>
      <c r="F268" s="226">
        <v>4395049</v>
      </c>
      <c r="G268" s="226" t="s">
        <v>762</v>
      </c>
      <c r="H268" s="226" t="s">
        <v>218</v>
      </c>
      <c r="I268" s="226" t="s">
        <v>1671</v>
      </c>
      <c r="J268" s="226" t="s">
        <v>1179</v>
      </c>
      <c r="K268" s="227">
        <v>46092.788194444445</v>
      </c>
      <c r="L268" s="227">
        <v>46092.900694444441</v>
      </c>
      <c r="M268" s="227">
        <v>46098.229166666664</v>
      </c>
      <c r="N268" s="227">
        <v>46099.660416666666</v>
      </c>
      <c r="O268" s="226" t="s">
        <v>1171</v>
      </c>
      <c r="P268" s="227">
        <v>46109.229166666664</v>
      </c>
      <c r="Q268" s="226">
        <v>2</v>
      </c>
      <c r="R268" s="226"/>
      <c r="S268" s="226">
        <v>2</v>
      </c>
      <c r="T268" s="226"/>
      <c r="U268" s="226" t="s">
        <v>1</v>
      </c>
      <c r="V268" s="226" t="s">
        <v>1</v>
      </c>
      <c r="W268" s="226" t="s">
        <v>1180</v>
      </c>
      <c r="X268" s="227">
        <v>46080.998611111114</v>
      </c>
      <c r="Y268" s="226" t="s">
        <v>1413</v>
      </c>
      <c r="Z268" s="226" t="s">
        <v>1672</v>
      </c>
      <c r="AA268" s="226" t="s">
        <v>1106</v>
      </c>
      <c r="AB268" s="226"/>
      <c r="AC268" s="226"/>
      <c r="AD268" s="226" t="s">
        <v>1678</v>
      </c>
      <c r="AE268" s="226" t="s">
        <v>1434</v>
      </c>
    </row>
    <row r="269" spans="1:31">
      <c r="A269" s="226" t="s">
        <v>1625</v>
      </c>
      <c r="B269" s="226" t="s">
        <v>1123</v>
      </c>
      <c r="C269" s="226" t="s">
        <v>50</v>
      </c>
      <c r="D269" s="226" t="s">
        <v>50</v>
      </c>
      <c r="E269" s="226">
        <v>4373652</v>
      </c>
      <c r="F269" s="226">
        <v>4395050</v>
      </c>
      <c r="G269" s="226" t="s">
        <v>764</v>
      </c>
      <c r="H269" s="226" t="s">
        <v>218</v>
      </c>
      <c r="I269" s="226" t="s">
        <v>1671</v>
      </c>
      <c r="J269" s="226" t="s">
        <v>1179</v>
      </c>
      <c r="K269" s="227">
        <v>46095.074999999997</v>
      </c>
      <c r="L269" s="227">
        <v>46094.229166666664</v>
      </c>
      <c r="M269" s="227">
        <v>46098.229166666664</v>
      </c>
      <c r="N269" s="227">
        <v>46098.229166666664</v>
      </c>
      <c r="O269" s="226" t="s">
        <v>1171</v>
      </c>
      <c r="P269" s="227">
        <v>46109.229166666664</v>
      </c>
      <c r="Q269" s="226">
        <v>2.81</v>
      </c>
      <c r="R269" s="226"/>
      <c r="S269" s="226">
        <v>2</v>
      </c>
      <c r="T269" s="226"/>
      <c r="U269" s="226" t="s">
        <v>1</v>
      </c>
      <c r="V269" s="226" t="s">
        <v>1</v>
      </c>
      <c r="W269" s="226" t="s">
        <v>1180</v>
      </c>
      <c r="X269" s="227">
        <v>46080.998611111114</v>
      </c>
      <c r="Y269" s="226" t="s">
        <v>1679</v>
      </c>
      <c r="Z269" s="226" t="s">
        <v>1672</v>
      </c>
      <c r="AA269" s="226" t="s">
        <v>1106</v>
      </c>
      <c r="AB269" s="226"/>
      <c r="AC269" s="226"/>
      <c r="AD269" s="226" t="s">
        <v>1680</v>
      </c>
      <c r="AE269" s="226" t="s">
        <v>1434</v>
      </c>
    </row>
    <row r="270" spans="1:31">
      <c r="A270" s="226" t="s">
        <v>1625</v>
      </c>
      <c r="B270" s="226" t="s">
        <v>1123</v>
      </c>
      <c r="C270" s="226" t="s">
        <v>50</v>
      </c>
      <c r="D270" s="226" t="s">
        <v>50</v>
      </c>
      <c r="E270" s="226">
        <v>4373652</v>
      </c>
      <c r="F270" s="226">
        <v>4395037</v>
      </c>
      <c r="G270" s="226" t="s">
        <v>767</v>
      </c>
      <c r="H270" s="226" t="s">
        <v>218</v>
      </c>
      <c r="I270" s="226" t="s">
        <v>1671</v>
      </c>
      <c r="J270" s="226" t="s">
        <v>1179</v>
      </c>
      <c r="K270" s="227">
        <v>46092.977083333331</v>
      </c>
      <c r="L270" s="227">
        <v>46092.229166666664</v>
      </c>
      <c r="M270" s="227">
        <v>46098.229166666664</v>
      </c>
      <c r="N270" s="227">
        <v>46097.864583333336</v>
      </c>
      <c r="O270" s="226" t="s">
        <v>1171</v>
      </c>
      <c r="P270" s="227">
        <v>46109.229166666664</v>
      </c>
      <c r="Q270" s="226">
        <v>2.81</v>
      </c>
      <c r="R270" s="226"/>
      <c r="S270" s="226">
        <v>2</v>
      </c>
      <c r="T270" s="226"/>
      <c r="U270" s="226" t="s">
        <v>1</v>
      </c>
      <c r="V270" s="226" t="s">
        <v>1</v>
      </c>
      <c r="W270" s="226" t="s">
        <v>1180</v>
      </c>
      <c r="X270" s="227">
        <v>46080.989583333336</v>
      </c>
      <c r="Y270" s="226" t="s">
        <v>1413</v>
      </c>
      <c r="Z270" s="226" t="s">
        <v>1672</v>
      </c>
      <c r="AA270" s="226" t="s">
        <v>1106</v>
      </c>
      <c r="AB270" s="226"/>
      <c r="AC270" s="226"/>
      <c r="AD270" s="226" t="s">
        <v>1681</v>
      </c>
      <c r="AE270" s="226" t="s">
        <v>1434</v>
      </c>
    </row>
    <row r="271" spans="1:31">
      <c r="A271" s="226" t="s">
        <v>1625</v>
      </c>
      <c r="B271" s="226" t="s">
        <v>1123</v>
      </c>
      <c r="C271" s="226" t="s">
        <v>50</v>
      </c>
      <c r="D271" s="226" t="s">
        <v>50</v>
      </c>
      <c r="E271" s="226">
        <v>4373652</v>
      </c>
      <c r="F271" s="226">
        <v>4395038</v>
      </c>
      <c r="G271" s="226" t="s">
        <v>770</v>
      </c>
      <c r="H271" s="226" t="s">
        <v>218</v>
      </c>
      <c r="I271" s="226" t="s">
        <v>1671</v>
      </c>
      <c r="J271" s="226" t="s">
        <v>1179</v>
      </c>
      <c r="K271" s="227">
        <v>46092.977777777778</v>
      </c>
      <c r="L271" s="227">
        <v>46092.229166666664</v>
      </c>
      <c r="M271" s="227">
        <v>46098.229166666664</v>
      </c>
      <c r="N271" s="227">
        <v>46097.864583333336</v>
      </c>
      <c r="O271" s="226" t="s">
        <v>1171</v>
      </c>
      <c r="P271" s="227">
        <v>46109.229166666664</v>
      </c>
      <c r="Q271" s="226">
        <v>2.81</v>
      </c>
      <c r="R271" s="226"/>
      <c r="S271" s="226">
        <v>2</v>
      </c>
      <c r="T271" s="226"/>
      <c r="U271" s="226" t="s">
        <v>1</v>
      </c>
      <c r="V271" s="226" t="s">
        <v>1</v>
      </c>
      <c r="W271" s="226" t="s">
        <v>1180</v>
      </c>
      <c r="X271" s="227">
        <v>46080.990277777775</v>
      </c>
      <c r="Y271" s="226" t="s">
        <v>1413</v>
      </c>
      <c r="Z271" s="226" t="s">
        <v>1672</v>
      </c>
      <c r="AA271" s="226" t="s">
        <v>1106</v>
      </c>
      <c r="AB271" s="226"/>
      <c r="AC271" s="226"/>
      <c r="AD271" s="226" t="s">
        <v>1682</v>
      </c>
      <c r="AE271" s="226" t="s">
        <v>1434</v>
      </c>
    </row>
    <row r="272" spans="1:31">
      <c r="A272" s="226" t="s">
        <v>1625</v>
      </c>
      <c r="B272" s="226" t="s">
        <v>1123</v>
      </c>
      <c r="C272" s="226" t="s">
        <v>50</v>
      </c>
      <c r="D272" s="226" t="s">
        <v>50</v>
      </c>
      <c r="E272" s="226">
        <v>4373652</v>
      </c>
      <c r="F272" s="226">
        <v>4395039</v>
      </c>
      <c r="G272" s="226" t="s">
        <v>771</v>
      </c>
      <c r="H272" s="226" t="s">
        <v>218</v>
      </c>
      <c r="I272" s="226" t="s">
        <v>1671</v>
      </c>
      <c r="J272" s="226" t="s">
        <v>1179</v>
      </c>
      <c r="K272" s="227">
        <v>46092.977777777778</v>
      </c>
      <c r="L272" s="227">
        <v>46092.979166666664</v>
      </c>
      <c r="M272" s="227">
        <v>46098.229166666664</v>
      </c>
      <c r="N272" s="227">
        <v>46097.784722222219</v>
      </c>
      <c r="O272" s="226" t="s">
        <v>1171</v>
      </c>
      <c r="P272" s="227">
        <v>46109.229166666664</v>
      </c>
      <c r="Q272" s="226">
        <v>2.81</v>
      </c>
      <c r="R272" s="226"/>
      <c r="S272" s="226">
        <v>2</v>
      </c>
      <c r="T272" s="226"/>
      <c r="U272" s="226" t="s">
        <v>1</v>
      </c>
      <c r="V272" s="226" t="s">
        <v>1</v>
      </c>
      <c r="W272" s="226" t="s">
        <v>1180</v>
      </c>
      <c r="X272" s="227">
        <v>46080.990972222222</v>
      </c>
      <c r="Y272" s="226" t="s">
        <v>1413</v>
      </c>
      <c r="Z272" s="226" t="s">
        <v>1672</v>
      </c>
      <c r="AA272" s="226" t="s">
        <v>1106</v>
      </c>
      <c r="AB272" s="226"/>
      <c r="AC272" s="226"/>
      <c r="AD272" s="226" t="s">
        <v>1683</v>
      </c>
      <c r="AE272" s="226" t="s">
        <v>1434</v>
      </c>
    </row>
    <row r="273" spans="1:31">
      <c r="A273" s="226" t="s">
        <v>1204</v>
      </c>
      <c r="B273" s="226" t="s">
        <v>1194</v>
      </c>
      <c r="C273" s="226" t="s">
        <v>1194</v>
      </c>
      <c r="D273" s="226" t="s">
        <v>1205</v>
      </c>
      <c r="E273" s="226">
        <v>4330994</v>
      </c>
      <c r="F273" s="226">
        <v>4364562</v>
      </c>
      <c r="G273" s="226" t="s">
        <v>1684</v>
      </c>
      <c r="H273" s="226" t="s">
        <v>866</v>
      </c>
      <c r="I273" s="226" t="s">
        <v>1671</v>
      </c>
      <c r="J273" s="226" t="s">
        <v>1207</v>
      </c>
      <c r="K273" s="227">
        <v>46090.229166666664</v>
      </c>
      <c r="L273" s="227">
        <v>46090.229166666664</v>
      </c>
      <c r="M273" s="227">
        <v>46094.979166666664</v>
      </c>
      <c r="N273" s="227">
        <v>46094.679861111108</v>
      </c>
      <c r="O273" s="226" t="s">
        <v>1208</v>
      </c>
      <c r="P273" s="227">
        <v>46109.229166666664</v>
      </c>
      <c r="Q273" s="226">
        <v>2</v>
      </c>
      <c r="R273" s="226"/>
      <c r="S273" s="226">
        <v>2</v>
      </c>
      <c r="T273" s="226"/>
      <c r="U273" s="226" t="s">
        <v>1</v>
      </c>
      <c r="V273" s="226" t="s">
        <v>1</v>
      </c>
      <c r="W273" s="226" t="s">
        <v>1209</v>
      </c>
      <c r="X273" s="227">
        <v>46065.50277777778</v>
      </c>
      <c r="Y273" s="226" t="s">
        <v>1674</v>
      </c>
      <c r="Z273" s="226" t="s">
        <v>1672</v>
      </c>
      <c r="AA273" s="226" t="s">
        <v>1156</v>
      </c>
      <c r="AB273" s="226"/>
      <c r="AC273" s="226"/>
      <c r="AD273" s="226" t="s">
        <v>1211</v>
      </c>
      <c r="AE273" s="226" t="s">
        <v>1434</v>
      </c>
    </row>
    <row r="274" spans="1:31">
      <c r="A274" s="226" t="s">
        <v>1242</v>
      </c>
      <c r="B274" s="226" t="s">
        <v>1123</v>
      </c>
      <c r="C274" s="226" t="s">
        <v>1195</v>
      </c>
      <c r="D274" s="226" t="s">
        <v>1243</v>
      </c>
      <c r="E274" s="226">
        <v>4317244</v>
      </c>
      <c r="F274" s="226">
        <v>4361805</v>
      </c>
      <c r="G274" s="226" t="s">
        <v>457</v>
      </c>
      <c r="H274" s="226" t="s">
        <v>218</v>
      </c>
      <c r="I274" s="226" t="s">
        <v>1671</v>
      </c>
      <c r="J274" s="226" t="s">
        <v>1127</v>
      </c>
      <c r="K274" s="227">
        <v>46090.229166666664</v>
      </c>
      <c r="L274" s="227">
        <v>46090.868750000001</v>
      </c>
      <c r="M274" s="227">
        <v>46093.229166666664</v>
      </c>
      <c r="N274" s="227">
        <v>46092.655555555553</v>
      </c>
      <c r="O274" s="226" t="s">
        <v>1214</v>
      </c>
      <c r="P274" s="227">
        <v>46109.229166666664</v>
      </c>
      <c r="Q274" s="226">
        <v>2</v>
      </c>
      <c r="R274" s="226"/>
      <c r="S274" s="226">
        <v>2</v>
      </c>
      <c r="T274" s="226"/>
      <c r="U274" s="226" t="s">
        <v>1</v>
      </c>
      <c r="V274" s="226" t="s">
        <v>1</v>
      </c>
      <c r="W274" s="226" t="s">
        <v>1198</v>
      </c>
      <c r="X274" s="227">
        <v>46064.015972222223</v>
      </c>
      <c r="Y274" s="226"/>
      <c r="Z274" s="226" t="s">
        <v>1672</v>
      </c>
      <c r="AA274" s="226" t="s">
        <v>1156</v>
      </c>
      <c r="AB274" s="226"/>
      <c r="AC274" s="226"/>
      <c r="AD274" s="226" t="s">
        <v>1245</v>
      </c>
      <c r="AE274" s="226" t="s">
        <v>1434</v>
      </c>
    </row>
    <row r="275" spans="1:31">
      <c r="A275" s="226" t="s">
        <v>1524</v>
      </c>
      <c r="B275" s="226" t="s">
        <v>1123</v>
      </c>
      <c r="C275" s="226" t="s">
        <v>1149</v>
      </c>
      <c r="D275" s="226" t="s">
        <v>1526</v>
      </c>
      <c r="E275" s="226">
        <v>4278081</v>
      </c>
      <c r="F275" s="226">
        <v>4359577</v>
      </c>
      <c r="G275" s="226" t="s">
        <v>374</v>
      </c>
      <c r="H275" s="226" t="s">
        <v>218</v>
      </c>
      <c r="I275" s="226" t="s">
        <v>1671</v>
      </c>
      <c r="J275" s="226" t="s">
        <v>1152</v>
      </c>
      <c r="K275" s="227">
        <v>46090.229166666664</v>
      </c>
      <c r="L275" s="227">
        <v>46091.006249999999</v>
      </c>
      <c r="M275" s="227">
        <v>46094.229166666664</v>
      </c>
      <c r="N275" s="227">
        <v>46095.008333333331</v>
      </c>
      <c r="O275" s="226" t="s">
        <v>1214</v>
      </c>
      <c r="P275" s="227">
        <v>46109.229166666664</v>
      </c>
      <c r="Q275" s="226">
        <v>2</v>
      </c>
      <c r="R275" s="226"/>
      <c r="S275" s="226">
        <v>2</v>
      </c>
      <c r="T275" s="226"/>
      <c r="U275" s="226" t="s">
        <v>1</v>
      </c>
      <c r="V275" s="226" t="s">
        <v>1</v>
      </c>
      <c r="W275" s="226" t="s">
        <v>1497</v>
      </c>
      <c r="X275" s="227">
        <v>46063.558333333334</v>
      </c>
      <c r="Y275" s="226" t="s">
        <v>1606</v>
      </c>
      <c r="Z275" s="226" t="s">
        <v>1672</v>
      </c>
      <c r="AA275" s="226" t="s">
        <v>1106</v>
      </c>
      <c r="AB275" s="226"/>
      <c r="AC275" s="226"/>
      <c r="AD275" s="226" t="s">
        <v>1526</v>
      </c>
      <c r="AE275" s="226" t="s">
        <v>1434</v>
      </c>
    </row>
    <row r="276" spans="1:31">
      <c r="A276" s="226" t="s">
        <v>1524</v>
      </c>
      <c r="B276" s="226" t="s">
        <v>1123</v>
      </c>
      <c r="C276" s="226" t="s">
        <v>1149</v>
      </c>
      <c r="D276" s="226" t="s">
        <v>1526</v>
      </c>
      <c r="E276" s="226">
        <v>4278081</v>
      </c>
      <c r="F276" s="226">
        <v>4359579</v>
      </c>
      <c r="G276" s="226" t="s">
        <v>376</v>
      </c>
      <c r="H276" s="226" t="s">
        <v>218</v>
      </c>
      <c r="I276" s="226" t="s">
        <v>1671</v>
      </c>
      <c r="J276" s="226" t="s">
        <v>1152</v>
      </c>
      <c r="K276" s="227">
        <v>46090.229166666664</v>
      </c>
      <c r="L276" s="227">
        <v>46091.007638888892</v>
      </c>
      <c r="M276" s="227">
        <v>46094.229166666664</v>
      </c>
      <c r="N276" s="227">
        <v>46096.148611111108</v>
      </c>
      <c r="O276" s="226" t="s">
        <v>1214</v>
      </c>
      <c r="P276" s="227">
        <v>46109.229166666664</v>
      </c>
      <c r="Q276" s="226">
        <v>2</v>
      </c>
      <c r="R276" s="226"/>
      <c r="S276" s="226">
        <v>2</v>
      </c>
      <c r="T276" s="226"/>
      <c r="U276" s="226" t="s">
        <v>1</v>
      </c>
      <c r="V276" s="226" t="s">
        <v>1</v>
      </c>
      <c r="W276" s="226" t="s">
        <v>1497</v>
      </c>
      <c r="X276" s="227">
        <v>46063.558333333334</v>
      </c>
      <c r="Y276" s="226" t="s">
        <v>1528</v>
      </c>
      <c r="Z276" s="226" t="s">
        <v>1672</v>
      </c>
      <c r="AA276" s="226" t="s">
        <v>1106</v>
      </c>
      <c r="AB276" s="226"/>
      <c r="AC276" s="226"/>
      <c r="AD276" s="226" t="s">
        <v>1526</v>
      </c>
      <c r="AE276" s="226" t="s">
        <v>1434</v>
      </c>
    </row>
    <row r="277" spans="1:31">
      <c r="A277" s="226" t="s">
        <v>1524</v>
      </c>
      <c r="B277" s="226" t="s">
        <v>1123</v>
      </c>
      <c r="C277" s="226" t="s">
        <v>1149</v>
      </c>
      <c r="D277" s="226" t="s">
        <v>1526</v>
      </c>
      <c r="E277" s="226">
        <v>4278081</v>
      </c>
      <c r="F277" s="226">
        <v>4359581</v>
      </c>
      <c r="G277" s="226" t="s">
        <v>378</v>
      </c>
      <c r="H277" s="226" t="s">
        <v>218</v>
      </c>
      <c r="I277" s="226" t="s">
        <v>1671</v>
      </c>
      <c r="J277" s="226" t="s">
        <v>1152</v>
      </c>
      <c r="K277" s="227">
        <v>46090.229166666664</v>
      </c>
      <c r="L277" s="227">
        <v>46091.008333333331</v>
      </c>
      <c r="M277" s="227">
        <v>46094.229166666664</v>
      </c>
      <c r="N277" s="227">
        <v>46096.149305555555</v>
      </c>
      <c r="O277" s="226" t="s">
        <v>1214</v>
      </c>
      <c r="P277" s="227">
        <v>46109.229166666664</v>
      </c>
      <c r="Q277" s="226">
        <v>2</v>
      </c>
      <c r="R277" s="226"/>
      <c r="S277" s="226">
        <v>2</v>
      </c>
      <c r="T277" s="226"/>
      <c r="U277" s="226" t="s">
        <v>1</v>
      </c>
      <c r="V277" s="226" t="s">
        <v>1</v>
      </c>
      <c r="W277" s="226" t="s">
        <v>1497</v>
      </c>
      <c r="X277" s="227">
        <v>46063.558333333334</v>
      </c>
      <c r="Y277" s="226" t="s">
        <v>1528</v>
      </c>
      <c r="Z277" s="226" t="s">
        <v>1672</v>
      </c>
      <c r="AA277" s="226" t="s">
        <v>1106</v>
      </c>
      <c r="AB277" s="226"/>
      <c r="AC277" s="226"/>
      <c r="AD277" s="226" t="s">
        <v>1526</v>
      </c>
      <c r="AE277" s="226" t="s">
        <v>1434</v>
      </c>
    </row>
    <row r="278" spans="1:31">
      <c r="A278" s="226" t="s">
        <v>1685</v>
      </c>
      <c r="B278" s="226" t="s">
        <v>1123</v>
      </c>
      <c r="C278" s="226" t="s">
        <v>50</v>
      </c>
      <c r="D278" s="226" t="s">
        <v>50</v>
      </c>
      <c r="E278" s="226">
        <v>4364399</v>
      </c>
      <c r="F278" s="226">
        <v>4311483</v>
      </c>
      <c r="G278" s="226" t="s">
        <v>599</v>
      </c>
      <c r="H278" s="226" t="s">
        <v>866</v>
      </c>
      <c r="I278" s="226" t="s">
        <v>1671</v>
      </c>
      <c r="J278" s="226" t="s">
        <v>1179</v>
      </c>
      <c r="K278" s="227">
        <v>46097.229166666664</v>
      </c>
      <c r="L278" s="227">
        <v>46097.229166666664</v>
      </c>
      <c r="M278" s="227">
        <v>46097.229166666664</v>
      </c>
      <c r="N278" s="227">
        <v>46097.229166666664</v>
      </c>
      <c r="O278" s="226" t="s">
        <v>1686</v>
      </c>
      <c r="P278" s="227">
        <v>46109.229166666664</v>
      </c>
      <c r="Q278" s="226">
        <v>2.5</v>
      </c>
      <c r="R278" s="226"/>
      <c r="S278" s="226">
        <v>2</v>
      </c>
      <c r="T278" s="226"/>
      <c r="U278" s="226" t="s">
        <v>1</v>
      </c>
      <c r="V278" s="226" t="s">
        <v>1</v>
      </c>
      <c r="W278" s="226" t="s">
        <v>1180</v>
      </c>
      <c r="X278" s="227">
        <v>46027.384722222225</v>
      </c>
      <c r="Y278" s="226" t="s">
        <v>1687</v>
      </c>
      <c r="Z278" s="226" t="s">
        <v>1672</v>
      </c>
      <c r="AA278" s="226" t="s">
        <v>1106</v>
      </c>
      <c r="AB278" s="226"/>
      <c r="AC278" s="226"/>
      <c r="AD278" s="226" t="s">
        <v>1688</v>
      </c>
      <c r="AE278" s="226" t="s">
        <v>1434</v>
      </c>
    </row>
    <row r="279" spans="1:31">
      <c r="A279" s="226" t="s">
        <v>1685</v>
      </c>
      <c r="B279" s="226" t="s">
        <v>1123</v>
      </c>
      <c r="C279" s="226" t="s">
        <v>50</v>
      </c>
      <c r="D279" s="226" t="s">
        <v>50</v>
      </c>
      <c r="E279" s="226">
        <v>4364399</v>
      </c>
      <c r="F279" s="226">
        <v>4339301</v>
      </c>
      <c r="G279" s="226" t="s">
        <v>594</v>
      </c>
      <c r="H279" s="226" t="s">
        <v>866</v>
      </c>
      <c r="I279" s="226" t="s">
        <v>1671</v>
      </c>
      <c r="J279" s="226" t="s">
        <v>1179</v>
      </c>
      <c r="K279" s="227">
        <v>46097.229166666664</v>
      </c>
      <c r="L279" s="227">
        <v>46097.229166666664</v>
      </c>
      <c r="M279" s="227"/>
      <c r="N279" s="226"/>
      <c r="O279" s="226" t="s">
        <v>1689</v>
      </c>
      <c r="P279" s="227">
        <v>46109.229166666664</v>
      </c>
      <c r="Q279" s="226">
        <v>5.3</v>
      </c>
      <c r="R279" s="226"/>
      <c r="S279" s="226">
        <v>2</v>
      </c>
      <c r="T279" s="226"/>
      <c r="U279" s="226" t="s">
        <v>1</v>
      </c>
      <c r="V279" s="226" t="s">
        <v>1</v>
      </c>
      <c r="W279" s="226" t="s">
        <v>1180</v>
      </c>
      <c r="X279" s="227">
        <v>46049.661111111112</v>
      </c>
      <c r="Y279" s="226" t="s">
        <v>1137</v>
      </c>
      <c r="Z279" s="226" t="s">
        <v>1672</v>
      </c>
      <c r="AA279" s="226" t="s">
        <v>1106</v>
      </c>
      <c r="AB279" s="226"/>
      <c r="AC279" s="226"/>
      <c r="AD279" s="226" t="s">
        <v>1690</v>
      </c>
      <c r="AE279" s="226" t="s">
        <v>1434</v>
      </c>
    </row>
    <row r="280" spans="1:31">
      <c r="A280" s="226" t="s">
        <v>1242</v>
      </c>
      <c r="B280" s="226" t="s">
        <v>1123</v>
      </c>
      <c r="C280" s="226" t="s">
        <v>1195</v>
      </c>
      <c r="D280" s="226" t="s">
        <v>1243</v>
      </c>
      <c r="E280" s="226">
        <v>4317244</v>
      </c>
      <c r="F280" s="226">
        <v>4319915</v>
      </c>
      <c r="G280" s="226" t="s">
        <v>731</v>
      </c>
      <c r="H280" s="226" t="s">
        <v>218</v>
      </c>
      <c r="I280" s="226" t="s">
        <v>1691</v>
      </c>
      <c r="J280" s="226" t="s">
        <v>1179</v>
      </c>
      <c r="K280" s="227">
        <v>46092.979166666664</v>
      </c>
      <c r="L280" s="227">
        <v>46092.901388888888</v>
      </c>
      <c r="M280" s="227">
        <v>46094.229166666664</v>
      </c>
      <c r="N280" s="227">
        <v>46095.070138888892</v>
      </c>
      <c r="O280" s="226" t="s">
        <v>1214</v>
      </c>
      <c r="P280" s="227">
        <v>46109.229166666664</v>
      </c>
      <c r="Q280" s="226">
        <v>3</v>
      </c>
      <c r="R280" s="226"/>
      <c r="S280" s="226">
        <v>2</v>
      </c>
      <c r="T280" s="226"/>
      <c r="U280" s="226" t="s">
        <v>1</v>
      </c>
      <c r="V280" s="226" t="s">
        <v>1</v>
      </c>
      <c r="W280" s="226" t="s">
        <v>1198</v>
      </c>
      <c r="X280" s="227">
        <v>46035.04583333333</v>
      </c>
      <c r="Y280" s="226"/>
      <c r="Z280" s="226" t="s">
        <v>1692</v>
      </c>
      <c r="AA280" s="226" t="s">
        <v>1156</v>
      </c>
      <c r="AB280" s="226"/>
      <c r="AC280" s="226"/>
      <c r="AD280" s="226" t="s">
        <v>1245</v>
      </c>
      <c r="AE280" s="226" t="s">
        <v>1434</v>
      </c>
    </row>
    <row r="281" spans="1:31">
      <c r="A281" s="226" t="s">
        <v>1242</v>
      </c>
      <c r="B281" s="226" t="s">
        <v>1123</v>
      </c>
      <c r="C281" s="226" t="s">
        <v>1195</v>
      </c>
      <c r="D281" s="226" t="s">
        <v>1243</v>
      </c>
      <c r="E281" s="226">
        <v>4317244</v>
      </c>
      <c r="F281" s="226">
        <v>4361796</v>
      </c>
      <c r="G281" s="226" t="s">
        <v>449</v>
      </c>
      <c r="H281" s="226" t="s">
        <v>218</v>
      </c>
      <c r="I281" s="226" t="s">
        <v>1691</v>
      </c>
      <c r="J281" s="226" t="s">
        <v>1127</v>
      </c>
      <c r="K281" s="227">
        <v>46090.979166666664</v>
      </c>
      <c r="L281" s="227">
        <v>46086.904166666667</v>
      </c>
      <c r="M281" s="227">
        <v>46093.229166666664</v>
      </c>
      <c r="N281" s="227">
        <v>46094.021527777775</v>
      </c>
      <c r="O281" s="226" t="s">
        <v>1214</v>
      </c>
      <c r="P281" s="227">
        <v>46109.229166666664</v>
      </c>
      <c r="Q281" s="226">
        <v>3</v>
      </c>
      <c r="R281" s="226"/>
      <c r="S281" s="226">
        <v>2</v>
      </c>
      <c r="T281" s="226"/>
      <c r="U281" s="226" t="s">
        <v>1</v>
      </c>
      <c r="V281" s="226" t="s">
        <v>1</v>
      </c>
      <c r="W281" s="226" t="s">
        <v>1198</v>
      </c>
      <c r="X281" s="227">
        <v>46063.986111111109</v>
      </c>
      <c r="Y281" s="226"/>
      <c r="Z281" s="226" t="s">
        <v>1692</v>
      </c>
      <c r="AA281" s="226" t="s">
        <v>1156</v>
      </c>
      <c r="AB281" s="226"/>
      <c r="AC281" s="226"/>
      <c r="AD281" s="226" t="s">
        <v>1245</v>
      </c>
      <c r="AE281" s="226" t="s">
        <v>1434</v>
      </c>
    </row>
    <row r="282" spans="1:31">
      <c r="A282" s="226" t="s">
        <v>1242</v>
      </c>
      <c r="B282" s="226" t="s">
        <v>1123</v>
      </c>
      <c r="C282" s="226" t="s">
        <v>1195</v>
      </c>
      <c r="D282" s="226" t="s">
        <v>1243</v>
      </c>
      <c r="E282" s="226">
        <v>4317244</v>
      </c>
      <c r="F282" s="226">
        <v>4361807</v>
      </c>
      <c r="G282" s="226" t="s">
        <v>459</v>
      </c>
      <c r="H282" s="226" t="s">
        <v>218</v>
      </c>
      <c r="I282" s="226" t="s">
        <v>1691</v>
      </c>
      <c r="J282" s="226" t="s">
        <v>1127</v>
      </c>
      <c r="K282" s="227">
        <v>46090.979166666664</v>
      </c>
      <c r="L282" s="227">
        <v>46086.904861111114</v>
      </c>
      <c r="M282" s="227">
        <v>46093.229166666664</v>
      </c>
      <c r="N282" s="227">
        <v>46091.988194444442</v>
      </c>
      <c r="O282" s="226" t="s">
        <v>1214</v>
      </c>
      <c r="P282" s="227">
        <v>46109.229166666664</v>
      </c>
      <c r="Q282" s="226">
        <v>2</v>
      </c>
      <c r="R282" s="226"/>
      <c r="S282" s="226">
        <v>2</v>
      </c>
      <c r="T282" s="226"/>
      <c r="U282" s="226" t="s">
        <v>1</v>
      </c>
      <c r="V282" s="226" t="s">
        <v>1</v>
      </c>
      <c r="W282" s="226" t="s">
        <v>1198</v>
      </c>
      <c r="X282" s="227">
        <v>46064.01666666667</v>
      </c>
      <c r="Y282" s="226"/>
      <c r="Z282" s="226" t="s">
        <v>1692</v>
      </c>
      <c r="AA282" s="226" t="s">
        <v>1156</v>
      </c>
      <c r="AB282" s="226"/>
      <c r="AC282" s="226"/>
      <c r="AD282" s="226" t="s">
        <v>1245</v>
      </c>
      <c r="AE282" s="226" t="s">
        <v>1434</v>
      </c>
    </row>
    <row r="283" spans="1:31">
      <c r="A283" s="226" t="s">
        <v>1204</v>
      </c>
      <c r="B283" s="226" t="s">
        <v>1194</v>
      </c>
      <c r="C283" s="226" t="s">
        <v>1194</v>
      </c>
      <c r="D283" s="226" t="s">
        <v>1205</v>
      </c>
      <c r="E283" s="226">
        <v>4330994</v>
      </c>
      <c r="F283" s="226">
        <v>4364565</v>
      </c>
      <c r="G283" s="226" t="s">
        <v>1693</v>
      </c>
      <c r="H283" s="226" t="s">
        <v>218</v>
      </c>
      <c r="I283" s="226" t="s">
        <v>1691</v>
      </c>
      <c r="J283" s="226" t="s">
        <v>1179</v>
      </c>
      <c r="K283" s="227">
        <v>46090.979166666664</v>
      </c>
      <c r="L283" s="227">
        <v>46091.884722222225</v>
      </c>
      <c r="M283" s="227">
        <v>46094.229166666664</v>
      </c>
      <c r="N283" s="227">
        <v>46097.26458333333</v>
      </c>
      <c r="O283" s="226" t="s">
        <v>1208</v>
      </c>
      <c r="P283" s="227">
        <v>46109.229166666664</v>
      </c>
      <c r="Q283" s="226">
        <v>2</v>
      </c>
      <c r="R283" s="226"/>
      <c r="S283" s="226">
        <v>2</v>
      </c>
      <c r="T283" s="226"/>
      <c r="U283" s="226" t="s">
        <v>1</v>
      </c>
      <c r="V283" s="226" t="s">
        <v>1</v>
      </c>
      <c r="W283" s="226" t="s">
        <v>1209</v>
      </c>
      <c r="X283" s="227">
        <v>46065.503472222219</v>
      </c>
      <c r="Y283" s="226"/>
      <c r="Z283" s="226" t="s">
        <v>1692</v>
      </c>
      <c r="AA283" s="226" t="s">
        <v>1156</v>
      </c>
      <c r="AB283" s="226"/>
      <c r="AC283" s="226"/>
      <c r="AD283" s="226" t="s">
        <v>1211</v>
      </c>
      <c r="AE283" s="226" t="s">
        <v>1434</v>
      </c>
    </row>
    <row r="284" spans="1:31">
      <c r="A284" s="226" t="s">
        <v>1204</v>
      </c>
      <c r="B284" s="226" t="s">
        <v>1194</v>
      </c>
      <c r="C284" s="226" t="s">
        <v>1194</v>
      </c>
      <c r="D284" s="226" t="s">
        <v>1205</v>
      </c>
      <c r="E284" s="226">
        <v>4330994</v>
      </c>
      <c r="F284" s="226">
        <v>4364540</v>
      </c>
      <c r="G284" s="226" t="s">
        <v>1694</v>
      </c>
      <c r="H284" s="226" t="s">
        <v>866</v>
      </c>
      <c r="I284" s="226" t="s">
        <v>1691</v>
      </c>
      <c r="J284" s="226" t="s">
        <v>1179</v>
      </c>
      <c r="K284" s="227">
        <v>46090.979166666664</v>
      </c>
      <c r="L284" s="227">
        <v>46087.036805555559</v>
      </c>
      <c r="M284" s="227">
        <v>46094.229166666664</v>
      </c>
      <c r="N284" s="227">
        <v>46097.265277777777</v>
      </c>
      <c r="O284" s="226" t="s">
        <v>1208</v>
      </c>
      <c r="P284" s="227">
        <v>46109.229166666664</v>
      </c>
      <c r="Q284" s="226">
        <v>3</v>
      </c>
      <c r="R284" s="226"/>
      <c r="S284" s="226">
        <v>2</v>
      </c>
      <c r="T284" s="226"/>
      <c r="U284" s="226" t="s">
        <v>1</v>
      </c>
      <c r="V284" s="226" t="s">
        <v>1</v>
      </c>
      <c r="W284" s="226" t="s">
        <v>1209</v>
      </c>
      <c r="X284" s="227">
        <v>46065.495138888888</v>
      </c>
      <c r="Y284" s="226"/>
      <c r="Z284" s="226" t="s">
        <v>1692</v>
      </c>
      <c r="AA284" s="226" t="s">
        <v>1156</v>
      </c>
      <c r="AB284" s="226"/>
      <c r="AC284" s="226"/>
      <c r="AD284" s="226" t="s">
        <v>1211</v>
      </c>
      <c r="AE284" s="226" t="s">
        <v>1434</v>
      </c>
    </row>
    <row r="285" spans="1:31">
      <c r="A285" s="226" t="s">
        <v>1277</v>
      </c>
      <c r="B285" s="226" t="s">
        <v>1123</v>
      </c>
      <c r="C285" s="226" t="s">
        <v>1149</v>
      </c>
      <c r="D285" s="226" t="s">
        <v>1278</v>
      </c>
      <c r="E285" s="226">
        <v>4386527</v>
      </c>
      <c r="F285" s="226">
        <v>4373026</v>
      </c>
      <c r="G285" s="226" t="s">
        <v>1695</v>
      </c>
      <c r="H285" s="226" t="s">
        <v>218</v>
      </c>
      <c r="I285" s="226" t="s">
        <v>1691</v>
      </c>
      <c r="J285" s="226" t="s">
        <v>1179</v>
      </c>
      <c r="K285" s="227">
        <v>46091.976388888892</v>
      </c>
      <c r="L285" s="227">
        <v>46091.994444444441</v>
      </c>
      <c r="M285" s="227">
        <v>46097.979166666664</v>
      </c>
      <c r="N285" s="227">
        <v>46098.686111111114</v>
      </c>
      <c r="O285" s="226" t="s">
        <v>1171</v>
      </c>
      <c r="P285" s="227">
        <v>46109.229166666664</v>
      </c>
      <c r="Q285" s="226">
        <v>3.75</v>
      </c>
      <c r="R285" s="226"/>
      <c r="S285" s="226">
        <v>2</v>
      </c>
      <c r="T285" s="226"/>
      <c r="U285" s="226" t="s">
        <v>1</v>
      </c>
      <c r="V285" s="226" t="s">
        <v>1</v>
      </c>
      <c r="W285" s="226" t="s">
        <v>1280</v>
      </c>
      <c r="X285" s="227">
        <v>46071.674305555556</v>
      </c>
      <c r="Y285" s="226"/>
      <c r="Z285" s="226" t="s">
        <v>1692</v>
      </c>
      <c r="AA285" s="226" t="s">
        <v>1156</v>
      </c>
      <c r="AB285" s="226"/>
      <c r="AC285" s="226"/>
      <c r="AD285" s="226" t="s">
        <v>1281</v>
      </c>
      <c r="AE285" s="226" t="s">
        <v>1434</v>
      </c>
    </row>
    <row r="286" spans="1:31">
      <c r="A286" s="226" t="s">
        <v>1625</v>
      </c>
      <c r="B286" s="226" t="s">
        <v>1123</v>
      </c>
      <c r="C286" s="226" t="s">
        <v>50</v>
      </c>
      <c r="D286" s="226" t="s">
        <v>50</v>
      </c>
      <c r="E286" s="226">
        <v>4373652</v>
      </c>
      <c r="F286" s="226">
        <v>4395040</v>
      </c>
      <c r="G286" s="226" t="s">
        <v>781</v>
      </c>
      <c r="H286" s="226" t="s">
        <v>218</v>
      </c>
      <c r="I286" s="226" t="s">
        <v>1691</v>
      </c>
      <c r="J286" s="226" t="s">
        <v>1179</v>
      </c>
      <c r="K286" s="227">
        <v>46091.692361111112</v>
      </c>
      <c r="L286" s="227">
        <v>46091.746527777781</v>
      </c>
      <c r="M286" s="227">
        <v>46098.0625</v>
      </c>
      <c r="N286" s="227">
        <v>46094.723611111112</v>
      </c>
      <c r="O286" s="226" t="s">
        <v>1171</v>
      </c>
      <c r="P286" s="227">
        <v>46109.229166666664</v>
      </c>
      <c r="Q286" s="226">
        <v>2</v>
      </c>
      <c r="R286" s="226"/>
      <c r="S286" s="226">
        <v>2</v>
      </c>
      <c r="T286" s="226"/>
      <c r="U286" s="226" t="s">
        <v>1</v>
      </c>
      <c r="V286" s="226" t="s">
        <v>1</v>
      </c>
      <c r="W286" s="226" t="s">
        <v>1180</v>
      </c>
      <c r="X286" s="227">
        <v>46080.992361111108</v>
      </c>
      <c r="Y286" s="226" t="s">
        <v>1417</v>
      </c>
      <c r="Z286" s="226" t="s">
        <v>1692</v>
      </c>
      <c r="AA286" s="226" t="s">
        <v>1106</v>
      </c>
      <c r="AB286" s="226"/>
      <c r="AC286" s="226"/>
      <c r="AD286" s="226" t="s">
        <v>1696</v>
      </c>
      <c r="AE286" s="226" t="s">
        <v>1434</v>
      </c>
    </row>
    <row r="287" spans="1:31">
      <c r="A287" s="226" t="s">
        <v>1625</v>
      </c>
      <c r="B287" s="226" t="s">
        <v>1123</v>
      </c>
      <c r="C287" s="226" t="s">
        <v>50</v>
      </c>
      <c r="D287" s="226" t="s">
        <v>50</v>
      </c>
      <c r="E287" s="226">
        <v>4373652</v>
      </c>
      <c r="F287" s="226">
        <v>4421995</v>
      </c>
      <c r="G287" s="226" t="s">
        <v>787</v>
      </c>
      <c r="H287" s="226" t="s">
        <v>218</v>
      </c>
      <c r="I287" s="226" t="s">
        <v>1691</v>
      </c>
      <c r="J287" s="226" t="s">
        <v>1179</v>
      </c>
      <c r="K287" s="227">
        <v>46098</v>
      </c>
      <c r="L287" s="227">
        <v>46098.620138888888</v>
      </c>
      <c r="M287" s="227">
        <v>46101.229166666664</v>
      </c>
      <c r="N287" s="227">
        <v>46098.745833333334</v>
      </c>
      <c r="O287" s="226" t="s">
        <v>1171</v>
      </c>
      <c r="P287" s="227">
        <v>46109.229166666664</v>
      </c>
      <c r="Q287" s="226">
        <v>1.5</v>
      </c>
      <c r="R287" s="226"/>
      <c r="S287" s="226">
        <v>2</v>
      </c>
      <c r="T287" s="226"/>
      <c r="U287" s="226" t="s">
        <v>1</v>
      </c>
      <c r="V287" s="226" t="s">
        <v>1</v>
      </c>
      <c r="W287" s="226" t="s">
        <v>1180</v>
      </c>
      <c r="X287" s="227">
        <v>46092.680555555555</v>
      </c>
      <c r="Y287" s="226" t="s">
        <v>1620</v>
      </c>
      <c r="Z287" s="226" t="s">
        <v>1692</v>
      </c>
      <c r="AA287" s="226" t="s">
        <v>1106</v>
      </c>
      <c r="AB287" s="226"/>
      <c r="AC287" s="226"/>
      <c r="AD287" s="226" t="s">
        <v>1697</v>
      </c>
      <c r="AE287" s="226" t="s">
        <v>1434</v>
      </c>
    </row>
    <row r="288" spans="1:31">
      <c r="A288" s="226" t="s">
        <v>1625</v>
      </c>
      <c r="B288" s="226" t="s">
        <v>1123</v>
      </c>
      <c r="C288" s="226" t="s">
        <v>50</v>
      </c>
      <c r="D288" s="226" t="s">
        <v>50</v>
      </c>
      <c r="E288" s="226">
        <v>4373652</v>
      </c>
      <c r="F288" s="226">
        <v>4395036</v>
      </c>
      <c r="G288" s="226" t="s">
        <v>766</v>
      </c>
      <c r="H288" s="226" t="s">
        <v>218</v>
      </c>
      <c r="I288" s="226" t="s">
        <v>1691</v>
      </c>
      <c r="J288" s="226" t="s">
        <v>1179</v>
      </c>
      <c r="K288" s="227">
        <v>46091.229166666664</v>
      </c>
      <c r="L288" s="227">
        <v>46091.746527777781</v>
      </c>
      <c r="M288" s="227">
        <v>46098.229166666664</v>
      </c>
      <c r="N288" s="227">
        <v>46094.65</v>
      </c>
      <c r="O288" s="226" t="s">
        <v>1171</v>
      </c>
      <c r="P288" s="227">
        <v>46109.229166666664</v>
      </c>
      <c r="Q288" s="226">
        <v>1</v>
      </c>
      <c r="R288" s="226"/>
      <c r="S288" s="226">
        <v>2</v>
      </c>
      <c r="T288" s="226"/>
      <c r="U288" s="226" t="s">
        <v>1</v>
      </c>
      <c r="V288" s="226" t="s">
        <v>1</v>
      </c>
      <c r="W288" s="226" t="s">
        <v>1180</v>
      </c>
      <c r="X288" s="227">
        <v>46080.986805555556</v>
      </c>
      <c r="Y288" s="226" t="s">
        <v>1417</v>
      </c>
      <c r="Z288" s="226" t="s">
        <v>1692</v>
      </c>
      <c r="AA288" s="226" t="s">
        <v>1106</v>
      </c>
      <c r="AB288" s="226"/>
      <c r="AC288" s="226"/>
      <c r="AD288" s="226" t="s">
        <v>1698</v>
      </c>
      <c r="AE288" s="226" t="s">
        <v>1434</v>
      </c>
    </row>
    <row r="289" spans="1:31">
      <c r="A289" s="226" t="s">
        <v>1625</v>
      </c>
      <c r="B289" s="226" t="s">
        <v>1123</v>
      </c>
      <c r="C289" s="226" t="s">
        <v>50</v>
      </c>
      <c r="D289" s="226" t="s">
        <v>50</v>
      </c>
      <c r="E289" s="226">
        <v>4373652</v>
      </c>
      <c r="F289" s="226">
        <v>4373654</v>
      </c>
      <c r="G289" s="226" t="s">
        <v>621</v>
      </c>
      <c r="H289" s="226" t="s">
        <v>218</v>
      </c>
      <c r="I289" s="226" t="s">
        <v>1691</v>
      </c>
      <c r="J289" s="226" t="s">
        <v>1179</v>
      </c>
      <c r="K289" s="227">
        <v>46097.979166666664</v>
      </c>
      <c r="L289" s="227">
        <v>46097.229166666664</v>
      </c>
      <c r="M289" s="227">
        <v>46093.0625</v>
      </c>
      <c r="N289" s="227">
        <v>46098.693055555559</v>
      </c>
      <c r="O289" s="226" t="s">
        <v>1171</v>
      </c>
      <c r="P289" s="227">
        <v>46109.229166666664</v>
      </c>
      <c r="Q289" s="226">
        <v>3.4</v>
      </c>
      <c r="R289" s="226"/>
      <c r="S289" s="226">
        <v>2</v>
      </c>
      <c r="T289" s="226"/>
      <c r="U289" s="226" t="s">
        <v>1</v>
      </c>
      <c r="V289" s="226" t="s">
        <v>1</v>
      </c>
      <c r="W289" s="226" t="s">
        <v>1180</v>
      </c>
      <c r="X289" s="227">
        <v>46072.382638888892</v>
      </c>
      <c r="Y289" s="226" t="s">
        <v>1699</v>
      </c>
      <c r="Z289" s="226" t="s">
        <v>1692</v>
      </c>
      <c r="AA289" s="226" t="s">
        <v>1106</v>
      </c>
      <c r="AB289" s="226"/>
      <c r="AC289" s="226"/>
      <c r="AD289" s="226" t="s">
        <v>1285</v>
      </c>
      <c r="AE289" s="226" t="s">
        <v>1434</v>
      </c>
    </row>
    <row r="290" spans="1:31">
      <c r="A290" s="226" t="s">
        <v>1625</v>
      </c>
      <c r="B290" s="226" t="s">
        <v>1123</v>
      </c>
      <c r="C290" s="226" t="s">
        <v>50</v>
      </c>
      <c r="D290" s="226" t="s">
        <v>50</v>
      </c>
      <c r="E290" s="226">
        <v>4373652</v>
      </c>
      <c r="F290" s="226">
        <v>4373656</v>
      </c>
      <c r="G290" s="226" t="s">
        <v>1700</v>
      </c>
      <c r="H290" s="226" t="s">
        <v>218</v>
      </c>
      <c r="I290" s="226" t="s">
        <v>1691</v>
      </c>
      <c r="J290" s="226" t="s">
        <v>1179</v>
      </c>
      <c r="K290" s="227">
        <v>46092.979166666664</v>
      </c>
      <c r="L290" s="227">
        <v>46093.0625</v>
      </c>
      <c r="M290" s="227">
        <v>46094.229166666664</v>
      </c>
      <c r="N290" s="227">
        <v>46097.908333333333</v>
      </c>
      <c r="O290" s="226" t="s">
        <v>1171</v>
      </c>
      <c r="P290" s="227">
        <v>46109.229166666664</v>
      </c>
      <c r="Q290" s="226">
        <v>3.4</v>
      </c>
      <c r="R290" s="226"/>
      <c r="S290" s="226">
        <v>3</v>
      </c>
      <c r="T290" s="226"/>
      <c r="U290" s="226" t="s">
        <v>1</v>
      </c>
      <c r="V290" s="226" t="s">
        <v>1</v>
      </c>
      <c r="W290" s="226" t="s">
        <v>1180</v>
      </c>
      <c r="X290" s="227">
        <v>46072.385416666664</v>
      </c>
      <c r="Y290" s="226" t="s">
        <v>1701</v>
      </c>
      <c r="Z290" s="226" t="s">
        <v>1692</v>
      </c>
      <c r="AA290" s="226" t="s">
        <v>1106</v>
      </c>
      <c r="AB290" s="226"/>
      <c r="AC290" s="226"/>
      <c r="AD290" s="226" t="s">
        <v>1702</v>
      </c>
      <c r="AE290" s="226" t="s">
        <v>1434</v>
      </c>
    </row>
    <row r="291" spans="1:31">
      <c r="A291" s="226" t="s">
        <v>1623</v>
      </c>
      <c r="B291" s="226" t="s">
        <v>1123</v>
      </c>
      <c r="C291" s="226" t="s">
        <v>50</v>
      </c>
      <c r="D291" s="226" t="s">
        <v>50</v>
      </c>
      <c r="E291" s="226">
        <v>4395058</v>
      </c>
      <c r="F291" s="226">
        <v>4373657</v>
      </c>
      <c r="G291" s="226" t="s">
        <v>626</v>
      </c>
      <c r="H291" s="226" t="s">
        <v>218</v>
      </c>
      <c r="I291" s="226" t="s">
        <v>1691</v>
      </c>
      <c r="J291" s="226" t="s">
        <v>1179</v>
      </c>
      <c r="K291" s="227">
        <v>46093.229166666664</v>
      </c>
      <c r="L291" s="227">
        <v>46093.229166666664</v>
      </c>
      <c r="M291" s="227">
        <v>46095.0625</v>
      </c>
      <c r="N291" s="227">
        <v>46097.90902777778</v>
      </c>
      <c r="O291" s="226" t="s">
        <v>1171</v>
      </c>
      <c r="P291" s="227">
        <v>46109.229166666664</v>
      </c>
      <c r="Q291" s="226">
        <v>2</v>
      </c>
      <c r="R291" s="226"/>
      <c r="S291" s="226">
        <v>2</v>
      </c>
      <c r="T291" s="226"/>
      <c r="U291" s="226" t="s">
        <v>1</v>
      </c>
      <c r="V291" s="226" t="s">
        <v>1</v>
      </c>
      <c r="W291" s="226" t="s">
        <v>1180</v>
      </c>
      <c r="X291" s="227">
        <v>46072.387499999997</v>
      </c>
      <c r="Y291" s="226" t="s">
        <v>1701</v>
      </c>
      <c r="Z291" s="226" t="s">
        <v>1692</v>
      </c>
      <c r="AA291" s="226" t="s">
        <v>1106</v>
      </c>
      <c r="AB291" s="226"/>
      <c r="AC291" s="226"/>
      <c r="AD291" s="226" t="s">
        <v>1703</v>
      </c>
      <c r="AE291" s="226" t="s">
        <v>1434</v>
      </c>
    </row>
    <row r="292" spans="1:31">
      <c r="A292" s="226" t="s">
        <v>1704</v>
      </c>
      <c r="B292" s="226" t="s">
        <v>1123</v>
      </c>
      <c r="C292" s="226" t="s">
        <v>1159</v>
      </c>
      <c r="D292" s="226" t="s">
        <v>1705</v>
      </c>
      <c r="E292" s="226">
        <v>4319034</v>
      </c>
      <c r="F292" s="226">
        <v>4394234</v>
      </c>
      <c r="G292" s="226" t="s">
        <v>995</v>
      </c>
      <c r="H292" s="226" t="s">
        <v>1347</v>
      </c>
      <c r="I292" s="226" t="s">
        <v>1706</v>
      </c>
      <c r="J292" s="226" t="s">
        <v>1707</v>
      </c>
      <c r="K292" s="227">
        <v>46085.228472222225</v>
      </c>
      <c r="L292" s="227">
        <v>46085.228472222225</v>
      </c>
      <c r="M292" s="227">
        <v>46094.229166666664</v>
      </c>
      <c r="N292" s="227">
        <v>46094.229166666664</v>
      </c>
      <c r="O292" s="226" t="s">
        <v>1708</v>
      </c>
      <c r="P292" s="227">
        <v>46109.229166666664</v>
      </c>
      <c r="Q292" s="226">
        <v>5</v>
      </c>
      <c r="R292" s="226"/>
      <c r="S292" s="226">
        <v>2</v>
      </c>
      <c r="T292" s="226"/>
      <c r="U292" s="226" t="s">
        <v>1</v>
      </c>
      <c r="V292" s="226" t="s">
        <v>1</v>
      </c>
      <c r="W292" s="226" t="s">
        <v>1708</v>
      </c>
      <c r="X292" s="227">
        <v>46080.558333333334</v>
      </c>
      <c r="Y292" s="226" t="s">
        <v>1665</v>
      </c>
      <c r="Z292" s="226" t="s">
        <v>1709</v>
      </c>
      <c r="AA292" s="226" t="s">
        <v>1425</v>
      </c>
      <c r="AB292" s="226"/>
      <c r="AC292" s="226"/>
      <c r="AD292" s="226" t="s">
        <v>1668</v>
      </c>
      <c r="AE292" s="226" t="s">
        <v>1669</v>
      </c>
    </row>
    <row r="293" spans="1:31">
      <c r="A293" s="226" t="s">
        <v>1710</v>
      </c>
      <c r="B293" s="226" t="s">
        <v>1123</v>
      </c>
      <c r="C293" s="226" t="s">
        <v>1159</v>
      </c>
      <c r="D293" s="226" t="s">
        <v>1711</v>
      </c>
      <c r="E293" s="226">
        <v>4161205</v>
      </c>
      <c r="F293" s="226">
        <v>4391266</v>
      </c>
      <c r="G293" s="226" t="s">
        <v>994</v>
      </c>
      <c r="H293" s="226" t="s">
        <v>1347</v>
      </c>
      <c r="I293" s="226" t="s">
        <v>1706</v>
      </c>
      <c r="J293" s="226" t="s">
        <v>1707</v>
      </c>
      <c r="K293" s="227">
        <v>46093.228472222225</v>
      </c>
      <c r="L293" s="227">
        <v>46093.228472222225</v>
      </c>
      <c r="M293" s="227">
        <v>46098.229166666664</v>
      </c>
      <c r="N293" s="227">
        <v>46098.229166666664</v>
      </c>
      <c r="O293" s="226" t="s">
        <v>1708</v>
      </c>
      <c r="P293" s="227">
        <v>46109.229166666664</v>
      </c>
      <c r="Q293" s="226">
        <v>3</v>
      </c>
      <c r="R293" s="226"/>
      <c r="S293" s="226">
        <v>2</v>
      </c>
      <c r="T293" s="226"/>
      <c r="U293" s="226" t="s">
        <v>1</v>
      </c>
      <c r="V293" s="226" t="s">
        <v>1</v>
      </c>
      <c r="W293" s="226" t="s">
        <v>1664</v>
      </c>
      <c r="X293" s="227">
        <v>46078.48541666667</v>
      </c>
      <c r="Y293" s="226" t="s">
        <v>1665</v>
      </c>
      <c r="Z293" s="226" t="s">
        <v>1709</v>
      </c>
      <c r="AA293" s="226" t="s">
        <v>1425</v>
      </c>
      <c r="AB293" s="226"/>
      <c r="AC293" s="226"/>
      <c r="AD293" s="226" t="s">
        <v>1668</v>
      </c>
      <c r="AE293" s="226" t="s">
        <v>1669</v>
      </c>
    </row>
    <row r="294" spans="1:31">
      <c r="A294" s="226" t="s">
        <v>1712</v>
      </c>
      <c r="B294" s="226" t="s">
        <v>1123</v>
      </c>
      <c r="C294" s="226" t="s">
        <v>1159</v>
      </c>
      <c r="D294" s="226" t="s">
        <v>1713</v>
      </c>
      <c r="E294" s="226">
        <v>4120361</v>
      </c>
      <c r="F294" s="226">
        <v>4390214</v>
      </c>
      <c r="G294" s="226" t="s">
        <v>1040</v>
      </c>
      <c r="H294" s="226" t="s">
        <v>1714</v>
      </c>
      <c r="I294" s="226" t="s">
        <v>1706</v>
      </c>
      <c r="J294" s="226" t="s">
        <v>1707</v>
      </c>
      <c r="K294" s="227">
        <v>46080.677083333336</v>
      </c>
      <c r="L294" s="227">
        <v>46080.677083333336</v>
      </c>
      <c r="M294" s="227">
        <v>46098.229166666664</v>
      </c>
      <c r="N294" s="227">
        <v>46098.229166666664</v>
      </c>
      <c r="O294" s="226" t="s">
        <v>1715</v>
      </c>
      <c r="P294" s="227">
        <v>46109.229166666664</v>
      </c>
      <c r="Q294" s="226">
        <v>2</v>
      </c>
      <c r="R294" s="226"/>
      <c r="S294" s="226">
        <v>2</v>
      </c>
      <c r="T294" s="226"/>
      <c r="U294" s="226" t="s">
        <v>1</v>
      </c>
      <c r="V294" s="226" t="s">
        <v>1</v>
      </c>
      <c r="W294" s="226" t="s">
        <v>1664</v>
      </c>
      <c r="X294" s="227">
        <v>46077.70416666667</v>
      </c>
      <c r="Y294" s="226" t="s">
        <v>1665</v>
      </c>
      <c r="Z294" s="226" t="s">
        <v>1709</v>
      </c>
      <c r="AA294" s="226" t="s">
        <v>1425</v>
      </c>
      <c r="AB294" s="226"/>
      <c r="AC294" s="226"/>
      <c r="AD294" s="226" t="s">
        <v>1668</v>
      </c>
      <c r="AE294" s="226" t="s">
        <v>1669</v>
      </c>
    </row>
    <row r="295" spans="1:31">
      <c r="A295" s="226" t="s">
        <v>1716</v>
      </c>
      <c r="B295" s="226" t="s">
        <v>1123</v>
      </c>
      <c r="C295" s="226" t="s">
        <v>1159</v>
      </c>
      <c r="D295" s="226" t="s">
        <v>1717</v>
      </c>
      <c r="E295" s="226">
        <v>4319026</v>
      </c>
      <c r="F295" s="226">
        <v>4390028</v>
      </c>
      <c r="G295" s="226" t="s">
        <v>992</v>
      </c>
      <c r="H295" s="226" t="s">
        <v>1347</v>
      </c>
      <c r="I295" s="226" t="s">
        <v>1706</v>
      </c>
      <c r="J295" s="226" t="s">
        <v>1707</v>
      </c>
      <c r="K295" s="227">
        <v>46083.6875</v>
      </c>
      <c r="L295" s="227">
        <v>46083.6875</v>
      </c>
      <c r="M295" s="227">
        <v>46094.229166666664</v>
      </c>
      <c r="N295" s="227">
        <v>46094.229166666664</v>
      </c>
      <c r="O295" s="226" t="s">
        <v>1708</v>
      </c>
      <c r="P295" s="227">
        <v>46109.229166666664</v>
      </c>
      <c r="Q295" s="226">
        <v>2</v>
      </c>
      <c r="R295" s="226"/>
      <c r="S295" s="226">
        <v>2</v>
      </c>
      <c r="T295" s="226"/>
      <c r="U295" s="226" t="s">
        <v>1</v>
      </c>
      <c r="V295" s="226" t="s">
        <v>1</v>
      </c>
      <c r="W295" s="226" t="s">
        <v>1664</v>
      </c>
      <c r="X295" s="227">
        <v>46077.584027777775</v>
      </c>
      <c r="Y295" s="226" t="s">
        <v>1665</v>
      </c>
      <c r="Z295" s="226" t="s">
        <v>1709</v>
      </c>
      <c r="AA295" s="226" t="s">
        <v>1425</v>
      </c>
      <c r="AB295" s="226"/>
      <c r="AC295" s="226"/>
      <c r="AD295" s="226" t="s">
        <v>1668</v>
      </c>
      <c r="AE295" s="226" t="s">
        <v>1669</v>
      </c>
    </row>
    <row r="296" spans="1:31">
      <c r="A296" s="226" t="s">
        <v>1718</v>
      </c>
      <c r="B296" s="226" t="s">
        <v>1123</v>
      </c>
      <c r="C296" s="226" t="s">
        <v>1159</v>
      </c>
      <c r="D296" s="226" t="s">
        <v>1719</v>
      </c>
      <c r="E296" s="226">
        <v>4160933</v>
      </c>
      <c r="F296" s="226">
        <v>4339288</v>
      </c>
      <c r="G296" s="226" t="s">
        <v>984</v>
      </c>
      <c r="H296" s="226" t="s">
        <v>866</v>
      </c>
      <c r="I296" s="226" t="s">
        <v>1706</v>
      </c>
      <c r="J296" s="226" t="s">
        <v>1707</v>
      </c>
      <c r="K296" s="227">
        <v>46088.228472222225</v>
      </c>
      <c r="L296" s="227">
        <v>46088.228472222225</v>
      </c>
      <c r="M296" s="227">
        <v>46098.229166666664</v>
      </c>
      <c r="N296" s="227">
        <v>46098.229166666664</v>
      </c>
      <c r="O296" s="226" t="s">
        <v>1708</v>
      </c>
      <c r="P296" s="227">
        <v>46109.229166666664</v>
      </c>
      <c r="Q296" s="226">
        <v>3</v>
      </c>
      <c r="R296" s="226"/>
      <c r="S296" s="226">
        <v>2</v>
      </c>
      <c r="T296" s="226"/>
      <c r="U296" s="226" t="s">
        <v>1</v>
      </c>
      <c r="V296" s="226" t="s">
        <v>1</v>
      </c>
      <c r="W296" s="226" t="s">
        <v>1664</v>
      </c>
      <c r="X296" s="227">
        <v>46049.659722222219</v>
      </c>
      <c r="Y296" s="226" t="s">
        <v>1665</v>
      </c>
      <c r="Z296" s="226" t="s">
        <v>1709</v>
      </c>
      <c r="AA296" s="226" t="s">
        <v>1425</v>
      </c>
      <c r="AB296" s="226"/>
      <c r="AC296" s="226"/>
      <c r="AD296" s="226" t="s">
        <v>1668</v>
      </c>
      <c r="AE296" s="226" t="s">
        <v>1669</v>
      </c>
    </row>
    <row r="297" spans="1:31">
      <c r="A297" s="226" t="s">
        <v>1710</v>
      </c>
      <c r="B297" s="226" t="s">
        <v>1123</v>
      </c>
      <c r="C297" s="226" t="s">
        <v>1159</v>
      </c>
      <c r="D297" s="226" t="s">
        <v>1720</v>
      </c>
      <c r="E297" s="226">
        <v>4161205</v>
      </c>
      <c r="F297" s="226">
        <v>4356224</v>
      </c>
      <c r="G297" s="226" t="s">
        <v>985</v>
      </c>
      <c r="H297" s="226" t="s">
        <v>866</v>
      </c>
      <c r="I297" s="226" t="s">
        <v>1706</v>
      </c>
      <c r="J297" s="226" t="s">
        <v>1707</v>
      </c>
      <c r="K297" s="227">
        <v>46085.228472222225</v>
      </c>
      <c r="L297" s="227">
        <v>46085.228472222225</v>
      </c>
      <c r="M297" s="227">
        <v>46098.229166666664</v>
      </c>
      <c r="N297" s="227">
        <v>46098.229166666664</v>
      </c>
      <c r="O297" s="226" t="s">
        <v>1708</v>
      </c>
      <c r="P297" s="227">
        <v>46109.229166666664</v>
      </c>
      <c r="Q297" s="226">
        <v>3</v>
      </c>
      <c r="R297" s="226"/>
      <c r="S297" s="226">
        <v>3</v>
      </c>
      <c r="T297" s="226"/>
      <c r="U297" s="226" t="s">
        <v>1</v>
      </c>
      <c r="V297" s="226" t="s">
        <v>1</v>
      </c>
      <c r="W297" s="226" t="s">
        <v>1664</v>
      </c>
      <c r="X297" s="227">
        <v>46058.588888888888</v>
      </c>
      <c r="Y297" s="226" t="s">
        <v>1721</v>
      </c>
      <c r="Z297" s="226" t="s">
        <v>1709</v>
      </c>
      <c r="AA297" s="226" t="s">
        <v>1425</v>
      </c>
      <c r="AB297" s="226"/>
      <c r="AC297" s="226"/>
      <c r="AD297" s="226" t="s">
        <v>1668</v>
      </c>
      <c r="AE297" s="226" t="s">
        <v>1669</v>
      </c>
    </row>
    <row r="298" spans="1:31">
      <c r="A298" s="226" t="s">
        <v>1710</v>
      </c>
      <c r="B298" s="226" t="s">
        <v>1123</v>
      </c>
      <c r="C298" s="226" t="s">
        <v>1159</v>
      </c>
      <c r="D298" s="226" t="s">
        <v>1722</v>
      </c>
      <c r="E298" s="226">
        <v>4161205</v>
      </c>
      <c r="F298" s="226">
        <v>4173346</v>
      </c>
      <c r="G298" s="226" t="s">
        <v>981</v>
      </c>
      <c r="H298" s="226" t="s">
        <v>866</v>
      </c>
      <c r="I298" s="226" t="s">
        <v>1706</v>
      </c>
      <c r="J298" s="226" t="s">
        <v>1707</v>
      </c>
      <c r="K298" s="227">
        <v>46094.228472222225</v>
      </c>
      <c r="L298" s="227">
        <v>46094.228472222225</v>
      </c>
      <c r="M298" s="227">
        <v>46100.805555555555</v>
      </c>
      <c r="N298" s="227">
        <v>46100.805555555555</v>
      </c>
      <c r="O298" s="226" t="s">
        <v>1708</v>
      </c>
      <c r="P298" s="227">
        <v>46109.229166666664</v>
      </c>
      <c r="Q298" s="226">
        <v>3</v>
      </c>
      <c r="R298" s="226"/>
      <c r="S298" s="226">
        <v>2</v>
      </c>
      <c r="T298" s="226"/>
      <c r="U298" s="226" t="s">
        <v>1</v>
      </c>
      <c r="V298" s="226" t="s">
        <v>1</v>
      </c>
      <c r="W298" s="226" t="s">
        <v>1723</v>
      </c>
      <c r="X298" s="227">
        <v>45946.474999999999</v>
      </c>
      <c r="Y298" s="226" t="s">
        <v>1721</v>
      </c>
      <c r="Z298" s="226" t="s">
        <v>1709</v>
      </c>
      <c r="AA298" s="226" t="s">
        <v>1425</v>
      </c>
      <c r="AB298" s="226"/>
      <c r="AC298" s="226"/>
      <c r="AD298" s="226" t="s">
        <v>1668</v>
      </c>
      <c r="AE298" s="226" t="s">
        <v>1669</v>
      </c>
    </row>
    <row r="299" spans="1:31">
      <c r="A299" s="226" t="s">
        <v>1457</v>
      </c>
      <c r="B299" s="226" t="s">
        <v>1123</v>
      </c>
      <c r="C299" s="226" t="s">
        <v>1094</v>
      </c>
      <c r="D299" s="226" t="s">
        <v>44</v>
      </c>
      <c r="E299" s="226">
        <v>4223629</v>
      </c>
      <c r="F299" s="226">
        <v>4177442</v>
      </c>
      <c r="G299" s="226" t="s">
        <v>674</v>
      </c>
      <c r="H299" s="226" t="s">
        <v>218</v>
      </c>
      <c r="I299" s="226" t="s">
        <v>1724</v>
      </c>
      <c r="J299" s="226" t="s">
        <v>1170</v>
      </c>
      <c r="K299" s="227">
        <v>46084.145833333336</v>
      </c>
      <c r="L299" s="227">
        <v>46085.770833333336</v>
      </c>
      <c r="M299" s="227">
        <v>46087.229166666664</v>
      </c>
      <c r="N299" s="227">
        <v>46088.013194444444</v>
      </c>
      <c r="O299" s="226" t="s">
        <v>1171</v>
      </c>
      <c r="P299" s="227">
        <v>46109.229166666664</v>
      </c>
      <c r="Q299" s="226">
        <v>5</v>
      </c>
      <c r="R299" s="226"/>
      <c r="S299" s="226">
        <v>2</v>
      </c>
      <c r="T299" s="226"/>
      <c r="U299" s="226" t="s">
        <v>1</v>
      </c>
      <c r="V299" s="226" t="s">
        <v>1</v>
      </c>
      <c r="W299" s="226" t="s">
        <v>1180</v>
      </c>
      <c r="X299" s="227">
        <v>45952.375694444447</v>
      </c>
      <c r="Y299" s="226" t="s">
        <v>1725</v>
      </c>
      <c r="Z299" s="226" t="s">
        <v>1726</v>
      </c>
      <c r="AA299" s="226" t="s">
        <v>1106</v>
      </c>
      <c r="AB299" s="226"/>
      <c r="AC299" s="226"/>
      <c r="AD299" s="226" t="s">
        <v>1460</v>
      </c>
      <c r="AE299" s="226" t="s">
        <v>1176</v>
      </c>
    </row>
    <row r="300" spans="1:31">
      <c r="A300" s="226" t="s">
        <v>1457</v>
      </c>
      <c r="B300" s="226" t="s">
        <v>1123</v>
      </c>
      <c r="C300" s="226" t="s">
        <v>1094</v>
      </c>
      <c r="D300" s="226" t="s">
        <v>44</v>
      </c>
      <c r="E300" s="226">
        <v>4223629</v>
      </c>
      <c r="F300" s="226">
        <v>4177443</v>
      </c>
      <c r="G300" s="226" t="s">
        <v>675</v>
      </c>
      <c r="H300" s="226" t="s">
        <v>218</v>
      </c>
      <c r="I300" s="226" t="s">
        <v>1724</v>
      </c>
      <c r="J300" s="226" t="s">
        <v>1170</v>
      </c>
      <c r="K300" s="227">
        <v>46084.145833333336</v>
      </c>
      <c r="L300" s="227">
        <v>46084.229166666664</v>
      </c>
      <c r="M300" s="227">
        <v>46087.229166666664</v>
      </c>
      <c r="N300" s="227">
        <v>46088.013194444444</v>
      </c>
      <c r="O300" s="226" t="s">
        <v>1171</v>
      </c>
      <c r="P300" s="227">
        <v>46109.229166666664</v>
      </c>
      <c r="Q300" s="226">
        <v>2</v>
      </c>
      <c r="R300" s="226"/>
      <c r="S300" s="226">
        <v>2</v>
      </c>
      <c r="T300" s="226"/>
      <c r="U300" s="226" t="s">
        <v>1</v>
      </c>
      <c r="V300" s="226" t="s">
        <v>1</v>
      </c>
      <c r="W300" s="226" t="s">
        <v>1180</v>
      </c>
      <c r="X300" s="227">
        <v>45952.37777777778</v>
      </c>
      <c r="Y300" s="226" t="s">
        <v>1725</v>
      </c>
      <c r="Z300" s="226" t="s">
        <v>1726</v>
      </c>
      <c r="AA300" s="226" t="s">
        <v>1106</v>
      </c>
      <c r="AB300" s="226"/>
      <c r="AC300" s="226"/>
      <c r="AD300" s="226" t="s">
        <v>1460</v>
      </c>
      <c r="AE300" s="226" t="s">
        <v>1176</v>
      </c>
    </row>
    <row r="301" spans="1:31">
      <c r="A301" s="226" t="s">
        <v>1457</v>
      </c>
      <c r="B301" s="226" t="s">
        <v>1123</v>
      </c>
      <c r="C301" s="226" t="s">
        <v>1094</v>
      </c>
      <c r="D301" s="226" t="s">
        <v>44</v>
      </c>
      <c r="E301" s="226">
        <v>4223629</v>
      </c>
      <c r="F301" s="226">
        <v>4183206</v>
      </c>
      <c r="G301" s="226" t="s">
        <v>677</v>
      </c>
      <c r="H301" s="226" t="s">
        <v>218</v>
      </c>
      <c r="I301" s="226" t="s">
        <v>1724</v>
      </c>
      <c r="J301" s="226" t="s">
        <v>1170</v>
      </c>
      <c r="K301" s="227">
        <v>46084.145833333336</v>
      </c>
      <c r="L301" s="227">
        <v>46084.763888888891</v>
      </c>
      <c r="M301" s="227">
        <v>46087.229166666664</v>
      </c>
      <c r="N301" s="227">
        <v>46088.084722222222</v>
      </c>
      <c r="O301" s="226" t="s">
        <v>1171</v>
      </c>
      <c r="P301" s="227">
        <v>46109.229166666664</v>
      </c>
      <c r="Q301" s="226">
        <v>3</v>
      </c>
      <c r="R301" s="226"/>
      <c r="S301" s="226">
        <v>2</v>
      </c>
      <c r="T301" s="226"/>
      <c r="U301" s="226" t="s">
        <v>1</v>
      </c>
      <c r="V301" s="226" t="s">
        <v>1</v>
      </c>
      <c r="W301" s="226" t="s">
        <v>1180</v>
      </c>
      <c r="X301" s="227">
        <v>45955.873611111114</v>
      </c>
      <c r="Y301" s="226" t="s">
        <v>1725</v>
      </c>
      <c r="Z301" s="226" t="s">
        <v>1726</v>
      </c>
      <c r="AA301" s="226" t="s">
        <v>1106</v>
      </c>
      <c r="AB301" s="226"/>
      <c r="AC301" s="226"/>
      <c r="AD301" s="226" t="s">
        <v>1460</v>
      </c>
      <c r="AE301" s="226" t="s">
        <v>1176</v>
      </c>
    </row>
    <row r="302" spans="1:31">
      <c r="A302" s="226" t="s">
        <v>1457</v>
      </c>
      <c r="B302" s="226" t="s">
        <v>1123</v>
      </c>
      <c r="C302" s="226" t="s">
        <v>1094</v>
      </c>
      <c r="D302" s="226" t="s">
        <v>44</v>
      </c>
      <c r="E302" s="226">
        <v>4223629</v>
      </c>
      <c r="F302" s="226">
        <v>4183207</v>
      </c>
      <c r="G302" s="226" t="s">
        <v>678</v>
      </c>
      <c r="H302" s="226" t="s">
        <v>218</v>
      </c>
      <c r="I302" s="226" t="s">
        <v>1724</v>
      </c>
      <c r="J302" s="226" t="s">
        <v>1170</v>
      </c>
      <c r="K302" s="227">
        <v>46084.145833333336</v>
      </c>
      <c r="L302" s="227">
        <v>46084.770833333336</v>
      </c>
      <c r="M302" s="227">
        <v>46091.229166666664</v>
      </c>
      <c r="N302" s="227">
        <v>46091.790972222225</v>
      </c>
      <c r="O302" s="226" t="s">
        <v>1171</v>
      </c>
      <c r="P302" s="227">
        <v>46109.229166666664</v>
      </c>
      <c r="Q302" s="226">
        <v>3</v>
      </c>
      <c r="R302" s="226"/>
      <c r="S302" s="226">
        <v>2</v>
      </c>
      <c r="T302" s="226"/>
      <c r="U302" s="226" t="s">
        <v>1</v>
      </c>
      <c r="V302" s="226" t="s">
        <v>1</v>
      </c>
      <c r="W302" s="226" t="s">
        <v>1180</v>
      </c>
      <c r="X302" s="227">
        <v>45955.874305555553</v>
      </c>
      <c r="Y302" s="226" t="s">
        <v>1727</v>
      </c>
      <c r="Z302" s="226" t="s">
        <v>1726</v>
      </c>
      <c r="AA302" s="226" t="s">
        <v>1106</v>
      </c>
      <c r="AB302" s="226"/>
      <c r="AC302" s="226"/>
      <c r="AD302" s="226" t="s">
        <v>1460</v>
      </c>
      <c r="AE302" s="226" t="s">
        <v>1176</v>
      </c>
    </row>
    <row r="303" spans="1:31">
      <c r="A303" s="226" t="s">
        <v>1457</v>
      </c>
      <c r="B303" s="226" t="s">
        <v>1123</v>
      </c>
      <c r="C303" s="226" t="s">
        <v>1094</v>
      </c>
      <c r="D303" s="226" t="s">
        <v>44</v>
      </c>
      <c r="E303" s="226">
        <v>4223629</v>
      </c>
      <c r="F303" s="226">
        <v>4223630</v>
      </c>
      <c r="G303" s="226" t="s">
        <v>679</v>
      </c>
      <c r="H303" s="226" t="s">
        <v>218</v>
      </c>
      <c r="I303" s="226" t="s">
        <v>1724</v>
      </c>
      <c r="J303" s="226" t="s">
        <v>1170</v>
      </c>
      <c r="K303" s="227">
        <v>46084.145833333336</v>
      </c>
      <c r="L303" s="227">
        <v>46084.761111111111</v>
      </c>
      <c r="M303" s="227">
        <v>46087.020833333336</v>
      </c>
      <c r="N303" s="227">
        <v>46087.032638888886</v>
      </c>
      <c r="O303" s="226" t="s">
        <v>1171</v>
      </c>
      <c r="P303" s="227">
        <v>46109.229166666664</v>
      </c>
      <c r="Q303" s="226">
        <v>3</v>
      </c>
      <c r="R303" s="226"/>
      <c r="S303" s="226">
        <v>2</v>
      </c>
      <c r="T303" s="226"/>
      <c r="U303" s="226" t="s">
        <v>1</v>
      </c>
      <c r="V303" s="226" t="s">
        <v>1</v>
      </c>
      <c r="W303" s="226" t="s">
        <v>1180</v>
      </c>
      <c r="X303" s="227">
        <v>45961.343055555553</v>
      </c>
      <c r="Y303" s="226" t="s">
        <v>1725</v>
      </c>
      <c r="Z303" s="226" t="s">
        <v>1726</v>
      </c>
      <c r="AA303" s="226" t="s">
        <v>1106</v>
      </c>
      <c r="AB303" s="226"/>
      <c r="AC303" s="226"/>
      <c r="AD303" s="226" t="s">
        <v>1460</v>
      </c>
      <c r="AE303" s="226" t="s">
        <v>1176</v>
      </c>
    </row>
    <row r="304" spans="1:31">
      <c r="A304" s="226" t="s">
        <v>1457</v>
      </c>
      <c r="B304" s="226" t="s">
        <v>1123</v>
      </c>
      <c r="C304" s="226" t="s">
        <v>1094</v>
      </c>
      <c r="D304" s="226" t="s">
        <v>1728</v>
      </c>
      <c r="E304" s="226">
        <v>4223629</v>
      </c>
      <c r="F304" s="226">
        <v>4240152</v>
      </c>
      <c r="G304" s="226" t="s">
        <v>680</v>
      </c>
      <c r="H304" s="226" t="s">
        <v>218</v>
      </c>
      <c r="I304" s="226" t="s">
        <v>1724</v>
      </c>
      <c r="J304" s="226" t="s">
        <v>1170</v>
      </c>
      <c r="K304" s="227">
        <v>46084.145833333336</v>
      </c>
      <c r="L304" s="227">
        <v>46084.761805555558</v>
      </c>
      <c r="M304" s="227">
        <v>46087.020833333336</v>
      </c>
      <c r="N304" s="227">
        <v>46087.034722222219</v>
      </c>
      <c r="O304" s="226" t="s">
        <v>1171</v>
      </c>
      <c r="P304" s="227">
        <v>46109.229166666664</v>
      </c>
      <c r="Q304" s="226">
        <v>5</v>
      </c>
      <c r="R304" s="226"/>
      <c r="S304" s="226">
        <v>2</v>
      </c>
      <c r="T304" s="226"/>
      <c r="U304" s="226" t="s">
        <v>1</v>
      </c>
      <c r="V304" s="226" t="s">
        <v>1</v>
      </c>
      <c r="W304" s="226" t="s">
        <v>1180</v>
      </c>
      <c r="X304" s="227">
        <v>45978.947222222225</v>
      </c>
      <c r="Y304" s="226" t="s">
        <v>1725</v>
      </c>
      <c r="Z304" s="226" t="s">
        <v>1726</v>
      </c>
      <c r="AA304" s="226" t="s">
        <v>1106</v>
      </c>
      <c r="AB304" s="226"/>
      <c r="AC304" s="226"/>
      <c r="AD304" s="226" t="s">
        <v>1460</v>
      </c>
      <c r="AE304" s="226" t="s">
        <v>1176</v>
      </c>
    </row>
    <row r="305" spans="1:31">
      <c r="A305" s="226" t="s">
        <v>1457</v>
      </c>
      <c r="B305" s="226" t="s">
        <v>1123</v>
      </c>
      <c r="C305" s="226" t="s">
        <v>1094</v>
      </c>
      <c r="D305" s="226" t="s">
        <v>44</v>
      </c>
      <c r="E305" s="226">
        <v>4223629</v>
      </c>
      <c r="F305" s="226">
        <v>4240153</v>
      </c>
      <c r="G305" s="226" t="s">
        <v>681</v>
      </c>
      <c r="H305" s="226" t="s">
        <v>218</v>
      </c>
      <c r="I305" s="226" t="s">
        <v>1724</v>
      </c>
      <c r="J305" s="226" t="s">
        <v>1170</v>
      </c>
      <c r="K305" s="227">
        <v>46084.145833333336</v>
      </c>
      <c r="L305" s="227">
        <v>46084.770833333336</v>
      </c>
      <c r="M305" s="227">
        <v>46091.229166666664</v>
      </c>
      <c r="N305" s="227">
        <v>46091.792361111111</v>
      </c>
      <c r="O305" s="226" t="s">
        <v>1171</v>
      </c>
      <c r="P305" s="227">
        <v>46109.229166666664</v>
      </c>
      <c r="Q305" s="226">
        <v>3</v>
      </c>
      <c r="R305" s="226"/>
      <c r="S305" s="226">
        <v>2</v>
      </c>
      <c r="T305" s="226"/>
      <c r="U305" s="226" t="s">
        <v>1</v>
      </c>
      <c r="V305" s="226" t="s">
        <v>1</v>
      </c>
      <c r="W305" s="226" t="s">
        <v>1180</v>
      </c>
      <c r="X305" s="227">
        <v>45978.950694444444</v>
      </c>
      <c r="Y305" s="226" t="s">
        <v>1729</v>
      </c>
      <c r="Z305" s="226" t="s">
        <v>1726</v>
      </c>
      <c r="AA305" s="226" t="s">
        <v>1106</v>
      </c>
      <c r="AB305" s="226"/>
      <c r="AC305" s="226"/>
      <c r="AD305" s="226" t="s">
        <v>1460</v>
      </c>
      <c r="AE305" s="226" t="s">
        <v>1176</v>
      </c>
    </row>
    <row r="306" spans="1:31">
      <c r="A306" s="226" t="s">
        <v>1457</v>
      </c>
      <c r="B306" s="226" t="s">
        <v>1123</v>
      </c>
      <c r="C306" s="226" t="s">
        <v>1094</v>
      </c>
      <c r="D306" s="226" t="s">
        <v>44</v>
      </c>
      <c r="E306" s="226">
        <v>4223629</v>
      </c>
      <c r="F306" s="226">
        <v>4147645</v>
      </c>
      <c r="G306" s="226" t="s">
        <v>670</v>
      </c>
      <c r="H306" s="226" t="s">
        <v>218</v>
      </c>
      <c r="I306" s="226" t="s">
        <v>1724</v>
      </c>
      <c r="J306" s="226" t="s">
        <v>1170</v>
      </c>
      <c r="K306" s="227">
        <v>46084.145833333336</v>
      </c>
      <c r="L306" s="227">
        <v>46084.831944444442</v>
      </c>
      <c r="M306" s="227">
        <v>46087.229166666664</v>
      </c>
      <c r="N306" s="227">
        <v>46091.693055555559</v>
      </c>
      <c r="O306" s="226" t="s">
        <v>1171</v>
      </c>
      <c r="P306" s="227">
        <v>46109.229166666664</v>
      </c>
      <c r="Q306" s="226">
        <v>8</v>
      </c>
      <c r="R306" s="226"/>
      <c r="S306" s="226">
        <v>2</v>
      </c>
      <c r="T306" s="226"/>
      <c r="U306" s="226" t="s">
        <v>1</v>
      </c>
      <c r="V306" s="226" t="s">
        <v>1</v>
      </c>
      <c r="W306" s="226" t="s">
        <v>1180</v>
      </c>
      <c r="X306" s="227">
        <v>45925.39166666667</v>
      </c>
      <c r="Y306" s="226" t="s">
        <v>1725</v>
      </c>
      <c r="Z306" s="226" t="s">
        <v>1726</v>
      </c>
      <c r="AA306" s="226" t="s">
        <v>1106</v>
      </c>
      <c r="AB306" s="226"/>
      <c r="AC306" s="226"/>
      <c r="AD306" s="226" t="s">
        <v>1460</v>
      </c>
      <c r="AE306" s="226" t="s">
        <v>1176</v>
      </c>
    </row>
    <row r="307" spans="1:31">
      <c r="A307" s="226" t="s">
        <v>1457</v>
      </c>
      <c r="B307" s="226" t="s">
        <v>1123</v>
      </c>
      <c r="C307" s="226" t="s">
        <v>1094</v>
      </c>
      <c r="D307" s="226" t="s">
        <v>44</v>
      </c>
      <c r="E307" s="226">
        <v>4223629</v>
      </c>
      <c r="F307" s="226">
        <v>4147648</v>
      </c>
      <c r="G307" s="226" t="s">
        <v>672</v>
      </c>
      <c r="H307" s="226" t="s">
        <v>218</v>
      </c>
      <c r="I307" s="226" t="s">
        <v>1724</v>
      </c>
      <c r="J307" s="226" t="s">
        <v>1170</v>
      </c>
      <c r="K307" s="227">
        <v>46084.145833333336</v>
      </c>
      <c r="L307" s="227">
        <v>46084.831944444442</v>
      </c>
      <c r="M307" s="227">
        <v>46087.229166666664</v>
      </c>
      <c r="N307" s="227">
        <v>46086.14166666667</v>
      </c>
      <c r="O307" s="226" t="s">
        <v>1171</v>
      </c>
      <c r="P307" s="227">
        <v>46109.229166666664</v>
      </c>
      <c r="Q307" s="226">
        <v>5</v>
      </c>
      <c r="R307" s="226"/>
      <c r="S307" s="226">
        <v>2</v>
      </c>
      <c r="T307" s="226"/>
      <c r="U307" s="226" t="s">
        <v>1</v>
      </c>
      <c r="V307" s="226" t="s">
        <v>1</v>
      </c>
      <c r="W307" s="226" t="s">
        <v>1180</v>
      </c>
      <c r="X307" s="227">
        <v>45925.393055555556</v>
      </c>
      <c r="Y307" s="226" t="s">
        <v>1730</v>
      </c>
      <c r="Z307" s="226" t="s">
        <v>1726</v>
      </c>
      <c r="AA307" s="226" t="s">
        <v>1106</v>
      </c>
      <c r="AB307" s="226"/>
      <c r="AC307" s="226"/>
      <c r="AD307" s="226" t="s">
        <v>1460</v>
      </c>
      <c r="AE307" s="226" t="s">
        <v>1176</v>
      </c>
    </row>
    <row r="308" spans="1:31">
      <c r="A308" s="226" t="s">
        <v>1457</v>
      </c>
      <c r="B308" s="226" t="s">
        <v>1123</v>
      </c>
      <c r="C308" s="226" t="s">
        <v>1094</v>
      </c>
      <c r="D308" s="226" t="s">
        <v>44</v>
      </c>
      <c r="E308" s="226">
        <v>4223629</v>
      </c>
      <c r="F308" s="226">
        <v>4147649</v>
      </c>
      <c r="G308" s="226" t="s">
        <v>673</v>
      </c>
      <c r="H308" s="226" t="s">
        <v>218</v>
      </c>
      <c r="I308" s="226" t="s">
        <v>1724</v>
      </c>
      <c r="J308" s="226" t="s">
        <v>1170</v>
      </c>
      <c r="K308" s="227">
        <v>46084.145833333336</v>
      </c>
      <c r="L308" s="227">
        <v>46084.831250000003</v>
      </c>
      <c r="M308" s="227">
        <v>46087.229166666664</v>
      </c>
      <c r="N308" s="227">
        <v>46091.996527777781</v>
      </c>
      <c r="O308" s="226" t="s">
        <v>1171</v>
      </c>
      <c r="P308" s="227">
        <v>46109.229166666664</v>
      </c>
      <c r="Q308" s="226">
        <v>3</v>
      </c>
      <c r="R308" s="226"/>
      <c r="S308" s="226">
        <v>2</v>
      </c>
      <c r="T308" s="226"/>
      <c r="U308" s="226" t="s">
        <v>1</v>
      </c>
      <c r="V308" s="226" t="s">
        <v>1</v>
      </c>
      <c r="W308" s="226" t="s">
        <v>1180</v>
      </c>
      <c r="X308" s="227">
        <v>45925.394444444442</v>
      </c>
      <c r="Y308" s="226" t="s">
        <v>1725</v>
      </c>
      <c r="Z308" s="226" t="s">
        <v>1726</v>
      </c>
      <c r="AA308" s="226" t="s">
        <v>1106</v>
      </c>
      <c r="AB308" s="226"/>
      <c r="AC308" s="226"/>
      <c r="AD308" s="226" t="s">
        <v>1460</v>
      </c>
      <c r="AE308" s="226" t="s">
        <v>1176</v>
      </c>
    </row>
    <row r="309" spans="1:31">
      <c r="A309" s="226" t="s">
        <v>1457</v>
      </c>
      <c r="B309" s="226" t="s">
        <v>1123</v>
      </c>
      <c r="C309" s="226" t="s">
        <v>1094</v>
      </c>
      <c r="D309" s="226" t="s">
        <v>44</v>
      </c>
      <c r="E309" s="226">
        <v>4223629</v>
      </c>
      <c r="F309" s="226">
        <v>4105351</v>
      </c>
      <c r="G309" s="226" t="s">
        <v>653</v>
      </c>
      <c r="H309" s="226" t="s">
        <v>218</v>
      </c>
      <c r="I309" s="226" t="s">
        <v>1724</v>
      </c>
      <c r="J309" s="226" t="s">
        <v>1170</v>
      </c>
      <c r="K309" s="227">
        <v>46084.145833333336</v>
      </c>
      <c r="L309" s="227">
        <v>46085.770833333336</v>
      </c>
      <c r="M309" s="227">
        <v>46086.229166666664</v>
      </c>
      <c r="N309" s="227">
        <v>46087.038888888892</v>
      </c>
      <c r="O309" s="226" t="s">
        <v>1171</v>
      </c>
      <c r="P309" s="227">
        <v>46109.229166666664</v>
      </c>
      <c r="Q309" s="226">
        <v>5</v>
      </c>
      <c r="R309" s="226"/>
      <c r="S309" s="226">
        <v>2</v>
      </c>
      <c r="T309" s="226"/>
      <c r="U309" s="226" t="s">
        <v>1</v>
      </c>
      <c r="V309" s="226" t="s">
        <v>1</v>
      </c>
      <c r="W309" s="226" t="s">
        <v>1180</v>
      </c>
      <c r="X309" s="227">
        <v>45893.979861111111</v>
      </c>
      <c r="Y309" s="226" t="s">
        <v>1725</v>
      </c>
      <c r="Z309" s="226" t="s">
        <v>1726</v>
      </c>
      <c r="AA309" s="226" t="s">
        <v>1106</v>
      </c>
      <c r="AB309" s="226"/>
      <c r="AC309" s="226"/>
      <c r="AD309" s="226" t="s">
        <v>1460</v>
      </c>
      <c r="AE309" s="226" t="s">
        <v>1176</v>
      </c>
    </row>
    <row r="310" spans="1:31">
      <c r="A310" s="226" t="s">
        <v>1457</v>
      </c>
      <c r="B310" s="226" t="s">
        <v>1123</v>
      </c>
      <c r="C310" s="226" t="s">
        <v>1094</v>
      </c>
      <c r="D310" s="226" t="s">
        <v>44</v>
      </c>
      <c r="E310" s="226">
        <v>4223629</v>
      </c>
      <c r="F310" s="226">
        <v>4105353</v>
      </c>
      <c r="G310" s="226" t="s">
        <v>656</v>
      </c>
      <c r="H310" s="226" t="s">
        <v>218</v>
      </c>
      <c r="I310" s="226" t="s">
        <v>1724</v>
      </c>
      <c r="J310" s="226" t="s">
        <v>1170</v>
      </c>
      <c r="K310" s="227">
        <v>46084.145833333336</v>
      </c>
      <c r="L310" s="227">
        <v>46085.770833333336</v>
      </c>
      <c r="M310" s="227">
        <v>46087.229166666664</v>
      </c>
      <c r="N310" s="227">
        <v>46088.012499999997</v>
      </c>
      <c r="O310" s="226" t="s">
        <v>1171</v>
      </c>
      <c r="P310" s="227">
        <v>46109.229166666664</v>
      </c>
      <c r="Q310" s="226">
        <v>5</v>
      </c>
      <c r="R310" s="226"/>
      <c r="S310" s="226">
        <v>2</v>
      </c>
      <c r="T310" s="226"/>
      <c r="U310" s="226" t="s">
        <v>1</v>
      </c>
      <c r="V310" s="226" t="s">
        <v>1</v>
      </c>
      <c r="W310" s="226" t="s">
        <v>1180</v>
      </c>
      <c r="X310" s="227">
        <v>45893.980555555558</v>
      </c>
      <c r="Y310" s="226" t="s">
        <v>1725</v>
      </c>
      <c r="Z310" s="226" t="s">
        <v>1726</v>
      </c>
      <c r="AA310" s="226" t="s">
        <v>1106</v>
      </c>
      <c r="AB310" s="226"/>
      <c r="AC310" s="226"/>
      <c r="AD310" s="226" t="s">
        <v>1460</v>
      </c>
      <c r="AE310" s="226" t="s">
        <v>1176</v>
      </c>
    </row>
    <row r="311" spans="1:31">
      <c r="A311" s="226" t="s">
        <v>1457</v>
      </c>
      <c r="B311" s="226" t="s">
        <v>1123</v>
      </c>
      <c r="C311" s="226" t="s">
        <v>1094</v>
      </c>
      <c r="D311" s="226" t="s">
        <v>44</v>
      </c>
      <c r="E311" s="226">
        <v>4223629</v>
      </c>
      <c r="F311" s="226">
        <v>4136042</v>
      </c>
      <c r="G311" s="226" t="s">
        <v>682</v>
      </c>
      <c r="H311" s="226" t="s">
        <v>218</v>
      </c>
      <c r="I311" s="226" t="s">
        <v>1724</v>
      </c>
      <c r="J311" s="226" t="s">
        <v>1170</v>
      </c>
      <c r="K311" s="227">
        <v>46084.145833333336</v>
      </c>
      <c r="L311" s="227">
        <v>46085.770833333336</v>
      </c>
      <c r="M311" s="227">
        <v>46087.229166666664</v>
      </c>
      <c r="N311" s="227">
        <v>46087.959722222222</v>
      </c>
      <c r="O311" s="226" t="s">
        <v>1171</v>
      </c>
      <c r="P311" s="227">
        <v>46109.229166666664</v>
      </c>
      <c r="Q311" s="226">
        <v>5</v>
      </c>
      <c r="R311" s="226"/>
      <c r="S311" s="226">
        <v>2</v>
      </c>
      <c r="T311" s="226"/>
      <c r="U311" s="226" t="s">
        <v>1</v>
      </c>
      <c r="V311" s="226" t="s">
        <v>1</v>
      </c>
      <c r="W311" s="226" t="s">
        <v>1180</v>
      </c>
      <c r="X311" s="227">
        <v>45918.449305555558</v>
      </c>
      <c r="Y311" s="226" t="s">
        <v>1730</v>
      </c>
      <c r="Z311" s="226" t="s">
        <v>1726</v>
      </c>
      <c r="AA311" s="226" t="s">
        <v>1106</v>
      </c>
      <c r="AB311" s="226"/>
      <c r="AC311" s="226"/>
      <c r="AD311" s="226" t="s">
        <v>1460</v>
      </c>
      <c r="AE311" s="226" t="s">
        <v>1176</v>
      </c>
    </row>
    <row r="312" spans="1:31">
      <c r="A312" s="226" t="s">
        <v>1457</v>
      </c>
      <c r="B312" s="226" t="s">
        <v>1123</v>
      </c>
      <c r="C312" s="226" t="s">
        <v>1094</v>
      </c>
      <c r="D312" s="226" t="s">
        <v>44</v>
      </c>
      <c r="E312" s="226">
        <v>4223629</v>
      </c>
      <c r="F312" s="226">
        <v>4136044</v>
      </c>
      <c r="G312" s="226" t="s">
        <v>683</v>
      </c>
      <c r="H312" s="226" t="s">
        <v>218</v>
      </c>
      <c r="I312" s="226" t="s">
        <v>1724</v>
      </c>
      <c r="J312" s="226" t="s">
        <v>1170</v>
      </c>
      <c r="K312" s="227">
        <v>46084.145833333336</v>
      </c>
      <c r="L312" s="227">
        <v>46084.831250000003</v>
      </c>
      <c r="M312" s="227">
        <v>46087.229166666664</v>
      </c>
      <c r="N312" s="227">
        <v>46090.856249999997</v>
      </c>
      <c r="O312" s="226" t="s">
        <v>1171</v>
      </c>
      <c r="P312" s="227">
        <v>46109.229166666664</v>
      </c>
      <c r="Q312" s="226">
        <v>8</v>
      </c>
      <c r="R312" s="226"/>
      <c r="S312" s="226">
        <v>2</v>
      </c>
      <c r="T312" s="226"/>
      <c r="U312" s="226" t="s">
        <v>1</v>
      </c>
      <c r="V312" s="226" t="s">
        <v>1</v>
      </c>
      <c r="W312" s="226" t="s">
        <v>1180</v>
      </c>
      <c r="X312" s="227">
        <v>45918.45</v>
      </c>
      <c r="Y312" s="226" t="s">
        <v>1730</v>
      </c>
      <c r="Z312" s="226" t="s">
        <v>1726</v>
      </c>
      <c r="AA312" s="226" t="s">
        <v>1106</v>
      </c>
      <c r="AB312" s="226"/>
      <c r="AC312" s="226"/>
      <c r="AD312" s="226" t="s">
        <v>1460</v>
      </c>
      <c r="AE312" s="226" t="s">
        <v>1176</v>
      </c>
    </row>
    <row r="313" spans="1:31">
      <c r="A313" s="226" t="s">
        <v>1457</v>
      </c>
      <c r="B313" s="226" t="s">
        <v>1123</v>
      </c>
      <c r="C313" s="226" t="s">
        <v>1094</v>
      </c>
      <c r="D313" s="226" t="s">
        <v>44</v>
      </c>
      <c r="E313" s="226">
        <v>4223629</v>
      </c>
      <c r="F313" s="226">
        <v>4136068</v>
      </c>
      <c r="G313" s="226" t="s">
        <v>684</v>
      </c>
      <c r="H313" s="226" t="s">
        <v>218</v>
      </c>
      <c r="I313" s="226" t="s">
        <v>1724</v>
      </c>
      <c r="J313" s="226" t="s">
        <v>1170</v>
      </c>
      <c r="K313" s="227">
        <v>46084.145833333336</v>
      </c>
      <c r="L313" s="227">
        <v>46084.877083333333</v>
      </c>
      <c r="M313" s="227">
        <v>46092.229166666664</v>
      </c>
      <c r="N313" s="227">
        <v>46092.65902777778</v>
      </c>
      <c r="O313" s="226" t="s">
        <v>1171</v>
      </c>
      <c r="P313" s="227">
        <v>46109.229166666664</v>
      </c>
      <c r="Q313" s="226">
        <v>8</v>
      </c>
      <c r="R313" s="226"/>
      <c r="S313" s="226">
        <v>2</v>
      </c>
      <c r="T313" s="226"/>
      <c r="U313" s="226" t="s">
        <v>1</v>
      </c>
      <c r="V313" s="226" t="s">
        <v>1</v>
      </c>
      <c r="W313" s="226" t="s">
        <v>1180</v>
      </c>
      <c r="X313" s="227">
        <v>45918.450694444444</v>
      </c>
      <c r="Y313" s="226" t="s">
        <v>1725</v>
      </c>
      <c r="Z313" s="226" t="s">
        <v>1726</v>
      </c>
      <c r="AA313" s="226" t="s">
        <v>1106</v>
      </c>
      <c r="AB313" s="226"/>
      <c r="AC313" s="226"/>
      <c r="AD313" s="226" t="s">
        <v>1460</v>
      </c>
      <c r="AE313" s="226" t="s">
        <v>1176</v>
      </c>
    </row>
    <row r="314" spans="1:31">
      <c r="A314" s="226" t="s">
        <v>1457</v>
      </c>
      <c r="B314" s="226" t="s">
        <v>1123</v>
      </c>
      <c r="C314" s="226" t="s">
        <v>1094</v>
      </c>
      <c r="D314" s="226" t="s">
        <v>44</v>
      </c>
      <c r="E314" s="226">
        <v>4223629</v>
      </c>
      <c r="F314" s="226">
        <v>4136084</v>
      </c>
      <c r="G314" s="226" t="s">
        <v>688</v>
      </c>
      <c r="H314" s="226" t="s">
        <v>218</v>
      </c>
      <c r="I314" s="226" t="s">
        <v>1724</v>
      </c>
      <c r="J314" s="226" t="s">
        <v>1170</v>
      </c>
      <c r="K314" s="227">
        <v>46084.145833333336</v>
      </c>
      <c r="L314" s="227">
        <v>46084.6875</v>
      </c>
      <c r="M314" s="227">
        <v>46087.020833333336</v>
      </c>
      <c r="N314" s="227">
        <v>46087.037499999999</v>
      </c>
      <c r="O314" s="226" t="s">
        <v>1171</v>
      </c>
      <c r="P314" s="227">
        <v>46109.229166666664</v>
      </c>
      <c r="Q314" s="226">
        <v>5</v>
      </c>
      <c r="R314" s="226"/>
      <c r="S314" s="226">
        <v>2</v>
      </c>
      <c r="T314" s="226"/>
      <c r="U314" s="226" t="s">
        <v>1</v>
      </c>
      <c r="V314" s="226" t="s">
        <v>1</v>
      </c>
      <c r="W314" s="226" t="s">
        <v>1180</v>
      </c>
      <c r="X314" s="227">
        <v>45918.452777777777</v>
      </c>
      <c r="Y314" s="226" t="s">
        <v>1725</v>
      </c>
      <c r="Z314" s="226" t="s">
        <v>1726</v>
      </c>
      <c r="AA314" s="226" t="s">
        <v>1106</v>
      </c>
      <c r="AB314" s="226"/>
      <c r="AC314" s="226"/>
      <c r="AD314" s="226" t="s">
        <v>1460</v>
      </c>
      <c r="AE314" s="226" t="s">
        <v>1176</v>
      </c>
    </row>
    <row r="315" spans="1:31">
      <c r="A315" s="226" t="s">
        <v>1457</v>
      </c>
      <c r="B315" s="226" t="s">
        <v>1123</v>
      </c>
      <c r="C315" s="226" t="s">
        <v>1094</v>
      </c>
      <c r="D315" s="226" t="s">
        <v>44</v>
      </c>
      <c r="E315" s="226">
        <v>4223629</v>
      </c>
      <c r="F315" s="226">
        <v>4136086</v>
      </c>
      <c r="G315" s="226" t="s">
        <v>689</v>
      </c>
      <c r="H315" s="226" t="s">
        <v>218</v>
      </c>
      <c r="I315" s="226" t="s">
        <v>1724</v>
      </c>
      <c r="J315" s="226" t="s">
        <v>1170</v>
      </c>
      <c r="K315" s="227">
        <v>46084.145833333336</v>
      </c>
      <c r="L315" s="227">
        <v>46084.831250000003</v>
      </c>
      <c r="M315" s="227">
        <v>46087.229166666664</v>
      </c>
      <c r="N315" s="227">
        <v>46090.857638888891</v>
      </c>
      <c r="O315" s="226" t="s">
        <v>1171</v>
      </c>
      <c r="P315" s="227">
        <v>46109.229166666664</v>
      </c>
      <c r="Q315" s="226">
        <v>8</v>
      </c>
      <c r="R315" s="226"/>
      <c r="S315" s="226">
        <v>2</v>
      </c>
      <c r="T315" s="226"/>
      <c r="U315" s="226" t="s">
        <v>1</v>
      </c>
      <c r="V315" s="226" t="s">
        <v>1</v>
      </c>
      <c r="W315" s="226" t="s">
        <v>1180</v>
      </c>
      <c r="X315" s="227">
        <v>45918.453472222223</v>
      </c>
      <c r="Y315" s="226" t="s">
        <v>1730</v>
      </c>
      <c r="Z315" s="226" t="s">
        <v>1726</v>
      </c>
      <c r="AA315" s="226" t="s">
        <v>1106</v>
      </c>
      <c r="AB315" s="226"/>
      <c r="AC315" s="226"/>
      <c r="AD315" s="226" t="s">
        <v>1460</v>
      </c>
      <c r="AE315" s="226" t="s">
        <v>1176</v>
      </c>
    </row>
    <row r="316" spans="1:31">
      <c r="A316" s="226" t="s">
        <v>1457</v>
      </c>
      <c r="B316" s="226" t="s">
        <v>1123</v>
      </c>
      <c r="C316" s="226" t="s">
        <v>1094</v>
      </c>
      <c r="D316" s="226" t="s">
        <v>44</v>
      </c>
      <c r="E316" s="226">
        <v>4223629</v>
      </c>
      <c r="F316" s="226">
        <v>4136089</v>
      </c>
      <c r="G316" s="226" t="s">
        <v>690</v>
      </c>
      <c r="H316" s="226" t="s">
        <v>218</v>
      </c>
      <c r="I316" s="226" t="s">
        <v>1724</v>
      </c>
      <c r="J316" s="226" t="s">
        <v>1170</v>
      </c>
      <c r="K316" s="227">
        <v>46084.145833333336</v>
      </c>
      <c r="L316" s="227">
        <v>46085.770833333336</v>
      </c>
      <c r="M316" s="227">
        <v>46086.229166666664</v>
      </c>
      <c r="N316" s="227">
        <v>46087.030555555553</v>
      </c>
      <c r="O316" s="226" t="s">
        <v>1171</v>
      </c>
      <c r="P316" s="227">
        <v>46109.229166666664</v>
      </c>
      <c r="Q316" s="226">
        <v>13</v>
      </c>
      <c r="R316" s="226"/>
      <c r="S316" s="226">
        <v>2</v>
      </c>
      <c r="T316" s="226"/>
      <c r="U316" s="226" t="s">
        <v>1</v>
      </c>
      <c r="V316" s="226" t="s">
        <v>1</v>
      </c>
      <c r="W316" s="226" t="s">
        <v>1180</v>
      </c>
      <c r="X316" s="227">
        <v>45918.45416666667</v>
      </c>
      <c r="Y316" s="226" t="s">
        <v>1725</v>
      </c>
      <c r="Z316" s="226" t="s">
        <v>1726</v>
      </c>
      <c r="AA316" s="226" t="s">
        <v>1106</v>
      </c>
      <c r="AB316" s="226"/>
      <c r="AC316" s="226"/>
      <c r="AD316" s="226" t="s">
        <v>1460</v>
      </c>
      <c r="AE316" s="226" t="s">
        <v>1176</v>
      </c>
    </row>
    <row r="317" spans="1:31">
      <c r="A317" s="226" t="s">
        <v>1457</v>
      </c>
      <c r="B317" s="226" t="s">
        <v>1123</v>
      </c>
      <c r="C317" s="226" t="s">
        <v>1094</v>
      </c>
      <c r="D317" s="226" t="s">
        <v>44</v>
      </c>
      <c r="E317" s="226">
        <v>4223629</v>
      </c>
      <c r="F317" s="226">
        <v>4136094</v>
      </c>
      <c r="G317" s="226" t="s">
        <v>694</v>
      </c>
      <c r="H317" s="226" t="s">
        <v>218</v>
      </c>
      <c r="I317" s="226" t="s">
        <v>1724</v>
      </c>
      <c r="J317" s="226" t="s">
        <v>1170</v>
      </c>
      <c r="K317" s="227">
        <v>46084.145833333336</v>
      </c>
      <c r="L317" s="227">
        <v>46085.770833333336</v>
      </c>
      <c r="M317" s="227">
        <v>46086.229166666664</v>
      </c>
      <c r="N317" s="227">
        <v>46087.03125</v>
      </c>
      <c r="O317" s="226" t="s">
        <v>1171</v>
      </c>
      <c r="P317" s="227">
        <v>46109.229166666664</v>
      </c>
      <c r="Q317" s="226">
        <v>8</v>
      </c>
      <c r="R317" s="226"/>
      <c r="S317" s="226">
        <v>2</v>
      </c>
      <c r="T317" s="226"/>
      <c r="U317" s="226" t="s">
        <v>1</v>
      </c>
      <c r="V317" s="226" t="s">
        <v>1</v>
      </c>
      <c r="W317" s="226" t="s">
        <v>1180</v>
      </c>
      <c r="X317" s="227">
        <v>45918.454861111109</v>
      </c>
      <c r="Y317" s="226" t="s">
        <v>1725</v>
      </c>
      <c r="Z317" s="226" t="s">
        <v>1726</v>
      </c>
      <c r="AA317" s="226" t="s">
        <v>1106</v>
      </c>
      <c r="AB317" s="226"/>
      <c r="AC317" s="226"/>
      <c r="AD317" s="226" t="s">
        <v>1460</v>
      </c>
      <c r="AE317" s="226" t="s">
        <v>1176</v>
      </c>
    </row>
    <row r="318" spans="1:31">
      <c r="A318" s="226" t="s">
        <v>1457</v>
      </c>
      <c r="B318" s="226" t="s">
        <v>1123</v>
      </c>
      <c r="C318" s="226" t="s">
        <v>1094</v>
      </c>
      <c r="D318" s="226" t="s">
        <v>44</v>
      </c>
      <c r="E318" s="226">
        <v>4223629</v>
      </c>
      <c r="F318" s="226">
        <v>4136098</v>
      </c>
      <c r="G318" s="226" t="s">
        <v>695</v>
      </c>
      <c r="H318" s="226" t="s">
        <v>218</v>
      </c>
      <c r="I318" s="226" t="s">
        <v>1724</v>
      </c>
      <c r="J318" s="226" t="s">
        <v>1170</v>
      </c>
      <c r="K318" s="227">
        <v>46084.145833333336</v>
      </c>
      <c r="L318" s="227">
        <v>46085.770833333336</v>
      </c>
      <c r="M318" s="227">
        <v>46086.645138888889</v>
      </c>
      <c r="N318" s="227">
        <v>46087.031944444447</v>
      </c>
      <c r="O318" s="226" t="s">
        <v>1171</v>
      </c>
      <c r="P318" s="227">
        <v>46109.229166666664</v>
      </c>
      <c r="Q318" s="226">
        <v>5</v>
      </c>
      <c r="R318" s="226"/>
      <c r="S318" s="226">
        <v>2</v>
      </c>
      <c r="T318" s="226"/>
      <c r="U318" s="226" t="s">
        <v>1</v>
      </c>
      <c r="V318" s="226" t="s">
        <v>1</v>
      </c>
      <c r="W318" s="226" t="s">
        <v>1180</v>
      </c>
      <c r="X318" s="227">
        <v>45918.455555555556</v>
      </c>
      <c r="Y318" s="226" t="s">
        <v>1725</v>
      </c>
      <c r="Z318" s="226" t="s">
        <v>1726</v>
      </c>
      <c r="AA318" s="226" t="s">
        <v>1106</v>
      </c>
      <c r="AB318" s="226"/>
      <c r="AC318" s="226"/>
      <c r="AD318" s="226" t="s">
        <v>1460</v>
      </c>
      <c r="AE318" s="226" t="s">
        <v>1176</v>
      </c>
    </row>
    <row r="319" spans="1:31">
      <c r="A319" s="226" t="s">
        <v>1457</v>
      </c>
      <c r="B319" s="226" t="s">
        <v>1123</v>
      </c>
      <c r="C319" s="226" t="s">
        <v>1094</v>
      </c>
      <c r="D319" s="226" t="s">
        <v>44</v>
      </c>
      <c r="E319" s="226">
        <v>4223629</v>
      </c>
      <c r="F319" s="226">
        <v>4147642</v>
      </c>
      <c r="G319" s="226" t="s">
        <v>696</v>
      </c>
      <c r="H319" s="226" t="s">
        <v>218</v>
      </c>
      <c r="I319" s="226" t="s">
        <v>1724</v>
      </c>
      <c r="J319" s="226" t="s">
        <v>1170</v>
      </c>
      <c r="K319" s="227">
        <v>46084.145833333336</v>
      </c>
      <c r="L319" s="227">
        <v>46084.763888888891</v>
      </c>
      <c r="M319" s="227">
        <v>46088.020833333336</v>
      </c>
      <c r="N319" s="227">
        <v>46091.865277777775</v>
      </c>
      <c r="O319" s="226" t="s">
        <v>1171</v>
      </c>
      <c r="P319" s="227">
        <v>46109.229166666664</v>
      </c>
      <c r="Q319" s="226">
        <v>5</v>
      </c>
      <c r="R319" s="226"/>
      <c r="S319" s="226">
        <v>2</v>
      </c>
      <c r="T319" s="226"/>
      <c r="U319" s="226" t="s">
        <v>1</v>
      </c>
      <c r="V319" s="226" t="s">
        <v>1</v>
      </c>
      <c r="W319" s="226" t="s">
        <v>1180</v>
      </c>
      <c r="X319" s="227">
        <v>45925.38958333333</v>
      </c>
      <c r="Y319" s="226" t="s">
        <v>1725</v>
      </c>
      <c r="Z319" s="226" t="s">
        <v>1726</v>
      </c>
      <c r="AA319" s="226" t="s">
        <v>1106</v>
      </c>
      <c r="AB319" s="226"/>
      <c r="AC319" s="226"/>
      <c r="AD319" s="226" t="s">
        <v>1460</v>
      </c>
      <c r="AE319" s="226" t="s">
        <v>1176</v>
      </c>
    </row>
    <row r="320" spans="1:31">
      <c r="A320" s="226" t="s">
        <v>1457</v>
      </c>
      <c r="B320" s="226" t="s">
        <v>1123</v>
      </c>
      <c r="C320" s="226" t="s">
        <v>1094</v>
      </c>
      <c r="D320" s="226" t="s">
        <v>44</v>
      </c>
      <c r="E320" s="226">
        <v>4223629</v>
      </c>
      <c r="F320" s="226">
        <v>4287425</v>
      </c>
      <c r="G320" s="226" t="s">
        <v>664</v>
      </c>
      <c r="H320" s="226" t="s">
        <v>218</v>
      </c>
      <c r="I320" s="226" t="s">
        <v>1724</v>
      </c>
      <c r="J320" s="226" t="s">
        <v>1170</v>
      </c>
      <c r="K320" s="227">
        <v>46086.171527777777</v>
      </c>
      <c r="L320" s="227">
        <v>46086.647916666669</v>
      </c>
      <c r="M320" s="227">
        <v>46091.229166666664</v>
      </c>
      <c r="N320" s="227">
        <v>46091.797222222223</v>
      </c>
      <c r="O320" s="226" t="s">
        <v>1171</v>
      </c>
      <c r="P320" s="227">
        <v>46109.229166666664</v>
      </c>
      <c r="Q320" s="226">
        <v>5</v>
      </c>
      <c r="R320" s="226"/>
      <c r="S320" s="226">
        <v>2</v>
      </c>
      <c r="T320" s="226"/>
      <c r="U320" s="226" t="s">
        <v>1</v>
      </c>
      <c r="V320" s="226" t="s">
        <v>1</v>
      </c>
      <c r="W320" s="226" t="s">
        <v>1180</v>
      </c>
      <c r="X320" s="227">
        <v>46014.344444444447</v>
      </c>
      <c r="Y320" s="226" t="s">
        <v>1729</v>
      </c>
      <c r="Z320" s="226" t="s">
        <v>1726</v>
      </c>
      <c r="AA320" s="226" t="s">
        <v>1106</v>
      </c>
      <c r="AB320" s="226"/>
      <c r="AC320" s="226"/>
      <c r="AD320" s="226" t="s">
        <v>1460</v>
      </c>
      <c r="AE320" s="226" t="s">
        <v>1176</v>
      </c>
    </row>
    <row r="321" spans="1:31">
      <c r="A321" s="226" t="s">
        <v>1473</v>
      </c>
      <c r="B321" s="226" t="s">
        <v>1123</v>
      </c>
      <c r="C321" s="226" t="s">
        <v>1094</v>
      </c>
      <c r="D321" s="226" t="s">
        <v>44</v>
      </c>
      <c r="E321" s="226">
        <v>4373741</v>
      </c>
      <c r="F321" s="226">
        <v>4240162</v>
      </c>
      <c r="G321" s="226" t="s">
        <v>666</v>
      </c>
      <c r="H321" s="226" t="s">
        <v>218</v>
      </c>
      <c r="I321" s="226" t="s">
        <v>1724</v>
      </c>
      <c r="J321" s="226" t="s">
        <v>1170</v>
      </c>
      <c r="K321" s="227">
        <v>46084.145833333336</v>
      </c>
      <c r="L321" s="227">
        <v>46084.763888888891</v>
      </c>
      <c r="M321" s="227">
        <v>46087.229166666664</v>
      </c>
      <c r="N321" s="227">
        <v>46091.029166666667</v>
      </c>
      <c r="O321" s="226" t="s">
        <v>1171</v>
      </c>
      <c r="P321" s="227">
        <v>46109.229166666664</v>
      </c>
      <c r="Q321" s="226">
        <v>8</v>
      </c>
      <c r="R321" s="226"/>
      <c r="S321" s="226">
        <v>2</v>
      </c>
      <c r="T321" s="226"/>
      <c r="U321" s="226" t="s">
        <v>1</v>
      </c>
      <c r="V321" s="226" t="s">
        <v>1</v>
      </c>
      <c r="W321" s="226" t="s">
        <v>1180</v>
      </c>
      <c r="X321" s="227">
        <v>45978.962500000001</v>
      </c>
      <c r="Y321" s="226" t="s">
        <v>1731</v>
      </c>
      <c r="Z321" s="226" t="s">
        <v>1726</v>
      </c>
      <c r="AA321" s="226" t="s">
        <v>1106</v>
      </c>
      <c r="AB321" s="226"/>
      <c r="AC321" s="226"/>
      <c r="AD321" s="226" t="s">
        <v>1475</v>
      </c>
      <c r="AE321" s="226" t="s">
        <v>1176</v>
      </c>
    </row>
    <row r="322" spans="1:31">
      <c r="A322" s="226" t="s">
        <v>1457</v>
      </c>
      <c r="B322" s="226" t="s">
        <v>1123</v>
      </c>
      <c r="C322" s="226" t="s">
        <v>1094</v>
      </c>
      <c r="D322" s="226" t="s">
        <v>44</v>
      </c>
      <c r="E322" s="226">
        <v>4223629</v>
      </c>
      <c r="F322" s="226">
        <v>4270616</v>
      </c>
      <c r="G322" s="226" t="s">
        <v>668</v>
      </c>
      <c r="H322" s="226" t="s">
        <v>218</v>
      </c>
      <c r="I322" s="226" t="s">
        <v>1724</v>
      </c>
      <c r="J322" s="226" t="s">
        <v>1170</v>
      </c>
      <c r="K322" s="227">
        <v>46084.145833333336</v>
      </c>
      <c r="L322" s="227">
        <v>46084.763888888891</v>
      </c>
      <c r="M322" s="227">
        <v>46087.020833333336</v>
      </c>
      <c r="N322" s="227">
        <v>46087.035416666666</v>
      </c>
      <c r="O322" s="226" t="s">
        <v>1171</v>
      </c>
      <c r="P322" s="227">
        <v>46109.229166666664</v>
      </c>
      <c r="Q322" s="226">
        <v>3</v>
      </c>
      <c r="R322" s="226"/>
      <c r="S322" s="226">
        <v>2</v>
      </c>
      <c r="T322" s="226"/>
      <c r="U322" s="226" t="s">
        <v>1</v>
      </c>
      <c r="V322" s="226" t="s">
        <v>1</v>
      </c>
      <c r="W322" s="226" t="s">
        <v>1180</v>
      </c>
      <c r="X322" s="227">
        <v>45996.356944444444</v>
      </c>
      <c r="Y322" s="226" t="s">
        <v>1725</v>
      </c>
      <c r="Z322" s="226" t="s">
        <v>1726</v>
      </c>
      <c r="AA322" s="226" t="s">
        <v>1106</v>
      </c>
      <c r="AB322" s="226"/>
      <c r="AC322" s="226"/>
      <c r="AD322" s="226" t="s">
        <v>1460</v>
      </c>
      <c r="AE322" s="226" t="s">
        <v>1176</v>
      </c>
    </row>
    <row r="323" spans="1:31">
      <c r="A323" s="226" t="s">
        <v>1457</v>
      </c>
      <c r="B323" s="226" t="s">
        <v>1123</v>
      </c>
      <c r="C323" s="226" t="s">
        <v>1094</v>
      </c>
      <c r="D323" s="226" t="s">
        <v>44</v>
      </c>
      <c r="E323" s="226">
        <v>4223629</v>
      </c>
      <c r="F323" s="226">
        <v>4270617</v>
      </c>
      <c r="G323" s="226" t="s">
        <v>669</v>
      </c>
      <c r="H323" s="226" t="s">
        <v>218</v>
      </c>
      <c r="I323" s="226" t="s">
        <v>1724</v>
      </c>
      <c r="J323" s="226" t="s">
        <v>1170</v>
      </c>
      <c r="K323" s="227">
        <v>46084.145833333336</v>
      </c>
      <c r="L323" s="227">
        <v>46084.770833333336</v>
      </c>
      <c r="M323" s="227">
        <v>46091.229166666664</v>
      </c>
      <c r="N323" s="227">
        <v>46091.793055555558</v>
      </c>
      <c r="O323" s="226" t="s">
        <v>1171</v>
      </c>
      <c r="P323" s="227">
        <v>46109.229166666664</v>
      </c>
      <c r="Q323" s="226">
        <v>3</v>
      </c>
      <c r="R323" s="226"/>
      <c r="S323" s="226">
        <v>2</v>
      </c>
      <c r="T323" s="226"/>
      <c r="U323" s="226" t="s">
        <v>1</v>
      </c>
      <c r="V323" s="226" t="s">
        <v>1</v>
      </c>
      <c r="W323" s="226" t="s">
        <v>1180</v>
      </c>
      <c r="X323" s="227">
        <v>45996.357638888891</v>
      </c>
      <c r="Y323" s="226" t="s">
        <v>1727</v>
      </c>
      <c r="Z323" s="226" t="s">
        <v>1726</v>
      </c>
      <c r="AA323" s="226" t="s">
        <v>1106</v>
      </c>
      <c r="AB323" s="226"/>
      <c r="AC323" s="226"/>
      <c r="AD323" s="226" t="s">
        <v>1460</v>
      </c>
      <c r="AE323" s="226" t="s">
        <v>1176</v>
      </c>
    </row>
    <row r="324" spans="1:31">
      <c r="A324" s="226" t="s">
        <v>1457</v>
      </c>
      <c r="B324" s="226" t="s">
        <v>1123</v>
      </c>
      <c r="C324" s="226" t="s">
        <v>1094</v>
      </c>
      <c r="D324" s="226" t="s">
        <v>44</v>
      </c>
      <c r="E324" s="226">
        <v>4223629</v>
      </c>
      <c r="F324" s="226">
        <v>4240159</v>
      </c>
      <c r="G324" s="226" t="s">
        <v>645</v>
      </c>
      <c r="H324" s="226" t="s">
        <v>218</v>
      </c>
      <c r="I324" s="226" t="s">
        <v>1724</v>
      </c>
      <c r="J324" s="226" t="s">
        <v>1170</v>
      </c>
      <c r="K324" s="227">
        <v>46084.145833333336</v>
      </c>
      <c r="L324" s="227">
        <v>46084.811111111114</v>
      </c>
      <c r="M324" s="227">
        <v>46087.229166666664</v>
      </c>
      <c r="N324" s="227">
        <v>46087.98333333333</v>
      </c>
      <c r="O324" s="226" t="s">
        <v>1171</v>
      </c>
      <c r="P324" s="227">
        <v>46109.229166666664</v>
      </c>
      <c r="Q324" s="226">
        <v>5</v>
      </c>
      <c r="R324" s="226"/>
      <c r="S324" s="226">
        <v>2</v>
      </c>
      <c r="T324" s="226"/>
      <c r="U324" s="226" t="s">
        <v>1</v>
      </c>
      <c r="V324" s="226" t="s">
        <v>1</v>
      </c>
      <c r="W324" s="226" t="s">
        <v>1180</v>
      </c>
      <c r="X324" s="227">
        <v>45978.959027777775</v>
      </c>
      <c r="Y324" s="226" t="s">
        <v>1730</v>
      </c>
      <c r="Z324" s="226" t="s">
        <v>1726</v>
      </c>
      <c r="AA324" s="226" t="s">
        <v>1106</v>
      </c>
      <c r="AB324" s="226"/>
      <c r="AC324" s="226"/>
      <c r="AD324" s="226" t="s">
        <v>1460</v>
      </c>
      <c r="AE324" s="226" t="s">
        <v>1176</v>
      </c>
    </row>
    <row r="325" spans="1:31">
      <c r="A325" s="226" t="s">
        <v>1473</v>
      </c>
      <c r="B325" s="226" t="s">
        <v>1123</v>
      </c>
      <c r="C325" s="226" t="s">
        <v>1094</v>
      </c>
      <c r="D325" s="226" t="s">
        <v>44</v>
      </c>
      <c r="E325" s="226">
        <v>4373741</v>
      </c>
      <c r="F325" s="226">
        <v>4240156</v>
      </c>
      <c r="G325" s="226" t="s">
        <v>648</v>
      </c>
      <c r="H325" s="226" t="s">
        <v>218</v>
      </c>
      <c r="I325" s="226" t="s">
        <v>1724</v>
      </c>
      <c r="J325" s="226" t="s">
        <v>1170</v>
      </c>
      <c r="K325" s="227">
        <v>46084.145833333336</v>
      </c>
      <c r="L325" s="227">
        <v>46084.831944444442</v>
      </c>
      <c r="M325" s="227">
        <v>46087.229166666664</v>
      </c>
      <c r="N325" s="227">
        <v>46091.993750000001</v>
      </c>
      <c r="O325" s="226" t="s">
        <v>1171</v>
      </c>
      <c r="P325" s="227">
        <v>46109.229166666664</v>
      </c>
      <c r="Q325" s="226">
        <v>5</v>
      </c>
      <c r="R325" s="226"/>
      <c r="S325" s="226">
        <v>2</v>
      </c>
      <c r="T325" s="226"/>
      <c r="U325" s="226" t="s">
        <v>1</v>
      </c>
      <c r="V325" s="226" t="s">
        <v>1</v>
      </c>
      <c r="W325" s="226" t="s">
        <v>1180</v>
      </c>
      <c r="X325" s="227">
        <v>45978.955555555556</v>
      </c>
      <c r="Y325" s="226" t="s">
        <v>1731</v>
      </c>
      <c r="Z325" s="226" t="s">
        <v>1726</v>
      </c>
      <c r="AA325" s="226" t="s">
        <v>1106</v>
      </c>
      <c r="AB325" s="226"/>
      <c r="AC325" s="226"/>
      <c r="AD325" s="226" t="s">
        <v>1475</v>
      </c>
      <c r="AE325" s="226" t="s">
        <v>1176</v>
      </c>
    </row>
    <row r="326" spans="1:31">
      <c r="A326" s="226" t="s">
        <v>1473</v>
      </c>
      <c r="B326" s="226" t="s">
        <v>1123</v>
      </c>
      <c r="C326" s="226" t="s">
        <v>1094</v>
      </c>
      <c r="D326" s="226" t="s">
        <v>44</v>
      </c>
      <c r="E326" s="226">
        <v>4373741</v>
      </c>
      <c r="F326" s="226">
        <v>4345085</v>
      </c>
      <c r="G326" s="226" t="s">
        <v>640</v>
      </c>
      <c r="H326" s="226" t="s">
        <v>218</v>
      </c>
      <c r="I326" s="226" t="s">
        <v>1724</v>
      </c>
      <c r="J326" s="226" t="s">
        <v>1170</v>
      </c>
      <c r="K326" s="227">
        <v>46084.145833333336</v>
      </c>
      <c r="L326" s="227">
        <v>46084.770833333336</v>
      </c>
      <c r="M326" s="227">
        <v>46091.229166666664</v>
      </c>
      <c r="N326" s="227">
        <v>46092.665277777778</v>
      </c>
      <c r="O326" s="226" t="s">
        <v>1171</v>
      </c>
      <c r="P326" s="227">
        <v>46109.229166666664</v>
      </c>
      <c r="Q326" s="226">
        <v>1</v>
      </c>
      <c r="R326" s="226"/>
      <c r="S326" s="226">
        <v>2</v>
      </c>
      <c r="T326" s="226"/>
      <c r="U326" s="226" t="s">
        <v>1</v>
      </c>
      <c r="V326" s="226" t="s">
        <v>1</v>
      </c>
      <c r="W326" s="226" t="s">
        <v>1180</v>
      </c>
      <c r="X326" s="227">
        <v>46052.462500000001</v>
      </c>
      <c r="Y326" s="226" t="s">
        <v>1732</v>
      </c>
      <c r="Z326" s="226" t="s">
        <v>1726</v>
      </c>
      <c r="AA326" s="226" t="s">
        <v>1106</v>
      </c>
      <c r="AB326" s="226"/>
      <c r="AC326" s="226"/>
      <c r="AD326" s="226" t="s">
        <v>1475</v>
      </c>
      <c r="AE326" s="226" t="s">
        <v>1176</v>
      </c>
    </row>
    <row r="327" spans="1:31">
      <c r="A327" s="226" t="s">
        <v>1473</v>
      </c>
      <c r="B327" s="226" t="s">
        <v>1123</v>
      </c>
      <c r="C327" s="226" t="s">
        <v>1094</v>
      </c>
      <c r="D327" s="226" t="s">
        <v>44</v>
      </c>
      <c r="E327" s="226">
        <v>4373741</v>
      </c>
      <c r="F327" s="226">
        <v>4345110</v>
      </c>
      <c r="G327" s="226" t="s">
        <v>644</v>
      </c>
      <c r="H327" s="226" t="s">
        <v>218</v>
      </c>
      <c r="I327" s="226" t="s">
        <v>1724</v>
      </c>
      <c r="J327" s="226" t="s">
        <v>1170</v>
      </c>
      <c r="K327" s="227">
        <v>46084.145833333336</v>
      </c>
      <c r="L327" s="227">
        <v>46084.770833333336</v>
      </c>
      <c r="M327" s="227">
        <v>46091.229166666664</v>
      </c>
      <c r="N327" s="227">
        <v>46092.665972222225</v>
      </c>
      <c r="O327" s="226" t="s">
        <v>1171</v>
      </c>
      <c r="P327" s="227">
        <v>46109.229166666664</v>
      </c>
      <c r="Q327" s="226">
        <v>3</v>
      </c>
      <c r="R327" s="226"/>
      <c r="S327" s="226">
        <v>2</v>
      </c>
      <c r="T327" s="226"/>
      <c r="U327" s="226" t="s">
        <v>1</v>
      </c>
      <c r="V327" s="226" t="s">
        <v>1</v>
      </c>
      <c r="W327" s="226" t="s">
        <v>1180</v>
      </c>
      <c r="X327" s="227">
        <v>46052.463888888888</v>
      </c>
      <c r="Y327" s="226" t="s">
        <v>1732</v>
      </c>
      <c r="Z327" s="226" t="s">
        <v>1726</v>
      </c>
      <c r="AA327" s="226" t="s">
        <v>1106</v>
      </c>
      <c r="AB327" s="226"/>
      <c r="AC327" s="226"/>
      <c r="AD327" s="226" t="s">
        <v>1475</v>
      </c>
      <c r="AE327" s="226" t="s">
        <v>1176</v>
      </c>
    </row>
    <row r="328" spans="1:31">
      <c r="A328" s="226" t="s">
        <v>1457</v>
      </c>
      <c r="B328" s="226" t="s">
        <v>1123</v>
      </c>
      <c r="C328" s="226" t="s">
        <v>1094</v>
      </c>
      <c r="D328" s="226" t="s">
        <v>44</v>
      </c>
      <c r="E328" s="226">
        <v>4223629</v>
      </c>
      <c r="F328" s="226">
        <v>4330982</v>
      </c>
      <c r="G328" s="226" t="s">
        <v>657</v>
      </c>
      <c r="H328" s="226" t="s">
        <v>218</v>
      </c>
      <c r="I328" s="226" t="s">
        <v>1724</v>
      </c>
      <c r="J328" s="226" t="s">
        <v>1170</v>
      </c>
      <c r="K328" s="227">
        <v>46084.145833333336</v>
      </c>
      <c r="L328" s="227">
        <v>46085.770833333336</v>
      </c>
      <c r="M328" s="227">
        <v>46087.229166666664</v>
      </c>
      <c r="N328" s="227">
        <v>46087.95416666667</v>
      </c>
      <c r="O328" s="226" t="s">
        <v>1171</v>
      </c>
      <c r="P328" s="227">
        <v>46109.229166666664</v>
      </c>
      <c r="Q328" s="226">
        <v>5</v>
      </c>
      <c r="R328" s="226"/>
      <c r="S328" s="226">
        <v>2</v>
      </c>
      <c r="T328" s="226"/>
      <c r="U328" s="226" t="s">
        <v>1</v>
      </c>
      <c r="V328" s="226" t="s">
        <v>1</v>
      </c>
      <c r="W328" s="226" t="s">
        <v>1180</v>
      </c>
      <c r="X328" s="227">
        <v>46041.999305555553</v>
      </c>
      <c r="Y328" s="226" t="s">
        <v>1730</v>
      </c>
      <c r="Z328" s="226" t="s">
        <v>1726</v>
      </c>
      <c r="AA328" s="226" t="s">
        <v>1106</v>
      </c>
      <c r="AB328" s="226"/>
      <c r="AC328" s="226"/>
      <c r="AD328" s="226" t="s">
        <v>1460</v>
      </c>
      <c r="AE328" s="226" t="s">
        <v>1176</v>
      </c>
    </row>
    <row r="329" spans="1:31">
      <c r="A329" s="226" t="s">
        <v>1457</v>
      </c>
      <c r="B329" s="226" t="s">
        <v>1123</v>
      </c>
      <c r="C329" s="226" t="s">
        <v>1094</v>
      </c>
      <c r="D329" s="226" t="s">
        <v>44</v>
      </c>
      <c r="E329" s="226">
        <v>4223629</v>
      </c>
      <c r="F329" s="226">
        <v>4330983</v>
      </c>
      <c r="G329" s="226" t="s">
        <v>660</v>
      </c>
      <c r="H329" s="226" t="s">
        <v>218</v>
      </c>
      <c r="I329" s="226" t="s">
        <v>1724</v>
      </c>
      <c r="J329" s="226" t="s">
        <v>1170</v>
      </c>
      <c r="K329" s="227">
        <v>46084.145833333336</v>
      </c>
      <c r="L329" s="227">
        <v>46083.229166666664</v>
      </c>
      <c r="M329" s="227">
        <v>46086.229166666664</v>
      </c>
      <c r="N329" s="227">
        <v>46086.870833333334</v>
      </c>
      <c r="O329" s="226" t="s">
        <v>1171</v>
      </c>
      <c r="P329" s="227">
        <v>46109.229166666664</v>
      </c>
      <c r="Q329" s="226">
        <v>3</v>
      </c>
      <c r="R329" s="226"/>
      <c r="S329" s="226">
        <v>2</v>
      </c>
      <c r="T329" s="226"/>
      <c r="U329" s="226" t="s">
        <v>1</v>
      </c>
      <c r="V329" s="226" t="s">
        <v>1</v>
      </c>
      <c r="W329" s="226" t="s">
        <v>1180</v>
      </c>
      <c r="X329" s="227">
        <v>46042</v>
      </c>
      <c r="Y329" s="226" t="s">
        <v>1730</v>
      </c>
      <c r="Z329" s="226" t="s">
        <v>1726</v>
      </c>
      <c r="AA329" s="226" t="s">
        <v>1106</v>
      </c>
      <c r="AB329" s="226"/>
      <c r="AC329" s="226"/>
      <c r="AD329" s="226" t="s">
        <v>1460</v>
      </c>
      <c r="AE329" s="226" t="s">
        <v>1176</v>
      </c>
    </row>
    <row r="330" spans="1:31">
      <c r="A330" s="226" t="s">
        <v>1457</v>
      </c>
      <c r="B330" s="226" t="s">
        <v>1123</v>
      </c>
      <c r="C330" s="226" t="s">
        <v>1094</v>
      </c>
      <c r="D330" s="226" t="s">
        <v>44</v>
      </c>
      <c r="E330" s="226">
        <v>4223629</v>
      </c>
      <c r="F330" s="226">
        <v>4373713</v>
      </c>
      <c r="G330" s="226" t="s">
        <v>638</v>
      </c>
      <c r="H330" s="226" t="s">
        <v>218</v>
      </c>
      <c r="I330" s="226" t="s">
        <v>1724</v>
      </c>
      <c r="J330" s="226" t="s">
        <v>1170</v>
      </c>
      <c r="K330" s="227">
        <v>46093.229166666664</v>
      </c>
      <c r="L330" s="227">
        <v>46093.024305555555</v>
      </c>
      <c r="M330" s="227">
        <v>46098.020833333336</v>
      </c>
      <c r="N330" s="227">
        <v>46098.881944444445</v>
      </c>
      <c r="O330" s="226" t="s">
        <v>1171</v>
      </c>
      <c r="P330" s="227">
        <v>46109.229166666664</v>
      </c>
      <c r="Q330" s="226">
        <v>7</v>
      </c>
      <c r="R330" s="226"/>
      <c r="S330" s="226">
        <v>2</v>
      </c>
      <c r="T330" s="226"/>
      <c r="U330" s="226" t="s">
        <v>1</v>
      </c>
      <c r="V330" s="226" t="s">
        <v>1</v>
      </c>
      <c r="W330" s="226" t="s">
        <v>1180</v>
      </c>
      <c r="X330" s="227">
        <v>46072.399305555555</v>
      </c>
      <c r="Y330" s="226" t="s">
        <v>1733</v>
      </c>
      <c r="Z330" s="226" t="s">
        <v>1726</v>
      </c>
      <c r="AA330" s="226" t="s">
        <v>1106</v>
      </c>
      <c r="AB330" s="226"/>
      <c r="AC330" s="226"/>
      <c r="AD330" s="226" t="s">
        <v>1460</v>
      </c>
      <c r="AE330" s="226" t="s">
        <v>1176</v>
      </c>
    </row>
    <row r="331" spans="1:31">
      <c r="A331" s="226" t="s">
        <v>1457</v>
      </c>
      <c r="B331" s="226" t="s">
        <v>1123</v>
      </c>
      <c r="C331" s="226" t="s">
        <v>1094</v>
      </c>
      <c r="D331" s="226" t="s">
        <v>44</v>
      </c>
      <c r="E331" s="226">
        <v>4223629</v>
      </c>
      <c r="F331" s="226">
        <v>4373716</v>
      </c>
      <c r="G331" s="226" t="s">
        <v>639</v>
      </c>
      <c r="H331" s="226" t="s">
        <v>218</v>
      </c>
      <c r="I331" s="226" t="s">
        <v>1724</v>
      </c>
      <c r="J331" s="226" t="s">
        <v>1170</v>
      </c>
      <c r="K331" s="227">
        <v>46099.229166666664</v>
      </c>
      <c r="L331" s="227">
        <v>46101.774305555555</v>
      </c>
      <c r="M331" s="227">
        <v>46097.229166666664</v>
      </c>
      <c r="N331" s="227">
        <v>46101.774305555555</v>
      </c>
      <c r="O331" s="226" t="s">
        <v>1171</v>
      </c>
      <c r="P331" s="227">
        <v>46109.229166666664</v>
      </c>
      <c r="Q331" s="226">
        <v>7</v>
      </c>
      <c r="R331" s="226"/>
      <c r="S331" s="226">
        <v>2</v>
      </c>
      <c r="T331" s="226"/>
      <c r="U331" s="226" t="s">
        <v>1</v>
      </c>
      <c r="V331" s="226" t="s">
        <v>1</v>
      </c>
      <c r="W331" s="226" t="s">
        <v>1180</v>
      </c>
      <c r="X331" s="227">
        <v>46072.401388888888</v>
      </c>
      <c r="Y331" s="226" t="s">
        <v>1733</v>
      </c>
      <c r="Z331" s="226" t="s">
        <v>1726</v>
      </c>
      <c r="AA331" s="226" t="s">
        <v>1106</v>
      </c>
      <c r="AB331" s="226"/>
      <c r="AC331" s="226"/>
      <c r="AD331" s="226" t="s">
        <v>1460</v>
      </c>
      <c r="AE331" s="226" t="s">
        <v>1176</v>
      </c>
    </row>
    <row r="332" spans="1:31">
      <c r="A332" s="226" t="s">
        <v>1457</v>
      </c>
      <c r="B332" s="226" t="s">
        <v>1123</v>
      </c>
      <c r="C332" s="226" t="s">
        <v>1094</v>
      </c>
      <c r="D332" s="226" t="s">
        <v>44</v>
      </c>
      <c r="E332" s="226">
        <v>4223629</v>
      </c>
      <c r="F332" s="226">
        <v>4381589</v>
      </c>
      <c r="G332" s="226" t="s">
        <v>1734</v>
      </c>
      <c r="H332" s="226" t="s">
        <v>218</v>
      </c>
      <c r="I332" s="226" t="s">
        <v>1724</v>
      </c>
      <c r="J332" s="226" t="s">
        <v>1170</v>
      </c>
      <c r="K332" s="227">
        <v>46084.145833333336</v>
      </c>
      <c r="L332" s="227">
        <v>46084.8125</v>
      </c>
      <c r="M332" s="227">
        <v>46088.020833333336</v>
      </c>
      <c r="N332" s="227">
        <v>46088.055555555555</v>
      </c>
      <c r="O332" s="226" t="s">
        <v>1171</v>
      </c>
      <c r="P332" s="227">
        <v>46109.229166666664</v>
      </c>
      <c r="Q332" s="226">
        <v>2</v>
      </c>
      <c r="R332" s="226"/>
      <c r="S332" s="226">
        <v>2</v>
      </c>
      <c r="T332" s="226"/>
      <c r="U332" s="226" t="s">
        <v>1</v>
      </c>
      <c r="V332" s="226" t="s">
        <v>1</v>
      </c>
      <c r="W332" s="226" t="s">
        <v>1180</v>
      </c>
      <c r="X332" s="227">
        <v>46073.383333333331</v>
      </c>
      <c r="Y332" s="226" t="s">
        <v>1459</v>
      </c>
      <c r="Z332" s="226" t="s">
        <v>1726</v>
      </c>
      <c r="AA332" s="226" t="s">
        <v>1106</v>
      </c>
      <c r="AB332" s="226"/>
      <c r="AC332" s="226"/>
      <c r="AD332" s="226" t="s">
        <v>1460</v>
      </c>
      <c r="AE332" s="226" t="s">
        <v>1176</v>
      </c>
    </row>
    <row r="333" spans="1:31">
      <c r="A333" s="226" t="s">
        <v>1457</v>
      </c>
      <c r="B333" s="226" t="s">
        <v>1123</v>
      </c>
      <c r="C333" s="226" t="s">
        <v>1094</v>
      </c>
      <c r="D333" s="226" t="s">
        <v>44</v>
      </c>
      <c r="E333" s="226">
        <v>4223629</v>
      </c>
      <c r="F333" s="226">
        <v>4381591</v>
      </c>
      <c r="G333" s="226" t="s">
        <v>635</v>
      </c>
      <c r="H333" s="226" t="s">
        <v>218</v>
      </c>
      <c r="I333" s="226" t="s">
        <v>1724</v>
      </c>
      <c r="J333" s="226" t="s">
        <v>1170</v>
      </c>
      <c r="K333" s="227">
        <v>46091.145833333336</v>
      </c>
      <c r="L333" s="227">
        <v>46090.684027777781</v>
      </c>
      <c r="M333" s="227">
        <v>46092.020833333336</v>
      </c>
      <c r="N333" s="227">
        <v>46098.992361111108</v>
      </c>
      <c r="O333" s="226" t="s">
        <v>1171</v>
      </c>
      <c r="P333" s="227">
        <v>46109.229166666664</v>
      </c>
      <c r="Q333" s="226">
        <v>3</v>
      </c>
      <c r="R333" s="226"/>
      <c r="S333" s="226">
        <v>2</v>
      </c>
      <c r="T333" s="226"/>
      <c r="U333" s="226" t="s">
        <v>1</v>
      </c>
      <c r="V333" s="226" t="s">
        <v>1</v>
      </c>
      <c r="W333" s="226" t="s">
        <v>1180</v>
      </c>
      <c r="X333" s="227">
        <v>46073.395138888889</v>
      </c>
      <c r="Y333" s="226" t="s">
        <v>1459</v>
      </c>
      <c r="Z333" s="226" t="s">
        <v>1726</v>
      </c>
      <c r="AA333" s="226" t="s">
        <v>1106</v>
      </c>
      <c r="AB333" s="226"/>
      <c r="AC333" s="226"/>
      <c r="AD333" s="226" t="s">
        <v>1460</v>
      </c>
      <c r="AE333" s="226" t="s">
        <v>1176</v>
      </c>
    </row>
    <row r="334" spans="1:31">
      <c r="A334" s="226" t="s">
        <v>1457</v>
      </c>
      <c r="B334" s="226" t="s">
        <v>1123</v>
      </c>
      <c r="C334" s="226" t="s">
        <v>1094</v>
      </c>
      <c r="D334" s="226" t="s">
        <v>44</v>
      </c>
      <c r="E334" s="226">
        <v>4223629</v>
      </c>
      <c r="F334" s="226">
        <v>4381592</v>
      </c>
      <c r="G334" s="226" t="s">
        <v>637</v>
      </c>
      <c r="H334" s="226" t="s">
        <v>218</v>
      </c>
      <c r="I334" s="226" t="s">
        <v>1724</v>
      </c>
      <c r="J334" s="226" t="s">
        <v>1170</v>
      </c>
      <c r="K334" s="227">
        <v>46098.229166666664</v>
      </c>
      <c r="L334" s="227">
        <v>46097.770833333336</v>
      </c>
      <c r="M334" s="227">
        <v>46100.020833333336</v>
      </c>
      <c r="N334" s="227">
        <v>46097.783333333333</v>
      </c>
      <c r="O334" s="226" t="s">
        <v>1171</v>
      </c>
      <c r="P334" s="227">
        <v>46109.229166666664</v>
      </c>
      <c r="Q334" s="226"/>
      <c r="R334" s="226"/>
      <c r="S334" s="226">
        <v>2</v>
      </c>
      <c r="T334" s="226"/>
      <c r="U334" s="226" t="s">
        <v>18</v>
      </c>
      <c r="V334" s="226" t="s">
        <v>18</v>
      </c>
      <c r="W334" s="226" t="s">
        <v>1180</v>
      </c>
      <c r="X334" s="227">
        <v>46073.396527777775</v>
      </c>
      <c r="Y334" s="226" t="s">
        <v>1459</v>
      </c>
      <c r="Z334" s="226" t="s">
        <v>1726</v>
      </c>
      <c r="AA334" s="226" t="s">
        <v>1106</v>
      </c>
      <c r="AB334" s="226"/>
      <c r="AC334" s="226"/>
      <c r="AD334" s="226" t="s">
        <v>1460</v>
      </c>
      <c r="AE334" s="226" t="s">
        <v>1176</v>
      </c>
    </row>
    <row r="335" spans="1:31">
      <c r="A335" s="226" t="s">
        <v>1457</v>
      </c>
      <c r="B335" s="226" t="s">
        <v>1123</v>
      </c>
      <c r="C335" s="226" t="s">
        <v>1094</v>
      </c>
      <c r="D335" s="226" t="s">
        <v>44</v>
      </c>
      <c r="E335" s="226">
        <v>4223629</v>
      </c>
      <c r="F335" s="226">
        <v>4436203</v>
      </c>
      <c r="G335" s="226" t="s">
        <v>628</v>
      </c>
      <c r="H335" s="226" t="s">
        <v>218</v>
      </c>
      <c r="I335" s="226" t="s">
        <v>1724</v>
      </c>
      <c r="J335" s="226" t="s">
        <v>1170</v>
      </c>
      <c r="K335" s="227">
        <v>46101.229166666664</v>
      </c>
      <c r="L335" s="227">
        <v>46103.229166666664</v>
      </c>
      <c r="M335" s="227">
        <v>46101.229166666664</v>
      </c>
      <c r="N335" s="227">
        <v>46104.660416666666</v>
      </c>
      <c r="O335" s="226" t="s">
        <v>1171</v>
      </c>
      <c r="P335" s="227">
        <v>46109.229166666664</v>
      </c>
      <c r="Q335" s="226"/>
      <c r="R335" s="226"/>
      <c r="S335" s="226">
        <v>2</v>
      </c>
      <c r="T335" s="226"/>
      <c r="U335" s="226" t="s">
        <v>18</v>
      </c>
      <c r="V335" s="226" t="s">
        <v>18</v>
      </c>
      <c r="W335" s="226" t="s">
        <v>1180</v>
      </c>
      <c r="X335" s="227">
        <v>46100.393750000003</v>
      </c>
      <c r="Y335" s="226" t="s">
        <v>1735</v>
      </c>
      <c r="Z335" s="226" t="s">
        <v>1726</v>
      </c>
      <c r="AA335" s="226" t="s">
        <v>1106</v>
      </c>
      <c r="AB335" s="226"/>
      <c r="AC335" s="226"/>
      <c r="AD335" s="226" t="s">
        <v>1460</v>
      </c>
      <c r="AE335" s="226" t="s">
        <v>1176</v>
      </c>
    </row>
    <row r="336" spans="1:31">
      <c r="A336" s="226" t="s">
        <v>1277</v>
      </c>
      <c r="B336" s="226" t="s">
        <v>1123</v>
      </c>
      <c r="C336" s="226" t="s">
        <v>1149</v>
      </c>
      <c r="D336" s="226" t="s">
        <v>1278</v>
      </c>
      <c r="E336" s="226">
        <v>4386527</v>
      </c>
      <c r="F336" s="226">
        <v>4381764</v>
      </c>
      <c r="G336" s="226" t="s">
        <v>1736</v>
      </c>
      <c r="H336" s="226" t="s">
        <v>218</v>
      </c>
      <c r="I336" s="226" t="s">
        <v>1737</v>
      </c>
      <c r="J336" s="226" t="s">
        <v>1152</v>
      </c>
      <c r="K336" s="227">
        <v>46092.228472222225</v>
      </c>
      <c r="L336" s="227">
        <v>46091.839583333334</v>
      </c>
      <c r="M336" s="227">
        <v>46098.228472222225</v>
      </c>
      <c r="N336" s="227">
        <v>46097.811805555553</v>
      </c>
      <c r="O336" s="226" t="s">
        <v>1098</v>
      </c>
      <c r="P336" s="227">
        <v>46109.229166666664</v>
      </c>
      <c r="Q336" s="226">
        <v>3</v>
      </c>
      <c r="R336" s="226"/>
      <c r="S336" s="226">
        <v>2</v>
      </c>
      <c r="T336" s="226"/>
      <c r="U336" s="226" t="s">
        <v>1</v>
      </c>
      <c r="V336" s="226" t="s">
        <v>1</v>
      </c>
      <c r="W336" s="226" t="s">
        <v>1280</v>
      </c>
      <c r="X336" s="227">
        <v>46073.536111111112</v>
      </c>
      <c r="Y336" s="226" t="s">
        <v>1244</v>
      </c>
      <c r="Z336" s="226" t="s">
        <v>1738</v>
      </c>
      <c r="AA336" s="226" t="s">
        <v>1667</v>
      </c>
      <c r="AB336" s="226"/>
      <c r="AC336" s="226"/>
      <c r="AD336" s="226" t="s">
        <v>1281</v>
      </c>
      <c r="AE336" s="226" t="s">
        <v>1669</v>
      </c>
    </row>
    <row r="337" spans="1:31">
      <c r="A337" s="226" t="s">
        <v>1739</v>
      </c>
      <c r="B337" s="226" t="s">
        <v>1123</v>
      </c>
      <c r="C337" s="226" t="s">
        <v>1159</v>
      </c>
      <c r="D337" s="226" t="s">
        <v>1740</v>
      </c>
      <c r="E337" s="226">
        <v>4371783</v>
      </c>
      <c r="F337" s="226">
        <v>4376363</v>
      </c>
      <c r="G337" s="226" t="s">
        <v>989</v>
      </c>
      <c r="H337" s="226" t="s">
        <v>866</v>
      </c>
      <c r="I337" s="226" t="s">
        <v>1737</v>
      </c>
      <c r="J337" s="226" t="s">
        <v>1707</v>
      </c>
      <c r="K337" s="227">
        <v>46084.228472222225</v>
      </c>
      <c r="L337" s="227">
        <v>46084.228472222225</v>
      </c>
      <c r="M337" s="227">
        <v>46098.229166666664</v>
      </c>
      <c r="N337" s="227">
        <v>46085.229166666664</v>
      </c>
      <c r="O337" s="226" t="s">
        <v>1708</v>
      </c>
      <c r="P337" s="227">
        <v>46109.229166666664</v>
      </c>
      <c r="Q337" s="226">
        <v>8</v>
      </c>
      <c r="R337" s="226"/>
      <c r="S337" s="226">
        <v>2</v>
      </c>
      <c r="T337" s="226"/>
      <c r="U337" s="226" t="s">
        <v>1</v>
      </c>
      <c r="V337" s="226" t="s">
        <v>1</v>
      </c>
      <c r="W337" s="226" t="s">
        <v>1664</v>
      </c>
      <c r="X337" s="227">
        <v>46072.62222222222</v>
      </c>
      <c r="Y337" s="226" t="s">
        <v>1665</v>
      </c>
      <c r="Z337" s="226" t="s">
        <v>1738</v>
      </c>
      <c r="AA337" s="226" t="s">
        <v>1425</v>
      </c>
      <c r="AB337" s="226"/>
      <c r="AC337" s="226"/>
      <c r="AD337" s="226" t="s">
        <v>1668</v>
      </c>
      <c r="AE337" s="226" t="s">
        <v>1669</v>
      </c>
    </row>
    <row r="338" spans="1:31">
      <c r="A338" s="226" t="s">
        <v>1739</v>
      </c>
      <c r="B338" s="226" t="s">
        <v>1123</v>
      </c>
      <c r="C338" s="226" t="s">
        <v>1159</v>
      </c>
      <c r="D338" s="226" t="s">
        <v>1741</v>
      </c>
      <c r="E338" s="226">
        <v>4371783</v>
      </c>
      <c r="F338" s="226">
        <v>4376367</v>
      </c>
      <c r="G338" s="226" t="s">
        <v>990</v>
      </c>
      <c r="H338" s="226" t="s">
        <v>1347</v>
      </c>
      <c r="I338" s="226" t="s">
        <v>1737</v>
      </c>
      <c r="J338" s="226" t="s">
        <v>1707</v>
      </c>
      <c r="K338" s="227">
        <v>46081.228472222225</v>
      </c>
      <c r="L338" s="227">
        <v>46081.228472222225</v>
      </c>
      <c r="M338" s="227">
        <v>46098.229166666664</v>
      </c>
      <c r="N338" s="227">
        <v>46084.229166666664</v>
      </c>
      <c r="O338" s="226" t="s">
        <v>1708</v>
      </c>
      <c r="P338" s="227">
        <v>46109.229166666664</v>
      </c>
      <c r="Q338" s="226">
        <v>5</v>
      </c>
      <c r="R338" s="226"/>
      <c r="S338" s="226">
        <v>2</v>
      </c>
      <c r="T338" s="226"/>
      <c r="U338" s="226" t="s">
        <v>1</v>
      </c>
      <c r="V338" s="226" t="s">
        <v>1</v>
      </c>
      <c r="W338" s="226" t="s">
        <v>1664</v>
      </c>
      <c r="X338" s="227">
        <v>46072.627083333333</v>
      </c>
      <c r="Y338" s="226" t="s">
        <v>1665</v>
      </c>
      <c r="Z338" s="226" t="s">
        <v>1738</v>
      </c>
      <c r="AA338" s="226" t="s">
        <v>1425</v>
      </c>
      <c r="AB338" s="226"/>
      <c r="AC338" s="226"/>
      <c r="AD338" s="226" t="s">
        <v>1668</v>
      </c>
      <c r="AE338" s="226" t="s">
        <v>1669</v>
      </c>
    </row>
    <row r="339" spans="1:31">
      <c r="A339" s="226" t="s">
        <v>1739</v>
      </c>
      <c r="B339" s="226" t="s">
        <v>1123</v>
      </c>
      <c r="C339" s="226" t="s">
        <v>1159</v>
      </c>
      <c r="D339" s="226" t="s">
        <v>1742</v>
      </c>
      <c r="E339" s="226">
        <v>4371783</v>
      </c>
      <c r="F339" s="226">
        <v>4390900</v>
      </c>
      <c r="G339" s="226" t="s">
        <v>993</v>
      </c>
      <c r="H339" s="226" t="s">
        <v>866</v>
      </c>
      <c r="I339" s="226" t="s">
        <v>1737</v>
      </c>
      <c r="J339" s="226" t="s">
        <v>1707</v>
      </c>
      <c r="K339" s="227">
        <v>46093.228472222225</v>
      </c>
      <c r="L339" s="227">
        <v>46092.836805555555</v>
      </c>
      <c r="M339" s="227">
        <v>46099.228472222225</v>
      </c>
      <c r="N339" s="227">
        <v>46099.228472222225</v>
      </c>
      <c r="O339" s="226" t="s">
        <v>1708</v>
      </c>
      <c r="P339" s="227">
        <v>46109.229166666664</v>
      </c>
      <c r="Q339" s="226">
        <v>3</v>
      </c>
      <c r="R339" s="226"/>
      <c r="S339" s="226">
        <v>2</v>
      </c>
      <c r="T339" s="226"/>
      <c r="U339" s="226" t="s">
        <v>1</v>
      </c>
      <c r="V339" s="226" t="s">
        <v>1</v>
      </c>
      <c r="W339" s="226" t="s">
        <v>1664</v>
      </c>
      <c r="X339" s="227">
        <v>46078.421527777777</v>
      </c>
      <c r="Y339" s="226" t="s">
        <v>1665</v>
      </c>
      <c r="Z339" s="226" t="s">
        <v>1738</v>
      </c>
      <c r="AA339" s="226" t="s">
        <v>1743</v>
      </c>
      <c r="AB339" s="226"/>
      <c r="AC339" s="226"/>
      <c r="AD339" s="226" t="s">
        <v>1668</v>
      </c>
      <c r="AE339" s="226" t="s">
        <v>1669</v>
      </c>
    </row>
    <row r="340" spans="1:31">
      <c r="A340" s="226" t="s">
        <v>1744</v>
      </c>
      <c r="B340" s="226" t="s">
        <v>1123</v>
      </c>
      <c r="C340" s="226" t="s">
        <v>1159</v>
      </c>
      <c r="D340" s="226" t="s">
        <v>1745</v>
      </c>
      <c r="E340" s="226">
        <v>4371753</v>
      </c>
      <c r="F340" s="226">
        <v>4371773</v>
      </c>
      <c r="G340" s="226" t="s">
        <v>986</v>
      </c>
      <c r="H340" s="226" t="s">
        <v>866</v>
      </c>
      <c r="I340" s="226" t="s">
        <v>1737</v>
      </c>
      <c r="J340" s="226" t="s">
        <v>1707</v>
      </c>
      <c r="K340" s="227">
        <v>46093.228472222225</v>
      </c>
      <c r="L340" s="227">
        <v>46093.228472222225</v>
      </c>
      <c r="M340" s="227">
        <v>46099.228472222225</v>
      </c>
      <c r="N340" s="227">
        <v>46099.228472222225</v>
      </c>
      <c r="O340" s="226" t="s">
        <v>1708</v>
      </c>
      <c r="P340" s="227">
        <v>46109.229166666664</v>
      </c>
      <c r="Q340" s="226">
        <v>8</v>
      </c>
      <c r="R340" s="226"/>
      <c r="S340" s="226">
        <v>2</v>
      </c>
      <c r="T340" s="226"/>
      <c r="U340" s="226" t="s">
        <v>1</v>
      </c>
      <c r="V340" s="226" t="s">
        <v>1</v>
      </c>
      <c r="W340" s="226" t="s">
        <v>1664</v>
      </c>
      <c r="X340" s="227">
        <v>46070.763194444444</v>
      </c>
      <c r="Y340" s="226" t="s">
        <v>1746</v>
      </c>
      <c r="Z340" s="226" t="s">
        <v>1738</v>
      </c>
      <c r="AA340" s="226" t="s">
        <v>1743</v>
      </c>
      <c r="AB340" s="226"/>
      <c r="AC340" s="226"/>
      <c r="AD340" s="226" t="s">
        <v>1668</v>
      </c>
      <c r="AE340" s="226" t="s">
        <v>1669</v>
      </c>
    </row>
    <row r="341" spans="1:31">
      <c r="A341" s="226" t="s">
        <v>1739</v>
      </c>
      <c r="B341" s="226" t="s">
        <v>1123</v>
      </c>
      <c r="C341" s="226" t="s">
        <v>1159</v>
      </c>
      <c r="D341" s="226" t="s">
        <v>1747</v>
      </c>
      <c r="E341" s="226">
        <v>4371783</v>
      </c>
      <c r="F341" s="226">
        <v>4371813</v>
      </c>
      <c r="G341" s="226" t="s">
        <v>988</v>
      </c>
      <c r="H341" s="226" t="s">
        <v>866</v>
      </c>
      <c r="I341" s="226" t="s">
        <v>1737</v>
      </c>
      <c r="J341" s="226" t="s">
        <v>1707</v>
      </c>
      <c r="K341" s="227">
        <v>46081.228472222225</v>
      </c>
      <c r="L341" s="227">
        <v>46081.228472222225</v>
      </c>
      <c r="M341" s="227">
        <v>46098.229166666664</v>
      </c>
      <c r="N341" s="227">
        <v>46083.229166666664</v>
      </c>
      <c r="O341" s="226" t="s">
        <v>1708</v>
      </c>
      <c r="P341" s="227">
        <v>46109.229166666664</v>
      </c>
      <c r="Q341" s="226">
        <v>2</v>
      </c>
      <c r="R341" s="226"/>
      <c r="S341" s="226">
        <v>2</v>
      </c>
      <c r="T341" s="226"/>
      <c r="U341" s="226" t="s">
        <v>1</v>
      </c>
      <c r="V341" s="226" t="s">
        <v>1</v>
      </c>
      <c r="W341" s="226" t="s">
        <v>1664</v>
      </c>
      <c r="X341" s="227">
        <v>46070.788888888892</v>
      </c>
      <c r="Y341" s="226" t="s">
        <v>1665</v>
      </c>
      <c r="Z341" s="226" t="s">
        <v>1738</v>
      </c>
      <c r="AA341" s="226" t="s">
        <v>1425</v>
      </c>
      <c r="AB341" s="226"/>
      <c r="AC341" s="226"/>
      <c r="AD341" s="226" t="s">
        <v>1668</v>
      </c>
      <c r="AE341" s="226" t="s">
        <v>1669</v>
      </c>
    </row>
    <row r="342" spans="1:31">
      <c r="A342" s="226" t="s">
        <v>1204</v>
      </c>
      <c r="B342" s="226" t="s">
        <v>1194</v>
      </c>
      <c r="C342" s="226" t="s">
        <v>1194</v>
      </c>
      <c r="D342" s="226" t="s">
        <v>1205</v>
      </c>
      <c r="E342" s="226">
        <v>4330994</v>
      </c>
      <c r="F342" s="226">
        <v>4364557</v>
      </c>
      <c r="G342" s="226" t="s">
        <v>952</v>
      </c>
      <c r="H342" s="226" t="s">
        <v>218</v>
      </c>
      <c r="I342" s="226" t="s">
        <v>1737</v>
      </c>
      <c r="J342" s="226" t="s">
        <v>1152</v>
      </c>
      <c r="K342" s="227">
        <v>46093.228472222225</v>
      </c>
      <c r="L342" s="227">
        <v>46091.840277777781</v>
      </c>
      <c r="M342" s="227">
        <v>46099.228472222225</v>
      </c>
      <c r="N342" s="227">
        <v>46098.833333333336</v>
      </c>
      <c r="O342" s="226" t="s">
        <v>1208</v>
      </c>
      <c r="P342" s="227">
        <v>46109.229166666664</v>
      </c>
      <c r="Q342" s="226">
        <v>3</v>
      </c>
      <c r="R342" s="226"/>
      <c r="S342" s="226">
        <v>2</v>
      </c>
      <c r="T342" s="226"/>
      <c r="U342" s="226" t="s">
        <v>1</v>
      </c>
      <c r="V342" s="226" t="s">
        <v>1</v>
      </c>
      <c r="W342" s="226" t="s">
        <v>1209</v>
      </c>
      <c r="X342" s="227">
        <v>46065.499305555553</v>
      </c>
      <c r="Y342" s="226" t="s">
        <v>1244</v>
      </c>
      <c r="Z342" s="226" t="s">
        <v>1738</v>
      </c>
      <c r="AA342" s="226" t="s">
        <v>1667</v>
      </c>
      <c r="AB342" s="226"/>
      <c r="AC342" s="226"/>
      <c r="AD342" s="226" t="s">
        <v>1211</v>
      </c>
      <c r="AE342" s="226" t="s">
        <v>1669</v>
      </c>
    </row>
    <row r="343" spans="1:31">
      <c r="A343" s="226" t="s">
        <v>1305</v>
      </c>
      <c r="B343" s="226" t="s">
        <v>1093</v>
      </c>
      <c r="C343" s="226" t="s">
        <v>1293</v>
      </c>
      <c r="D343" s="226" t="s">
        <v>1349</v>
      </c>
      <c r="E343" s="226">
        <v>4351343</v>
      </c>
      <c r="F343" s="226">
        <v>4359607</v>
      </c>
      <c r="G343" s="226" t="s">
        <v>814</v>
      </c>
      <c r="H343" s="226" t="s">
        <v>218</v>
      </c>
      <c r="I343" s="226" t="s">
        <v>1748</v>
      </c>
      <c r="J343" s="226" t="s">
        <v>1097</v>
      </c>
      <c r="K343" s="227">
        <v>46087.229166666664</v>
      </c>
      <c r="L343" s="227">
        <v>46086.770138888889</v>
      </c>
      <c r="M343" s="227">
        <v>46091.020833333336</v>
      </c>
      <c r="N343" s="227">
        <v>46092.805555555555</v>
      </c>
      <c r="O343" s="226" t="s">
        <v>1098</v>
      </c>
      <c r="P343" s="227">
        <v>46109.229166666664</v>
      </c>
      <c r="Q343" s="226">
        <v>4</v>
      </c>
      <c r="R343" s="226"/>
      <c r="S343" s="226">
        <v>2</v>
      </c>
      <c r="T343" s="226"/>
      <c r="U343" s="226" t="s">
        <v>1</v>
      </c>
      <c r="V343" s="226" t="s">
        <v>1</v>
      </c>
      <c r="W343" s="226" t="s">
        <v>1129</v>
      </c>
      <c r="X343" s="227">
        <v>46063.570833333331</v>
      </c>
      <c r="Y343" s="226" t="s">
        <v>1749</v>
      </c>
      <c r="Z343" s="226" t="s">
        <v>1750</v>
      </c>
      <c r="AA343" s="226" t="s">
        <v>1106</v>
      </c>
      <c r="AB343" s="226"/>
      <c r="AC343" s="226"/>
      <c r="AD343" s="226" t="s">
        <v>1751</v>
      </c>
      <c r="AE343" s="226" t="s">
        <v>1300</v>
      </c>
    </row>
    <row r="344" spans="1:31">
      <c r="A344" s="226" t="s">
        <v>1305</v>
      </c>
      <c r="B344" s="226" t="s">
        <v>1093</v>
      </c>
      <c r="C344" s="226" t="s">
        <v>1293</v>
      </c>
      <c r="D344" s="226" t="s">
        <v>1349</v>
      </c>
      <c r="E344" s="226">
        <v>4351343</v>
      </c>
      <c r="F344" s="226">
        <v>4361788</v>
      </c>
      <c r="G344" s="226" t="s">
        <v>971</v>
      </c>
      <c r="H344" s="226" t="s">
        <v>218</v>
      </c>
      <c r="I344" s="226" t="s">
        <v>1748</v>
      </c>
      <c r="J344" s="226" t="s">
        <v>1229</v>
      </c>
      <c r="K344" s="227">
        <v>46090.229166666664</v>
      </c>
      <c r="L344" s="227">
        <v>46086.886111111111</v>
      </c>
      <c r="M344" s="227">
        <v>46098.229166666664</v>
      </c>
      <c r="N344" s="227">
        <v>46099.663888888892</v>
      </c>
      <c r="O344" s="226" t="s">
        <v>1296</v>
      </c>
      <c r="P344" s="227">
        <v>46109.229166666664</v>
      </c>
      <c r="Q344" s="226">
        <v>4</v>
      </c>
      <c r="R344" s="226"/>
      <c r="S344" s="226">
        <v>2</v>
      </c>
      <c r="T344" s="226"/>
      <c r="U344" s="226" t="s">
        <v>1</v>
      </c>
      <c r="V344" s="226" t="s">
        <v>1</v>
      </c>
      <c r="W344" s="226" t="s">
        <v>1129</v>
      </c>
      <c r="X344" s="227">
        <v>46063.929166666669</v>
      </c>
      <c r="Y344" s="226" t="s">
        <v>1749</v>
      </c>
      <c r="Z344" s="226" t="s">
        <v>1750</v>
      </c>
      <c r="AA344" s="226" t="s">
        <v>1106</v>
      </c>
      <c r="AB344" s="226"/>
      <c r="AC344" s="226"/>
      <c r="AD344" s="226" t="s">
        <v>1751</v>
      </c>
      <c r="AE344" s="226" t="s">
        <v>1300</v>
      </c>
    </row>
    <row r="345" spans="1:31">
      <c r="A345" s="226" t="s">
        <v>1305</v>
      </c>
      <c r="B345" s="226" t="s">
        <v>1093</v>
      </c>
      <c r="C345" s="226" t="s">
        <v>1293</v>
      </c>
      <c r="D345" s="226" t="s">
        <v>1752</v>
      </c>
      <c r="E345" s="226">
        <v>4351343</v>
      </c>
      <c r="F345" s="226">
        <v>4351345</v>
      </c>
      <c r="G345" s="226" t="s">
        <v>837</v>
      </c>
      <c r="H345" s="226" t="s">
        <v>218</v>
      </c>
      <c r="I345" s="226" t="s">
        <v>1748</v>
      </c>
      <c r="J345" s="226" t="s">
        <v>1097</v>
      </c>
      <c r="K345" s="227">
        <v>46087.729166666664</v>
      </c>
      <c r="L345" s="227">
        <v>46086.770138888889</v>
      </c>
      <c r="M345" s="227">
        <v>46093.229166666664</v>
      </c>
      <c r="N345" s="227">
        <v>46094.061805555553</v>
      </c>
      <c r="O345" s="226" t="s">
        <v>1098</v>
      </c>
      <c r="P345" s="227">
        <v>46109.229166666664</v>
      </c>
      <c r="Q345" s="226">
        <v>4</v>
      </c>
      <c r="R345" s="226"/>
      <c r="S345" s="226">
        <v>2</v>
      </c>
      <c r="T345" s="226"/>
      <c r="U345" s="226" t="s">
        <v>1</v>
      </c>
      <c r="V345" s="226" t="s">
        <v>1</v>
      </c>
      <c r="W345" s="226" t="s">
        <v>1129</v>
      </c>
      <c r="X345" s="227">
        <v>46056.375</v>
      </c>
      <c r="Y345" s="226" t="s">
        <v>1753</v>
      </c>
      <c r="Z345" s="226" t="s">
        <v>1750</v>
      </c>
      <c r="AA345" s="226" t="s">
        <v>1106</v>
      </c>
      <c r="AB345" s="226"/>
      <c r="AC345" s="226"/>
      <c r="AD345" s="226" t="s">
        <v>1754</v>
      </c>
      <c r="AE345" s="226" t="s">
        <v>1300</v>
      </c>
    </row>
    <row r="346" spans="1:31">
      <c r="A346" s="226" t="s">
        <v>1755</v>
      </c>
      <c r="B346" s="226" t="s">
        <v>1093</v>
      </c>
      <c r="C346" s="226" t="s">
        <v>1375</v>
      </c>
      <c r="D346" s="226" t="s">
        <v>1756</v>
      </c>
      <c r="E346" s="226">
        <v>4394114</v>
      </c>
      <c r="F346" s="226">
        <v>4381661</v>
      </c>
      <c r="G346" s="226" t="s">
        <v>1757</v>
      </c>
      <c r="H346" s="226" t="s">
        <v>866</v>
      </c>
      <c r="I346" s="226" t="s">
        <v>1748</v>
      </c>
      <c r="J346" s="226" t="s">
        <v>1229</v>
      </c>
      <c r="K346" s="227">
        <v>46087.1875</v>
      </c>
      <c r="L346" s="227">
        <v>46086.852083333331</v>
      </c>
      <c r="M346" s="227">
        <v>46098.229166666664</v>
      </c>
      <c r="N346" s="227">
        <v>46086.852083333331</v>
      </c>
      <c r="O346" s="226" t="s">
        <v>1758</v>
      </c>
      <c r="P346" s="227">
        <v>46109.229166666664</v>
      </c>
      <c r="Q346" s="226">
        <v>9</v>
      </c>
      <c r="R346" s="226"/>
      <c r="S346" s="226">
        <v>2</v>
      </c>
      <c r="T346" s="226"/>
      <c r="U346" s="226" t="s">
        <v>1</v>
      </c>
      <c r="V346" s="226" t="s">
        <v>1</v>
      </c>
      <c r="W346" s="226" t="s">
        <v>1297</v>
      </c>
      <c r="X346" s="227">
        <v>46073.486805555556</v>
      </c>
      <c r="Y346" s="226" t="s">
        <v>1759</v>
      </c>
      <c r="Z346" s="226" t="s">
        <v>1750</v>
      </c>
      <c r="AA346" s="226" t="s">
        <v>1299</v>
      </c>
      <c r="AB346" s="226"/>
      <c r="AC346" s="226"/>
      <c r="AD346" s="226" t="s">
        <v>1756</v>
      </c>
      <c r="AE346" s="226" t="s">
        <v>1300</v>
      </c>
    </row>
    <row r="347" spans="1:31">
      <c r="A347" s="226" t="s">
        <v>1760</v>
      </c>
      <c r="B347" s="226" t="s">
        <v>1123</v>
      </c>
      <c r="C347" s="226" t="s">
        <v>1094</v>
      </c>
      <c r="D347" s="226" t="s">
        <v>1188</v>
      </c>
      <c r="E347" s="226">
        <v>4317766</v>
      </c>
      <c r="F347" s="226">
        <v>4389974</v>
      </c>
      <c r="G347" s="226" t="s">
        <v>749</v>
      </c>
      <c r="H347" s="226" t="s">
        <v>218</v>
      </c>
      <c r="I347" s="226" t="s">
        <v>1761</v>
      </c>
      <c r="J347" s="226" t="s">
        <v>1170</v>
      </c>
      <c r="K347" s="227">
        <v>46087.229166666664</v>
      </c>
      <c r="L347" s="227">
        <v>46090.702777777777</v>
      </c>
      <c r="M347" s="227">
        <v>46093.229166666664</v>
      </c>
      <c r="N347" s="227">
        <v>46093.861805555556</v>
      </c>
      <c r="O347" s="226" t="s">
        <v>1171</v>
      </c>
      <c r="P347" s="227">
        <v>46109.229166666664</v>
      </c>
      <c r="Q347" s="226">
        <v>3</v>
      </c>
      <c r="R347" s="226"/>
      <c r="S347" s="226">
        <v>2</v>
      </c>
      <c r="T347" s="226"/>
      <c r="U347" s="226" t="s">
        <v>1</v>
      </c>
      <c r="V347" s="226" t="s">
        <v>1</v>
      </c>
      <c r="W347" s="226" t="s">
        <v>1489</v>
      </c>
      <c r="X347" s="227">
        <v>46077.543055555558</v>
      </c>
      <c r="Y347" s="226" t="s">
        <v>1762</v>
      </c>
      <c r="Z347" s="226" t="s">
        <v>1763</v>
      </c>
      <c r="AA347" s="226" t="s">
        <v>1467</v>
      </c>
      <c r="AB347" s="226"/>
      <c r="AC347" s="226"/>
      <c r="AD347" s="226" t="s">
        <v>1761</v>
      </c>
      <c r="AE347" s="226" t="s">
        <v>1176</v>
      </c>
    </row>
    <row r="348" spans="1:31">
      <c r="A348" s="226" t="s">
        <v>1760</v>
      </c>
      <c r="B348" s="226" t="s">
        <v>1123</v>
      </c>
      <c r="C348" s="226" t="s">
        <v>1094</v>
      </c>
      <c r="D348" s="226" t="s">
        <v>1188</v>
      </c>
      <c r="E348" s="226">
        <v>4317766</v>
      </c>
      <c r="F348" s="226">
        <v>4389979</v>
      </c>
      <c r="G348" s="226" t="s">
        <v>750</v>
      </c>
      <c r="H348" s="226" t="s">
        <v>218</v>
      </c>
      <c r="I348" s="226" t="s">
        <v>1761</v>
      </c>
      <c r="J348" s="226" t="s">
        <v>1170</v>
      </c>
      <c r="K348" s="227">
        <v>46087.229166666664</v>
      </c>
      <c r="L348" s="227">
        <v>46088.097916666666</v>
      </c>
      <c r="M348" s="227">
        <v>46092.229166666664</v>
      </c>
      <c r="N348" s="227">
        <v>46093.710416666669</v>
      </c>
      <c r="O348" s="226" t="s">
        <v>1171</v>
      </c>
      <c r="P348" s="227">
        <v>46109.229166666664</v>
      </c>
      <c r="Q348" s="226">
        <v>2</v>
      </c>
      <c r="R348" s="226"/>
      <c r="S348" s="226">
        <v>2</v>
      </c>
      <c r="T348" s="226"/>
      <c r="U348" s="226" t="s">
        <v>1</v>
      </c>
      <c r="V348" s="226" t="s">
        <v>1</v>
      </c>
      <c r="W348" s="226" t="s">
        <v>1489</v>
      </c>
      <c r="X348" s="227">
        <v>46077.546527777777</v>
      </c>
      <c r="Y348" s="226" t="s">
        <v>1762</v>
      </c>
      <c r="Z348" s="226" t="s">
        <v>1763</v>
      </c>
      <c r="AA348" s="226" t="s">
        <v>1467</v>
      </c>
      <c r="AB348" s="226"/>
      <c r="AC348" s="226"/>
      <c r="AD348" s="226" t="s">
        <v>1761</v>
      </c>
      <c r="AE348" s="226" t="s">
        <v>1176</v>
      </c>
    </row>
    <row r="349" spans="1:31">
      <c r="A349" s="226" t="s">
        <v>1764</v>
      </c>
      <c r="B349" s="226" t="s">
        <v>1123</v>
      </c>
      <c r="C349" s="226" t="s">
        <v>1094</v>
      </c>
      <c r="D349" s="226" t="s">
        <v>1188</v>
      </c>
      <c r="E349" s="226">
        <v>4319556</v>
      </c>
      <c r="F349" s="226">
        <v>4319555</v>
      </c>
      <c r="G349" s="226" t="s">
        <v>709</v>
      </c>
      <c r="H349" s="226" t="s">
        <v>218</v>
      </c>
      <c r="I349" s="226" t="s">
        <v>1761</v>
      </c>
      <c r="J349" s="226" t="s">
        <v>1170</v>
      </c>
      <c r="K349" s="227">
        <v>46080.229166666664</v>
      </c>
      <c r="L349" s="227">
        <v>46087</v>
      </c>
      <c r="M349" s="227">
        <v>46085.229166666664</v>
      </c>
      <c r="N349" s="227">
        <v>46093.88958333333</v>
      </c>
      <c r="O349" s="226" t="s">
        <v>1171</v>
      </c>
      <c r="P349" s="227">
        <v>46109.229166666664</v>
      </c>
      <c r="Q349" s="226">
        <v>5</v>
      </c>
      <c r="R349" s="226"/>
      <c r="S349" s="226">
        <v>2</v>
      </c>
      <c r="T349" s="226"/>
      <c r="U349" s="226" t="s">
        <v>1</v>
      </c>
      <c r="V349" s="226" t="s">
        <v>1</v>
      </c>
      <c r="W349" s="226" t="s">
        <v>1765</v>
      </c>
      <c r="X349" s="227">
        <v>46034.548611111109</v>
      </c>
      <c r="Y349" s="226" t="s">
        <v>1766</v>
      </c>
      <c r="Z349" s="226" t="s">
        <v>1763</v>
      </c>
      <c r="AA349" s="226" t="s">
        <v>1467</v>
      </c>
      <c r="AB349" s="226"/>
      <c r="AC349" s="226"/>
      <c r="AD349" s="226" t="s">
        <v>1761</v>
      </c>
      <c r="AE349" s="226" t="s">
        <v>1176</v>
      </c>
    </row>
    <row r="350" spans="1:31">
      <c r="A350" s="226" t="s">
        <v>1760</v>
      </c>
      <c r="B350" s="226" t="s">
        <v>1123</v>
      </c>
      <c r="C350" s="226" t="s">
        <v>1094</v>
      </c>
      <c r="D350" s="226" t="s">
        <v>1188</v>
      </c>
      <c r="E350" s="226">
        <v>4317766</v>
      </c>
      <c r="F350" s="226">
        <v>4314722</v>
      </c>
      <c r="G350" s="226" t="s">
        <v>712</v>
      </c>
      <c r="H350" s="226" t="s">
        <v>218</v>
      </c>
      <c r="I350" s="226" t="s">
        <v>1761</v>
      </c>
      <c r="J350" s="226" t="s">
        <v>1170</v>
      </c>
      <c r="K350" s="227">
        <v>46094.309027777781</v>
      </c>
      <c r="L350" s="227">
        <v>46094.229166666664</v>
      </c>
      <c r="M350" s="227">
        <v>46097.229166666664</v>
      </c>
      <c r="N350" s="227">
        <v>46097.808333333334</v>
      </c>
      <c r="O350" s="226" t="s">
        <v>1171</v>
      </c>
      <c r="P350" s="227">
        <v>46109.229166666664</v>
      </c>
      <c r="Q350" s="226">
        <v>5</v>
      </c>
      <c r="R350" s="226"/>
      <c r="S350" s="226">
        <v>2</v>
      </c>
      <c r="T350" s="226"/>
      <c r="U350" s="226" t="s">
        <v>1</v>
      </c>
      <c r="V350" s="226" t="s">
        <v>1</v>
      </c>
      <c r="W350" s="226" t="s">
        <v>1765</v>
      </c>
      <c r="X350" s="227">
        <v>46028.604861111111</v>
      </c>
      <c r="Y350" s="226" t="s">
        <v>1767</v>
      </c>
      <c r="Z350" s="226" t="s">
        <v>1763</v>
      </c>
      <c r="AA350" s="226" t="s">
        <v>1467</v>
      </c>
      <c r="AB350" s="226"/>
      <c r="AC350" s="226"/>
      <c r="AD350" s="226" t="s">
        <v>1761</v>
      </c>
      <c r="AE350" s="226" t="s">
        <v>1176</v>
      </c>
    </row>
    <row r="351" spans="1:31">
      <c r="A351" s="226" t="s">
        <v>1760</v>
      </c>
      <c r="B351" s="226" t="s">
        <v>1123</v>
      </c>
      <c r="C351" s="226" t="s">
        <v>1094</v>
      </c>
      <c r="D351" s="226" t="s">
        <v>1188</v>
      </c>
      <c r="E351" s="226">
        <v>4317766</v>
      </c>
      <c r="F351" s="226">
        <v>4269661</v>
      </c>
      <c r="G351" s="226" t="s">
        <v>714</v>
      </c>
      <c r="H351" s="226" t="s">
        <v>218</v>
      </c>
      <c r="I351" s="226" t="s">
        <v>1761</v>
      </c>
      <c r="J351" s="226" t="s">
        <v>1170</v>
      </c>
      <c r="K351" s="227">
        <v>46087.229166666664</v>
      </c>
      <c r="L351" s="227">
        <v>46087.70416666667</v>
      </c>
      <c r="M351" s="227">
        <v>46092.229166666664</v>
      </c>
      <c r="N351" s="227">
        <v>46093.864583333336</v>
      </c>
      <c r="O351" s="226" t="s">
        <v>1171</v>
      </c>
      <c r="P351" s="227">
        <v>46109.229166666664</v>
      </c>
      <c r="Q351" s="226">
        <v>3</v>
      </c>
      <c r="R351" s="226"/>
      <c r="S351" s="226">
        <v>2</v>
      </c>
      <c r="T351" s="226"/>
      <c r="U351" s="226" t="s">
        <v>1</v>
      </c>
      <c r="V351" s="226" t="s">
        <v>1</v>
      </c>
      <c r="W351" s="226" t="s">
        <v>1765</v>
      </c>
      <c r="X351" s="227">
        <v>45995.006944444445</v>
      </c>
      <c r="Y351" s="226" t="s">
        <v>1766</v>
      </c>
      <c r="Z351" s="226" t="s">
        <v>1763</v>
      </c>
      <c r="AA351" s="226" t="s">
        <v>1467</v>
      </c>
      <c r="AB351" s="226"/>
      <c r="AC351" s="226"/>
      <c r="AD351" s="226" t="s">
        <v>1761</v>
      </c>
      <c r="AE351" s="226" t="s">
        <v>1176</v>
      </c>
    </row>
    <row r="352" spans="1:31">
      <c r="A352" s="226" t="s">
        <v>1768</v>
      </c>
      <c r="B352" s="226" t="s">
        <v>1123</v>
      </c>
      <c r="C352" s="226" t="s">
        <v>1094</v>
      </c>
      <c r="D352" s="226" t="s">
        <v>1188</v>
      </c>
      <c r="E352" s="226">
        <v>4373561</v>
      </c>
      <c r="F352" s="226">
        <v>4371574</v>
      </c>
      <c r="G352" s="226" t="s">
        <v>699</v>
      </c>
      <c r="H352" s="226" t="s">
        <v>218</v>
      </c>
      <c r="I352" s="226" t="s">
        <v>1761</v>
      </c>
      <c r="J352" s="226" t="s">
        <v>1170</v>
      </c>
      <c r="K352" s="227">
        <v>46087.229166666664</v>
      </c>
      <c r="L352" s="227">
        <v>46087.229166666664</v>
      </c>
      <c r="M352" s="227">
        <v>46092.229166666664</v>
      </c>
      <c r="N352" s="227">
        <v>46093.697222222225</v>
      </c>
      <c r="O352" s="226" t="s">
        <v>1171</v>
      </c>
      <c r="P352" s="227">
        <v>46109.229166666664</v>
      </c>
      <c r="Q352" s="226">
        <v>3</v>
      </c>
      <c r="R352" s="226"/>
      <c r="S352" s="226">
        <v>2</v>
      </c>
      <c r="T352" s="226"/>
      <c r="U352" s="226" t="s">
        <v>1</v>
      </c>
      <c r="V352" s="226" t="s">
        <v>1</v>
      </c>
      <c r="W352" s="226" t="s">
        <v>1489</v>
      </c>
      <c r="X352" s="227">
        <v>46070.595833333333</v>
      </c>
      <c r="Y352" s="226" t="s">
        <v>1769</v>
      </c>
      <c r="Z352" s="226" t="s">
        <v>1763</v>
      </c>
      <c r="AA352" s="226" t="s">
        <v>1467</v>
      </c>
      <c r="AB352" s="226"/>
      <c r="AC352" s="226"/>
      <c r="AD352" s="226" t="s">
        <v>1761</v>
      </c>
      <c r="AE352" s="226" t="s">
        <v>1176</v>
      </c>
    </row>
    <row r="353" spans="1:31">
      <c r="A353" s="226" t="s">
        <v>1768</v>
      </c>
      <c r="B353" s="226" t="s">
        <v>1123</v>
      </c>
      <c r="C353" s="226" t="s">
        <v>1094</v>
      </c>
      <c r="D353" s="226" t="s">
        <v>1188</v>
      </c>
      <c r="E353" s="226">
        <v>4373561</v>
      </c>
      <c r="F353" s="226">
        <v>4371614</v>
      </c>
      <c r="G353" s="226" t="s">
        <v>700</v>
      </c>
      <c r="H353" s="226" t="s">
        <v>218</v>
      </c>
      <c r="I353" s="226" t="s">
        <v>1761</v>
      </c>
      <c r="J353" s="226" t="s">
        <v>1170</v>
      </c>
      <c r="K353" s="227">
        <v>46087.229166666664</v>
      </c>
      <c r="L353" s="227">
        <v>46088.09652777778</v>
      </c>
      <c r="M353" s="227">
        <v>46091.229166666664</v>
      </c>
      <c r="N353" s="227">
        <v>46093.630555555559</v>
      </c>
      <c r="O353" s="226" t="s">
        <v>1171</v>
      </c>
      <c r="P353" s="227">
        <v>46109.229166666664</v>
      </c>
      <c r="Q353" s="226">
        <v>4</v>
      </c>
      <c r="R353" s="226"/>
      <c r="S353" s="226">
        <v>2</v>
      </c>
      <c r="T353" s="226"/>
      <c r="U353" s="226" t="s">
        <v>1</v>
      </c>
      <c r="V353" s="226" t="s">
        <v>1</v>
      </c>
      <c r="W353" s="226" t="s">
        <v>1489</v>
      </c>
      <c r="X353" s="227">
        <v>46070.636805555558</v>
      </c>
      <c r="Y353" s="226" t="s">
        <v>1769</v>
      </c>
      <c r="Z353" s="226" t="s">
        <v>1763</v>
      </c>
      <c r="AA353" s="226" t="s">
        <v>1467</v>
      </c>
      <c r="AB353" s="226"/>
      <c r="AC353" s="226"/>
      <c r="AD353" s="226" t="s">
        <v>1761</v>
      </c>
      <c r="AE353" s="226" t="s">
        <v>1176</v>
      </c>
    </row>
    <row r="354" spans="1:31">
      <c r="A354" s="226" t="s">
        <v>1768</v>
      </c>
      <c r="B354" s="226" t="s">
        <v>1123</v>
      </c>
      <c r="C354" s="226" t="s">
        <v>1094</v>
      </c>
      <c r="D354" s="226" t="s">
        <v>1188</v>
      </c>
      <c r="E354" s="226">
        <v>4373561</v>
      </c>
      <c r="F354" s="226">
        <v>4371751</v>
      </c>
      <c r="G354" s="226" t="s">
        <v>702</v>
      </c>
      <c r="H354" s="226" t="s">
        <v>218</v>
      </c>
      <c r="I354" s="226" t="s">
        <v>1761</v>
      </c>
      <c r="J354" s="226" t="s">
        <v>1170</v>
      </c>
      <c r="K354" s="227">
        <v>46087.229166666664</v>
      </c>
      <c r="L354" s="227">
        <v>46087.229166666664</v>
      </c>
      <c r="M354" s="227">
        <v>46093.229166666664</v>
      </c>
      <c r="N354" s="227">
        <v>46093.698611111111</v>
      </c>
      <c r="O354" s="226" t="s">
        <v>1171</v>
      </c>
      <c r="P354" s="227">
        <v>46109.229166666664</v>
      </c>
      <c r="Q354" s="226">
        <v>2</v>
      </c>
      <c r="R354" s="226"/>
      <c r="S354" s="226">
        <v>2</v>
      </c>
      <c r="T354" s="226"/>
      <c r="U354" s="226" t="s">
        <v>1</v>
      </c>
      <c r="V354" s="226" t="s">
        <v>1</v>
      </c>
      <c r="W354" s="226" t="s">
        <v>1489</v>
      </c>
      <c r="X354" s="227">
        <v>46070.739583333336</v>
      </c>
      <c r="Y354" s="226" t="s">
        <v>1769</v>
      </c>
      <c r="Z354" s="226" t="s">
        <v>1763</v>
      </c>
      <c r="AA354" s="226" t="s">
        <v>1467</v>
      </c>
      <c r="AB354" s="226"/>
      <c r="AC354" s="226"/>
      <c r="AD354" s="226" t="s">
        <v>1761</v>
      </c>
      <c r="AE354" s="226" t="s">
        <v>1176</v>
      </c>
    </row>
    <row r="355" spans="1:31">
      <c r="A355" s="226" t="s">
        <v>1768</v>
      </c>
      <c r="B355" s="226" t="s">
        <v>1123</v>
      </c>
      <c r="C355" s="226" t="s">
        <v>1094</v>
      </c>
      <c r="D355" s="226" t="s">
        <v>1188</v>
      </c>
      <c r="E355" s="226">
        <v>4373561</v>
      </c>
      <c r="F355" s="226">
        <v>4371760</v>
      </c>
      <c r="G355" s="226" t="s">
        <v>703</v>
      </c>
      <c r="H355" s="226" t="s">
        <v>218</v>
      </c>
      <c r="I355" s="226" t="s">
        <v>1761</v>
      </c>
      <c r="J355" s="226" t="s">
        <v>1170</v>
      </c>
      <c r="K355" s="227">
        <v>46085.229166666664</v>
      </c>
      <c r="L355" s="227">
        <v>46087.229166666664</v>
      </c>
      <c r="M355" s="227">
        <v>46090.229166666664</v>
      </c>
      <c r="N355" s="227">
        <v>46093.698611111111</v>
      </c>
      <c r="O355" s="226" t="s">
        <v>1171</v>
      </c>
      <c r="P355" s="227">
        <v>46109.229166666664</v>
      </c>
      <c r="Q355" s="226">
        <v>4</v>
      </c>
      <c r="R355" s="226"/>
      <c r="S355" s="226">
        <v>2</v>
      </c>
      <c r="T355" s="226"/>
      <c r="U355" s="226" t="s">
        <v>1</v>
      </c>
      <c r="V355" s="226" t="s">
        <v>1</v>
      </c>
      <c r="W355" s="226" t="s">
        <v>1489</v>
      </c>
      <c r="X355" s="227">
        <v>46070.749305555553</v>
      </c>
      <c r="Y355" s="226" t="s">
        <v>1769</v>
      </c>
      <c r="Z355" s="226" t="s">
        <v>1763</v>
      </c>
      <c r="AA355" s="226" t="s">
        <v>1467</v>
      </c>
      <c r="AB355" s="226"/>
      <c r="AC355" s="226"/>
      <c r="AD355" s="226" t="s">
        <v>1761</v>
      </c>
      <c r="AE355" s="226" t="s">
        <v>1176</v>
      </c>
    </row>
    <row r="356" spans="1:31">
      <c r="A356" s="226" t="s">
        <v>1768</v>
      </c>
      <c r="B356" s="226" t="s">
        <v>1123</v>
      </c>
      <c r="C356" s="226" t="s">
        <v>1094</v>
      </c>
      <c r="D356" s="226" t="s">
        <v>1188</v>
      </c>
      <c r="E356" s="226">
        <v>4373561</v>
      </c>
      <c r="F356" s="226">
        <v>4371466</v>
      </c>
      <c r="G356" s="226" t="s">
        <v>736</v>
      </c>
      <c r="H356" s="226" t="s">
        <v>218</v>
      </c>
      <c r="I356" s="226" t="s">
        <v>1761</v>
      </c>
      <c r="J356" s="226" t="s">
        <v>1170</v>
      </c>
      <c r="K356" s="227">
        <v>46087.229166666664</v>
      </c>
      <c r="L356" s="227">
        <v>46087.229166666664</v>
      </c>
      <c r="M356" s="227">
        <v>46092.229166666664</v>
      </c>
      <c r="N356" s="227">
        <v>46094.92083333333</v>
      </c>
      <c r="O356" s="226" t="s">
        <v>1171</v>
      </c>
      <c r="P356" s="227">
        <v>46109.229166666664</v>
      </c>
      <c r="Q356" s="226">
        <v>5</v>
      </c>
      <c r="R356" s="226"/>
      <c r="S356" s="226">
        <v>2</v>
      </c>
      <c r="T356" s="226"/>
      <c r="U356" s="226" t="s">
        <v>1</v>
      </c>
      <c r="V356" s="226" t="s">
        <v>1</v>
      </c>
      <c r="W356" s="226" t="s">
        <v>1489</v>
      </c>
      <c r="X356" s="227">
        <v>46070.527777777781</v>
      </c>
      <c r="Y356" s="226" t="s">
        <v>1769</v>
      </c>
      <c r="Z356" s="226" t="s">
        <v>1763</v>
      </c>
      <c r="AA356" s="226" t="s">
        <v>1467</v>
      </c>
      <c r="AB356" s="226"/>
      <c r="AC356" s="226"/>
      <c r="AD356" s="226" t="s">
        <v>1761</v>
      </c>
      <c r="AE356" s="226" t="s">
        <v>1176</v>
      </c>
    </row>
    <row r="357" spans="1:31">
      <c r="A357" s="226" t="s">
        <v>1768</v>
      </c>
      <c r="B357" s="226" t="s">
        <v>1123</v>
      </c>
      <c r="C357" s="226" t="s">
        <v>1094</v>
      </c>
      <c r="D357" s="226" t="s">
        <v>1188</v>
      </c>
      <c r="E357" s="226">
        <v>4373561</v>
      </c>
      <c r="F357" s="226">
        <v>4371529</v>
      </c>
      <c r="G357" s="226" t="s">
        <v>697</v>
      </c>
      <c r="H357" s="226" t="s">
        <v>218</v>
      </c>
      <c r="I357" s="226" t="s">
        <v>1761</v>
      </c>
      <c r="J357" s="226" t="s">
        <v>1170</v>
      </c>
      <c r="K357" s="227">
        <v>46087.229166666664</v>
      </c>
      <c r="L357" s="227">
        <v>46087.229166666664</v>
      </c>
      <c r="M357" s="227">
        <v>46092.229166666664</v>
      </c>
      <c r="N357" s="227">
        <v>46093.04791666667</v>
      </c>
      <c r="O357" s="226" t="s">
        <v>1171</v>
      </c>
      <c r="P357" s="227">
        <v>46109.229166666664</v>
      </c>
      <c r="Q357" s="226">
        <v>2</v>
      </c>
      <c r="R357" s="226"/>
      <c r="S357" s="226">
        <v>2</v>
      </c>
      <c r="T357" s="226"/>
      <c r="U357" s="226" t="s">
        <v>1</v>
      </c>
      <c r="V357" s="226" t="s">
        <v>1</v>
      </c>
      <c r="W357" s="226" t="s">
        <v>1489</v>
      </c>
      <c r="X357" s="227">
        <v>46070.561111111114</v>
      </c>
      <c r="Y357" s="226" t="s">
        <v>1769</v>
      </c>
      <c r="Z357" s="226" t="s">
        <v>1763</v>
      </c>
      <c r="AA357" s="226" t="s">
        <v>1467</v>
      </c>
      <c r="AB357" s="226"/>
      <c r="AC357" s="226"/>
      <c r="AD357" s="226" t="s">
        <v>1761</v>
      </c>
      <c r="AE357" s="226" t="s">
        <v>1176</v>
      </c>
    </row>
    <row r="358" spans="1:31">
      <c r="A358" s="226" t="s">
        <v>1768</v>
      </c>
      <c r="B358" s="226" t="s">
        <v>1123</v>
      </c>
      <c r="C358" s="226" t="s">
        <v>1094</v>
      </c>
      <c r="D358" s="226" t="s">
        <v>1188</v>
      </c>
      <c r="E358" s="226">
        <v>4373561</v>
      </c>
      <c r="F358" s="226">
        <v>4368209</v>
      </c>
      <c r="G358" s="226" t="s">
        <v>704</v>
      </c>
      <c r="H358" s="226" t="s">
        <v>218</v>
      </c>
      <c r="I358" s="226" t="s">
        <v>1761</v>
      </c>
      <c r="J358" s="226" t="s">
        <v>1170</v>
      </c>
      <c r="K358" s="227">
        <v>46085.229166666664</v>
      </c>
      <c r="L358" s="227">
        <v>46086.229166666664</v>
      </c>
      <c r="M358" s="227">
        <v>46090.229166666664</v>
      </c>
      <c r="N358" s="227">
        <v>46093.695833333331</v>
      </c>
      <c r="O358" s="226" t="s">
        <v>1171</v>
      </c>
      <c r="P358" s="227">
        <v>46109.229166666664</v>
      </c>
      <c r="Q358" s="226">
        <v>3</v>
      </c>
      <c r="R358" s="226"/>
      <c r="S358" s="226">
        <v>2</v>
      </c>
      <c r="T358" s="226"/>
      <c r="U358" s="226" t="s">
        <v>1</v>
      </c>
      <c r="V358" s="226" t="s">
        <v>1</v>
      </c>
      <c r="W358" s="226" t="s">
        <v>1765</v>
      </c>
      <c r="X358" s="227">
        <v>46066.898611111108</v>
      </c>
      <c r="Y358" s="226" t="s">
        <v>1769</v>
      </c>
      <c r="Z358" s="226" t="s">
        <v>1763</v>
      </c>
      <c r="AA358" s="226" t="s">
        <v>1467</v>
      </c>
      <c r="AB358" s="226"/>
      <c r="AC358" s="226"/>
      <c r="AD358" s="226" t="s">
        <v>1761</v>
      </c>
      <c r="AE358" s="226" t="s">
        <v>1176</v>
      </c>
    </row>
    <row r="359" spans="1:31">
      <c r="A359" s="226" t="s">
        <v>1768</v>
      </c>
      <c r="B359" s="226" t="s">
        <v>1123</v>
      </c>
      <c r="C359" s="226" t="s">
        <v>1094</v>
      </c>
      <c r="D359" s="226" t="s">
        <v>1188</v>
      </c>
      <c r="E359" s="226">
        <v>4373561</v>
      </c>
      <c r="F359" s="226">
        <v>4368225</v>
      </c>
      <c r="G359" s="226" t="s">
        <v>706</v>
      </c>
      <c r="H359" s="226" t="s">
        <v>218</v>
      </c>
      <c r="I359" s="226" t="s">
        <v>1761</v>
      </c>
      <c r="J359" s="226" t="s">
        <v>1170</v>
      </c>
      <c r="K359" s="227">
        <v>46087.229166666664</v>
      </c>
      <c r="L359" s="227">
        <v>46088.074305555558</v>
      </c>
      <c r="M359" s="227">
        <v>46093.229166666664</v>
      </c>
      <c r="N359" s="227">
        <v>46094.668055555558</v>
      </c>
      <c r="O359" s="226" t="s">
        <v>1171</v>
      </c>
      <c r="P359" s="227">
        <v>46109.229166666664</v>
      </c>
      <c r="Q359" s="226">
        <v>4</v>
      </c>
      <c r="R359" s="226"/>
      <c r="S359" s="226">
        <v>2</v>
      </c>
      <c r="T359" s="226"/>
      <c r="U359" s="226" t="s">
        <v>1</v>
      </c>
      <c r="V359" s="226" t="s">
        <v>1</v>
      </c>
      <c r="W359" s="226" t="s">
        <v>1765</v>
      </c>
      <c r="X359" s="227">
        <v>46066.924305555556</v>
      </c>
      <c r="Y359" s="226" t="s">
        <v>1770</v>
      </c>
      <c r="Z359" s="226" t="s">
        <v>1763</v>
      </c>
      <c r="AA359" s="226" t="s">
        <v>1467</v>
      </c>
      <c r="AB359" s="226"/>
      <c r="AC359" s="226"/>
      <c r="AD359" s="226" t="s">
        <v>1761</v>
      </c>
      <c r="AE359" s="226" t="s">
        <v>1176</v>
      </c>
    </row>
    <row r="360" spans="1:31">
      <c r="A360" s="226" t="s">
        <v>1768</v>
      </c>
      <c r="B360" s="226" t="s">
        <v>1123</v>
      </c>
      <c r="C360" s="226" t="s">
        <v>1094</v>
      </c>
      <c r="D360" s="226" t="s">
        <v>1188</v>
      </c>
      <c r="E360" s="226">
        <v>4373561</v>
      </c>
      <c r="F360" s="226">
        <v>4368226</v>
      </c>
      <c r="G360" s="226" t="s">
        <v>708</v>
      </c>
      <c r="H360" s="226" t="s">
        <v>218</v>
      </c>
      <c r="I360" s="226" t="s">
        <v>1761</v>
      </c>
      <c r="J360" s="226" t="s">
        <v>1170</v>
      </c>
      <c r="K360" s="227">
        <v>46087.229166666664</v>
      </c>
      <c r="L360" s="227">
        <v>46087.273611111108</v>
      </c>
      <c r="M360" s="227">
        <v>46093.229166666664</v>
      </c>
      <c r="N360" s="227">
        <v>46094.668749999997</v>
      </c>
      <c r="O360" s="226" t="s">
        <v>1171</v>
      </c>
      <c r="P360" s="227">
        <v>46109.229166666664</v>
      </c>
      <c r="Q360" s="226">
        <v>3</v>
      </c>
      <c r="R360" s="226"/>
      <c r="S360" s="226">
        <v>2</v>
      </c>
      <c r="T360" s="226"/>
      <c r="U360" s="226" t="s">
        <v>1</v>
      </c>
      <c r="V360" s="226" t="s">
        <v>1</v>
      </c>
      <c r="W360" s="226" t="s">
        <v>1765</v>
      </c>
      <c r="X360" s="227">
        <v>46066.930555555555</v>
      </c>
      <c r="Y360" s="226" t="s">
        <v>1770</v>
      </c>
      <c r="Z360" s="226" t="s">
        <v>1763</v>
      </c>
      <c r="AA360" s="226" t="s">
        <v>1467</v>
      </c>
      <c r="AB360" s="226"/>
      <c r="AC360" s="226"/>
      <c r="AD360" s="226" t="s">
        <v>1761</v>
      </c>
      <c r="AE360" s="226" t="s">
        <v>1176</v>
      </c>
    </row>
    <row r="361" spans="1:31">
      <c r="A361" s="226" t="s">
        <v>1771</v>
      </c>
      <c r="B361" s="226" t="s">
        <v>1123</v>
      </c>
      <c r="C361" s="226" t="s">
        <v>1772</v>
      </c>
      <c r="D361" s="226" t="s">
        <v>1773</v>
      </c>
      <c r="E361" s="226">
        <v>4368212</v>
      </c>
      <c r="F361" s="226">
        <v>4368210</v>
      </c>
      <c r="G361" s="226" t="s">
        <v>883</v>
      </c>
      <c r="H361" s="226" t="s">
        <v>866</v>
      </c>
      <c r="I361" s="226" t="s">
        <v>1774</v>
      </c>
      <c r="J361" s="226" t="s">
        <v>1310</v>
      </c>
      <c r="K361" s="227">
        <v>46091.979166666664</v>
      </c>
      <c r="L361" s="227">
        <v>46091.691666666666</v>
      </c>
      <c r="M361" s="227">
        <v>46092.020833333336</v>
      </c>
      <c r="N361" s="227">
        <v>46092.722916666666</v>
      </c>
      <c r="O361" s="226" t="s">
        <v>1775</v>
      </c>
      <c r="P361" s="227">
        <v>46109.229166666664</v>
      </c>
      <c r="Q361" s="226">
        <v>5</v>
      </c>
      <c r="R361" s="226"/>
      <c r="S361" s="226">
        <v>3</v>
      </c>
      <c r="T361" s="226"/>
      <c r="U361" s="226" t="s">
        <v>1</v>
      </c>
      <c r="V361" s="226" t="s">
        <v>1</v>
      </c>
      <c r="W361" s="226" t="s">
        <v>1254</v>
      </c>
      <c r="X361" s="227">
        <v>46066.900694444441</v>
      </c>
      <c r="Y361" s="226" t="s">
        <v>1776</v>
      </c>
      <c r="Z361" s="226" t="s">
        <v>1777</v>
      </c>
      <c r="AA361" s="226" t="s">
        <v>1778</v>
      </c>
      <c r="AB361" s="226"/>
      <c r="AC361" s="226"/>
      <c r="AD361" s="226" t="s">
        <v>1773</v>
      </c>
      <c r="AE361" s="226" t="s">
        <v>1779</v>
      </c>
    </row>
    <row r="362" spans="1:31">
      <c r="A362" s="226" t="s">
        <v>1771</v>
      </c>
      <c r="B362" s="226" t="s">
        <v>1123</v>
      </c>
      <c r="C362" s="226" t="s">
        <v>1772</v>
      </c>
      <c r="D362" s="226" t="s">
        <v>1773</v>
      </c>
      <c r="E362" s="226">
        <v>4368212</v>
      </c>
      <c r="F362" s="226">
        <v>4368211</v>
      </c>
      <c r="G362" s="226" t="s">
        <v>883</v>
      </c>
      <c r="H362" s="226" t="s">
        <v>218</v>
      </c>
      <c r="I362" s="226" t="s">
        <v>1774</v>
      </c>
      <c r="J362" s="226" t="s">
        <v>1310</v>
      </c>
      <c r="K362" s="227">
        <v>46090.979166666664</v>
      </c>
      <c r="L362" s="227">
        <v>46090.972916666666</v>
      </c>
      <c r="M362" s="227">
        <v>46092.020833333336</v>
      </c>
      <c r="N362" s="227">
        <v>46092.722222222219</v>
      </c>
      <c r="O362" s="226" t="s">
        <v>1775</v>
      </c>
      <c r="P362" s="227">
        <v>46109.229166666664</v>
      </c>
      <c r="Q362" s="226">
        <v>5</v>
      </c>
      <c r="R362" s="226"/>
      <c r="S362" s="226">
        <v>3</v>
      </c>
      <c r="T362" s="226"/>
      <c r="U362" s="226" t="s">
        <v>1</v>
      </c>
      <c r="V362" s="226" t="s">
        <v>1</v>
      </c>
      <c r="W362" s="226" t="s">
        <v>1254</v>
      </c>
      <c r="X362" s="227">
        <v>46066.901388888888</v>
      </c>
      <c r="Y362" s="226" t="s">
        <v>1780</v>
      </c>
      <c r="Z362" s="226" t="s">
        <v>1777</v>
      </c>
      <c r="AA362" s="226" t="s">
        <v>1778</v>
      </c>
      <c r="AB362" s="226"/>
      <c r="AC362" s="226"/>
      <c r="AD362" s="226" t="s">
        <v>1773</v>
      </c>
      <c r="AE362" s="226" t="s">
        <v>1779</v>
      </c>
    </row>
    <row r="363" spans="1:31">
      <c r="A363" s="226" t="s">
        <v>1781</v>
      </c>
      <c r="B363" s="226" t="s">
        <v>1123</v>
      </c>
      <c r="C363" s="226" t="s">
        <v>1772</v>
      </c>
      <c r="D363" s="226" t="s">
        <v>1773</v>
      </c>
      <c r="E363" s="226">
        <v>4368157</v>
      </c>
      <c r="F363" s="226">
        <v>4368141</v>
      </c>
      <c r="G363" s="226" t="s">
        <v>870</v>
      </c>
      <c r="H363" s="226" t="s">
        <v>866</v>
      </c>
      <c r="I363" s="226" t="s">
        <v>1774</v>
      </c>
      <c r="J363" s="226" t="s">
        <v>1310</v>
      </c>
      <c r="K363" s="227">
        <v>46091.979166666664</v>
      </c>
      <c r="L363" s="227">
        <v>46091.915277777778</v>
      </c>
      <c r="M363" s="227">
        <v>46095.0625</v>
      </c>
      <c r="N363" s="227">
        <v>46094.993055555555</v>
      </c>
      <c r="O363" s="226" t="s">
        <v>1775</v>
      </c>
      <c r="P363" s="227">
        <v>46109.229166666664</v>
      </c>
      <c r="Q363" s="226">
        <v>6</v>
      </c>
      <c r="R363" s="226"/>
      <c r="S363" s="226">
        <v>1</v>
      </c>
      <c r="T363" s="226"/>
      <c r="U363" s="226" t="s">
        <v>1</v>
      </c>
      <c r="V363" s="226" t="s">
        <v>1</v>
      </c>
      <c r="W363" s="226" t="s">
        <v>1254</v>
      </c>
      <c r="X363" s="227">
        <v>46066.861805555556</v>
      </c>
      <c r="Y363" s="226" t="s">
        <v>1782</v>
      </c>
      <c r="Z363" s="226" t="s">
        <v>1777</v>
      </c>
      <c r="AA363" s="226" t="s">
        <v>1778</v>
      </c>
      <c r="AB363" s="226"/>
      <c r="AC363" s="226"/>
      <c r="AD363" s="226" t="s">
        <v>1773</v>
      </c>
      <c r="AE363" s="226" t="s">
        <v>1779</v>
      </c>
    </row>
    <row r="364" spans="1:31">
      <c r="A364" s="226" t="s">
        <v>1781</v>
      </c>
      <c r="B364" s="226" t="s">
        <v>1123</v>
      </c>
      <c r="C364" s="226" t="s">
        <v>1772</v>
      </c>
      <c r="D364" s="226" t="s">
        <v>1773</v>
      </c>
      <c r="E364" s="226">
        <v>4368157</v>
      </c>
      <c r="F364" s="226">
        <v>4368158</v>
      </c>
      <c r="G364" s="226" t="s">
        <v>873</v>
      </c>
      <c r="H364" s="226" t="s">
        <v>866</v>
      </c>
      <c r="I364" s="226" t="s">
        <v>1774</v>
      </c>
      <c r="J364" s="226" t="s">
        <v>1310</v>
      </c>
      <c r="K364" s="227">
        <v>46092.020833333336</v>
      </c>
      <c r="L364" s="227">
        <v>46091.97152777778</v>
      </c>
      <c r="M364" s="227">
        <v>46095.0625</v>
      </c>
      <c r="N364" s="227">
        <v>46094.830555555556</v>
      </c>
      <c r="O364" s="226" t="s">
        <v>1775</v>
      </c>
      <c r="P364" s="227">
        <v>46109.229166666664</v>
      </c>
      <c r="Q364" s="226">
        <v>4</v>
      </c>
      <c r="R364" s="226"/>
      <c r="S364" s="226">
        <v>1</v>
      </c>
      <c r="T364" s="226"/>
      <c r="U364" s="226" t="s">
        <v>1</v>
      </c>
      <c r="V364" s="226" t="s">
        <v>1</v>
      </c>
      <c r="W364" s="226" t="s">
        <v>1254</v>
      </c>
      <c r="X364" s="227">
        <v>46066.886111111111</v>
      </c>
      <c r="Y364" s="226" t="s">
        <v>1782</v>
      </c>
      <c r="Z364" s="226" t="s">
        <v>1777</v>
      </c>
      <c r="AA364" s="226" t="s">
        <v>1778</v>
      </c>
      <c r="AB364" s="226"/>
      <c r="AC364" s="226"/>
      <c r="AD364" s="226" t="s">
        <v>1773</v>
      </c>
      <c r="AE364" s="226" t="s">
        <v>1779</v>
      </c>
    </row>
    <row r="365" spans="1:31">
      <c r="A365" s="226" t="s">
        <v>1781</v>
      </c>
      <c r="B365" s="226" t="s">
        <v>1123</v>
      </c>
      <c r="C365" s="226" t="s">
        <v>1772</v>
      </c>
      <c r="D365" s="226" t="s">
        <v>1773</v>
      </c>
      <c r="E365" s="226">
        <v>4368157</v>
      </c>
      <c r="F365" s="226">
        <v>4368160</v>
      </c>
      <c r="G365" s="226" t="s">
        <v>1783</v>
      </c>
      <c r="H365" s="226" t="s">
        <v>1784</v>
      </c>
      <c r="I365" s="226" t="s">
        <v>1774</v>
      </c>
      <c r="J365" s="226" t="s">
        <v>1310</v>
      </c>
      <c r="K365" s="227">
        <v>46092.979166666664</v>
      </c>
      <c r="L365" s="227">
        <v>46092.726388888892</v>
      </c>
      <c r="M365" s="227">
        <v>46095.0625</v>
      </c>
      <c r="N365" s="227">
        <v>46094.993055555555</v>
      </c>
      <c r="O365" s="226" t="s">
        <v>1775</v>
      </c>
      <c r="P365" s="227">
        <v>46109.229166666664</v>
      </c>
      <c r="Q365" s="226">
        <v>4</v>
      </c>
      <c r="R365" s="226"/>
      <c r="S365" s="226">
        <v>1</v>
      </c>
      <c r="T365" s="226"/>
      <c r="U365" s="226" t="s">
        <v>1</v>
      </c>
      <c r="V365" s="226" t="s">
        <v>1</v>
      </c>
      <c r="W365" s="226" t="s">
        <v>1254</v>
      </c>
      <c r="X365" s="227">
        <v>46066.88958333333</v>
      </c>
      <c r="Y365" s="226" t="s">
        <v>1782</v>
      </c>
      <c r="Z365" s="226" t="s">
        <v>1777</v>
      </c>
      <c r="AA365" s="226" t="s">
        <v>1778</v>
      </c>
      <c r="AB365" s="226"/>
      <c r="AC365" s="226"/>
      <c r="AD365" s="226" t="s">
        <v>1773</v>
      </c>
      <c r="AE365" s="226" t="s">
        <v>1779</v>
      </c>
    </row>
    <row r="366" spans="1:31">
      <c r="A366" s="226" t="s">
        <v>1781</v>
      </c>
      <c r="B366" s="226" t="s">
        <v>1123</v>
      </c>
      <c r="C366" s="226" t="s">
        <v>1772</v>
      </c>
      <c r="D366" s="226" t="s">
        <v>1773</v>
      </c>
      <c r="E366" s="226">
        <v>4368157</v>
      </c>
      <c r="F366" s="226">
        <v>4368163</v>
      </c>
      <c r="G366" s="226" t="s">
        <v>879</v>
      </c>
      <c r="H366" s="226" t="s">
        <v>1784</v>
      </c>
      <c r="I366" s="226" t="s">
        <v>1774</v>
      </c>
      <c r="J366" s="226" t="s">
        <v>1310</v>
      </c>
      <c r="K366" s="227">
        <v>46092.979166666664</v>
      </c>
      <c r="L366" s="227">
        <v>46092.722916666666</v>
      </c>
      <c r="M366" s="227">
        <v>46095.0625</v>
      </c>
      <c r="N366" s="227">
        <v>46094.831250000003</v>
      </c>
      <c r="O366" s="226" t="s">
        <v>1775</v>
      </c>
      <c r="P366" s="227">
        <v>46109.229166666664</v>
      </c>
      <c r="Q366" s="226">
        <v>4</v>
      </c>
      <c r="R366" s="226"/>
      <c r="S366" s="226">
        <v>1</v>
      </c>
      <c r="T366" s="226"/>
      <c r="U366" s="226" t="s">
        <v>1</v>
      </c>
      <c r="V366" s="226" t="s">
        <v>1</v>
      </c>
      <c r="W366" s="226" t="s">
        <v>1254</v>
      </c>
      <c r="X366" s="227">
        <v>46066.89166666667</v>
      </c>
      <c r="Y366" s="226" t="s">
        <v>1782</v>
      </c>
      <c r="Z366" s="226" t="s">
        <v>1777</v>
      </c>
      <c r="AA366" s="226" t="s">
        <v>1778</v>
      </c>
      <c r="AB366" s="226"/>
      <c r="AC366" s="226"/>
      <c r="AD366" s="226" t="s">
        <v>1773</v>
      </c>
      <c r="AE366" s="226" t="s">
        <v>1779</v>
      </c>
    </row>
    <row r="367" spans="1:31">
      <c r="A367" s="226" t="s">
        <v>1785</v>
      </c>
      <c r="B367" s="226" t="s">
        <v>1123</v>
      </c>
      <c r="C367" s="226" t="s">
        <v>1772</v>
      </c>
      <c r="D367" s="226" t="s">
        <v>1773</v>
      </c>
      <c r="E367" s="226">
        <v>4356899</v>
      </c>
      <c r="F367" s="226">
        <v>4371933</v>
      </c>
      <c r="G367" s="226" t="s">
        <v>884</v>
      </c>
      <c r="H367" s="226" t="s">
        <v>866</v>
      </c>
      <c r="I367" s="226" t="s">
        <v>1774</v>
      </c>
      <c r="J367" s="226" t="s">
        <v>1310</v>
      </c>
      <c r="K367" s="227">
        <v>46092.979166666664</v>
      </c>
      <c r="L367" s="227">
        <v>46092.918749999997</v>
      </c>
      <c r="M367" s="227">
        <v>46093.0625</v>
      </c>
      <c r="N367" s="227">
        <v>46094.719444444447</v>
      </c>
      <c r="O367" s="226" t="s">
        <v>1775</v>
      </c>
      <c r="P367" s="227">
        <v>46109.229166666664</v>
      </c>
      <c r="Q367" s="226">
        <v>6</v>
      </c>
      <c r="R367" s="226"/>
      <c r="S367" s="226">
        <v>2</v>
      </c>
      <c r="T367" s="226"/>
      <c r="U367" s="226" t="s">
        <v>1</v>
      </c>
      <c r="V367" s="226" t="s">
        <v>1</v>
      </c>
      <c r="W367" s="226" t="s">
        <v>1254</v>
      </c>
      <c r="X367" s="227">
        <v>46070.921527777777</v>
      </c>
      <c r="Y367" s="226" t="s">
        <v>1786</v>
      </c>
      <c r="Z367" s="226" t="s">
        <v>1777</v>
      </c>
      <c r="AA367" s="226" t="s">
        <v>1778</v>
      </c>
      <c r="AB367" s="226"/>
      <c r="AC367" s="226"/>
      <c r="AD367" s="226" t="s">
        <v>1773</v>
      </c>
      <c r="AE367" s="226" t="s">
        <v>1779</v>
      </c>
    </row>
    <row r="368" spans="1:31">
      <c r="A368" s="226" t="s">
        <v>1785</v>
      </c>
      <c r="B368" s="226" t="s">
        <v>1123</v>
      </c>
      <c r="C368" s="226" t="s">
        <v>1772</v>
      </c>
      <c r="D368" s="226" t="s">
        <v>1773</v>
      </c>
      <c r="E368" s="226">
        <v>4356899</v>
      </c>
      <c r="F368" s="226">
        <v>4362567</v>
      </c>
      <c r="G368" s="226" t="s">
        <v>859</v>
      </c>
      <c r="H368" s="226" t="s">
        <v>866</v>
      </c>
      <c r="I368" s="226" t="s">
        <v>1774</v>
      </c>
      <c r="J368" s="226" t="s">
        <v>1310</v>
      </c>
      <c r="K368" s="227">
        <v>46092.958333333336</v>
      </c>
      <c r="L368" s="227">
        <v>46092.959722222222</v>
      </c>
      <c r="M368" s="227">
        <v>46095.020833333336</v>
      </c>
      <c r="N368" s="227">
        <v>46099.716666666667</v>
      </c>
      <c r="O368" s="226" t="s">
        <v>1775</v>
      </c>
      <c r="P368" s="227">
        <v>46109.229166666664</v>
      </c>
      <c r="Q368" s="226">
        <v>5</v>
      </c>
      <c r="R368" s="226"/>
      <c r="S368" s="226">
        <v>1</v>
      </c>
      <c r="T368" s="226"/>
      <c r="U368" s="226" t="s">
        <v>1</v>
      </c>
      <c r="V368" s="226" t="s">
        <v>1</v>
      </c>
      <c r="W368" s="226" t="s">
        <v>1254</v>
      </c>
      <c r="X368" s="227">
        <v>46064.522916666669</v>
      </c>
      <c r="Y368" s="226" t="s">
        <v>1786</v>
      </c>
      <c r="Z368" s="226" t="s">
        <v>1777</v>
      </c>
      <c r="AA368" s="226" t="s">
        <v>1778</v>
      </c>
      <c r="AB368" s="226"/>
      <c r="AC368" s="226"/>
      <c r="AD368" s="226" t="s">
        <v>1773</v>
      </c>
      <c r="AE368" s="226" t="s">
        <v>1779</v>
      </c>
    </row>
    <row r="369" spans="1:31">
      <c r="A369" s="226" t="s">
        <v>1785</v>
      </c>
      <c r="B369" s="226" t="s">
        <v>1123</v>
      </c>
      <c r="C369" s="226" t="s">
        <v>1772</v>
      </c>
      <c r="D369" s="226" t="s">
        <v>1773</v>
      </c>
      <c r="E369" s="226">
        <v>4356899</v>
      </c>
      <c r="F369" s="226">
        <v>4308725</v>
      </c>
      <c r="G369" s="226" t="s">
        <v>1787</v>
      </c>
      <c r="H369" s="226" t="s">
        <v>1784</v>
      </c>
      <c r="I369" s="226" t="s">
        <v>1774</v>
      </c>
      <c r="J369" s="226" t="s">
        <v>1310</v>
      </c>
      <c r="K369" s="227">
        <v>46092.979166666664</v>
      </c>
      <c r="L369" s="227">
        <v>46092.977777777778</v>
      </c>
      <c r="M369" s="227">
        <v>46095.0625</v>
      </c>
      <c r="N369" s="227">
        <v>46098.71875</v>
      </c>
      <c r="O369" s="226" t="s">
        <v>1775</v>
      </c>
      <c r="P369" s="227">
        <v>46109.229166666664</v>
      </c>
      <c r="Q369" s="226">
        <v>33</v>
      </c>
      <c r="R369" s="226"/>
      <c r="S369" s="226">
        <v>2</v>
      </c>
      <c r="T369" s="226"/>
      <c r="U369" s="226" t="s">
        <v>1</v>
      </c>
      <c r="V369" s="226" t="s">
        <v>1</v>
      </c>
      <c r="W369" s="226" t="s">
        <v>1254</v>
      </c>
      <c r="X369" s="227">
        <v>46022.701388888891</v>
      </c>
      <c r="Y369" s="226" t="s">
        <v>1788</v>
      </c>
      <c r="Z369" s="226" t="s">
        <v>1777</v>
      </c>
      <c r="AA369" s="226" t="s">
        <v>1778</v>
      </c>
      <c r="AB369" s="226"/>
      <c r="AC369" s="226"/>
      <c r="AD369" s="226" t="s">
        <v>1773</v>
      </c>
      <c r="AE369" s="226" t="s">
        <v>1779</v>
      </c>
    </row>
    <row r="370" spans="1:31">
      <c r="A370" s="226" t="s">
        <v>1785</v>
      </c>
      <c r="B370" s="226" t="s">
        <v>1123</v>
      </c>
      <c r="C370" s="226" t="s">
        <v>1772</v>
      </c>
      <c r="D370" s="226" t="s">
        <v>1773</v>
      </c>
      <c r="E370" s="226">
        <v>4356899</v>
      </c>
      <c r="F370" s="226">
        <v>4308730</v>
      </c>
      <c r="G370" s="226" t="s">
        <v>1789</v>
      </c>
      <c r="H370" s="226" t="s">
        <v>1784</v>
      </c>
      <c r="I370" s="226" t="s">
        <v>1774</v>
      </c>
      <c r="J370" s="226" t="s">
        <v>1310</v>
      </c>
      <c r="K370" s="227">
        <v>46092.979166666664</v>
      </c>
      <c r="L370" s="227">
        <v>46092.977777777778</v>
      </c>
      <c r="M370" s="227">
        <v>46095.0625</v>
      </c>
      <c r="N370" s="227">
        <v>46095.015277777777</v>
      </c>
      <c r="O370" s="226" t="s">
        <v>1775</v>
      </c>
      <c r="P370" s="227">
        <v>46109.229166666664</v>
      </c>
      <c r="Q370" s="226">
        <v>10</v>
      </c>
      <c r="R370" s="226"/>
      <c r="S370" s="226">
        <v>1</v>
      </c>
      <c r="T370" s="226"/>
      <c r="U370" s="226" t="s">
        <v>1</v>
      </c>
      <c r="V370" s="226" t="s">
        <v>1</v>
      </c>
      <c r="W370" s="226" t="s">
        <v>1254</v>
      </c>
      <c r="X370" s="227">
        <v>46022.702777777777</v>
      </c>
      <c r="Y370" s="226" t="s">
        <v>1790</v>
      </c>
      <c r="Z370" s="226" t="s">
        <v>1777</v>
      </c>
      <c r="AA370" s="226" t="s">
        <v>1778</v>
      </c>
      <c r="AB370" s="226"/>
      <c r="AC370" s="226"/>
      <c r="AD370" s="226" t="s">
        <v>1773</v>
      </c>
      <c r="AE370" s="226" t="s">
        <v>1779</v>
      </c>
    </row>
    <row r="371" spans="1:31">
      <c r="A371" s="226" t="s">
        <v>1227</v>
      </c>
      <c r="B371" s="226" t="s">
        <v>1194</v>
      </c>
      <c r="C371" s="226" t="s">
        <v>1195</v>
      </c>
      <c r="D371" s="226" t="s">
        <v>1228</v>
      </c>
      <c r="E371" s="226">
        <v>4341338</v>
      </c>
      <c r="F371" s="226">
        <v>4346705</v>
      </c>
      <c r="G371" s="226" t="s">
        <v>864</v>
      </c>
      <c r="H371" s="226" t="s">
        <v>229</v>
      </c>
      <c r="I371" s="226" t="s">
        <v>1774</v>
      </c>
      <c r="J371" s="226" t="s">
        <v>1310</v>
      </c>
      <c r="K371" s="227">
        <v>46090.979166666664</v>
      </c>
      <c r="L371" s="227">
        <v>46090.967361111114</v>
      </c>
      <c r="M371" s="227">
        <v>46094.020833333336</v>
      </c>
      <c r="N371" s="227">
        <v>46090.967361111114</v>
      </c>
      <c r="O371" s="226" t="s">
        <v>1791</v>
      </c>
      <c r="P371" s="227">
        <v>46109.229166666664</v>
      </c>
      <c r="Q371" s="226">
        <v>3</v>
      </c>
      <c r="R371" s="226"/>
      <c r="S371" s="226">
        <v>2</v>
      </c>
      <c r="T371" s="226"/>
      <c r="U371" s="226" t="s">
        <v>1</v>
      </c>
      <c r="V371" s="226" t="s">
        <v>1</v>
      </c>
      <c r="W371" s="226" t="s">
        <v>1209</v>
      </c>
      <c r="X371" s="227">
        <v>46052.638888888891</v>
      </c>
      <c r="Y371" s="226" t="s">
        <v>1137</v>
      </c>
      <c r="Z371" s="226" t="s">
        <v>1777</v>
      </c>
      <c r="AA371" s="226" t="s">
        <v>1156</v>
      </c>
      <c r="AB371" s="226"/>
      <c r="AC371" s="226"/>
      <c r="AD371" s="226" t="s">
        <v>1535</v>
      </c>
      <c r="AE371" s="226" t="s">
        <v>1779</v>
      </c>
    </row>
    <row r="372" spans="1:31">
      <c r="A372" s="226" t="s">
        <v>1771</v>
      </c>
      <c r="B372" s="226" t="s">
        <v>1123</v>
      </c>
      <c r="C372" s="226" t="s">
        <v>1772</v>
      </c>
      <c r="D372" s="226" t="s">
        <v>1773</v>
      </c>
      <c r="E372" s="226">
        <v>4368212</v>
      </c>
      <c r="F372" s="226">
        <v>4389863</v>
      </c>
      <c r="G372" s="226" t="s">
        <v>1792</v>
      </c>
      <c r="H372" s="226" t="s">
        <v>866</v>
      </c>
      <c r="I372" s="226" t="s">
        <v>1774</v>
      </c>
      <c r="J372" s="226" t="s">
        <v>1310</v>
      </c>
      <c r="K372" s="227">
        <v>46093.0625</v>
      </c>
      <c r="L372" s="227">
        <v>46092.979166666664</v>
      </c>
      <c r="M372" s="227">
        <v>46095.0625</v>
      </c>
      <c r="N372" s="227">
        <v>46095.015277777777</v>
      </c>
      <c r="O372" s="226" t="s">
        <v>1775</v>
      </c>
      <c r="P372" s="227">
        <v>46109.229166666664</v>
      </c>
      <c r="Q372" s="226">
        <v>5</v>
      </c>
      <c r="R372" s="226"/>
      <c r="S372" s="226">
        <v>2</v>
      </c>
      <c r="T372" s="226"/>
      <c r="U372" s="226" t="s">
        <v>1</v>
      </c>
      <c r="V372" s="226" t="s">
        <v>1</v>
      </c>
      <c r="W372" s="226" t="s">
        <v>1254</v>
      </c>
      <c r="X372" s="227">
        <v>46077.462500000001</v>
      </c>
      <c r="Y372" s="226" t="s">
        <v>1776</v>
      </c>
      <c r="Z372" s="226" t="s">
        <v>1777</v>
      </c>
      <c r="AA372" s="226" t="s">
        <v>1778</v>
      </c>
      <c r="AB372" s="226"/>
      <c r="AC372" s="226"/>
      <c r="AD372" s="226" t="s">
        <v>1773</v>
      </c>
      <c r="AE372" s="226" t="s">
        <v>1779</v>
      </c>
    </row>
    <row r="373" spans="1:31">
      <c r="A373" s="226" t="s">
        <v>1793</v>
      </c>
      <c r="B373" s="226" t="s">
        <v>1123</v>
      </c>
      <c r="C373" s="226" t="s">
        <v>1772</v>
      </c>
      <c r="D373" s="226" t="s">
        <v>1773</v>
      </c>
      <c r="E373" s="226">
        <v>4390100</v>
      </c>
      <c r="F373" s="226">
        <v>4390101</v>
      </c>
      <c r="G373" s="226" t="s">
        <v>889</v>
      </c>
      <c r="H373" s="226" t="s">
        <v>866</v>
      </c>
      <c r="I373" s="226" t="s">
        <v>1774</v>
      </c>
      <c r="J373" s="226" t="s">
        <v>1310</v>
      </c>
      <c r="K373" s="227">
        <v>46092.979166666664</v>
      </c>
      <c r="L373" s="227">
        <v>46092.803472222222</v>
      </c>
      <c r="M373" s="227">
        <v>46095.0625</v>
      </c>
      <c r="N373" s="227">
        <v>46097.730555555558</v>
      </c>
      <c r="O373" s="226" t="s">
        <v>1775</v>
      </c>
      <c r="P373" s="227">
        <v>46109.229166666664</v>
      </c>
      <c r="Q373" s="226">
        <v>5</v>
      </c>
      <c r="R373" s="226"/>
      <c r="S373" s="226">
        <v>2</v>
      </c>
      <c r="T373" s="226"/>
      <c r="U373" s="226" t="s">
        <v>1</v>
      </c>
      <c r="V373" s="226" t="s">
        <v>1</v>
      </c>
      <c r="W373" s="226" t="s">
        <v>1254</v>
      </c>
      <c r="X373" s="227">
        <v>46077.645138888889</v>
      </c>
      <c r="Y373" s="226" t="s">
        <v>1794</v>
      </c>
      <c r="Z373" s="226" t="s">
        <v>1777</v>
      </c>
      <c r="AA373" s="226" t="s">
        <v>1778</v>
      </c>
      <c r="AB373" s="226"/>
      <c r="AC373" s="226"/>
      <c r="AD373" s="226" t="s">
        <v>1773</v>
      </c>
      <c r="AE373" s="226" t="s">
        <v>1779</v>
      </c>
    </row>
    <row r="374" spans="1:31">
      <c r="A374" s="226" t="s">
        <v>1785</v>
      </c>
      <c r="B374" s="226" t="s">
        <v>1123</v>
      </c>
      <c r="C374" s="226" t="s">
        <v>1772</v>
      </c>
      <c r="D374" s="226" t="s">
        <v>1773</v>
      </c>
      <c r="E374" s="226">
        <v>4356899</v>
      </c>
      <c r="F374" s="226">
        <v>4391662</v>
      </c>
      <c r="G374" s="226" t="s">
        <v>890</v>
      </c>
      <c r="H374" s="226" t="s">
        <v>218</v>
      </c>
      <c r="I374" s="226" t="s">
        <v>1774</v>
      </c>
      <c r="J374" s="226" t="s">
        <v>1310</v>
      </c>
      <c r="K374" s="227">
        <v>46097.979166666664</v>
      </c>
      <c r="L374" s="227">
        <v>46100.072222222225</v>
      </c>
      <c r="M374" s="227">
        <v>46098.979166666664</v>
      </c>
      <c r="N374" s="227">
        <v>46100.618055555555</v>
      </c>
      <c r="O374" s="226" t="s">
        <v>1775</v>
      </c>
      <c r="P374" s="227">
        <v>46109.229166666664</v>
      </c>
      <c r="Q374" s="226">
        <v>18</v>
      </c>
      <c r="R374" s="226"/>
      <c r="S374" s="226">
        <v>2</v>
      </c>
      <c r="T374" s="226"/>
      <c r="U374" s="226" t="s">
        <v>1</v>
      </c>
      <c r="V374" s="226" t="s">
        <v>1</v>
      </c>
      <c r="W374" s="226" t="s">
        <v>1254</v>
      </c>
      <c r="X374" s="227">
        <v>46078.617361111108</v>
      </c>
      <c r="Y374" s="226" t="s">
        <v>1795</v>
      </c>
      <c r="Z374" s="226" t="s">
        <v>1777</v>
      </c>
      <c r="AA374" s="226" t="s">
        <v>1778</v>
      </c>
      <c r="AB374" s="226"/>
      <c r="AC374" s="226"/>
      <c r="AD374" s="226" t="s">
        <v>1773</v>
      </c>
      <c r="AE374" s="226" t="s">
        <v>1779</v>
      </c>
    </row>
    <row r="375" spans="1:31">
      <c r="A375" s="226" t="s">
        <v>1785</v>
      </c>
      <c r="B375" s="226" t="s">
        <v>1123</v>
      </c>
      <c r="C375" s="226" t="s">
        <v>1772</v>
      </c>
      <c r="D375" s="226" t="s">
        <v>1773</v>
      </c>
      <c r="E375" s="226">
        <v>4356899</v>
      </c>
      <c r="F375" s="226">
        <v>4391918</v>
      </c>
      <c r="G375" s="226" t="s">
        <v>1796</v>
      </c>
      <c r="H375" s="226" t="s">
        <v>1784</v>
      </c>
      <c r="I375" s="226" t="s">
        <v>1774</v>
      </c>
      <c r="J375" s="226" t="s">
        <v>1310</v>
      </c>
      <c r="K375" s="227">
        <v>46092.979166666664</v>
      </c>
      <c r="L375" s="227">
        <v>46092.954861111109</v>
      </c>
      <c r="M375" s="227">
        <v>46095.0625</v>
      </c>
      <c r="N375" s="227">
        <v>46095.015972222223</v>
      </c>
      <c r="O375" s="226" t="s">
        <v>1775</v>
      </c>
      <c r="P375" s="227">
        <v>46109.229166666664</v>
      </c>
      <c r="Q375" s="226">
        <v>6</v>
      </c>
      <c r="R375" s="226"/>
      <c r="S375" s="226">
        <v>1</v>
      </c>
      <c r="T375" s="226"/>
      <c r="U375" s="226" t="s">
        <v>1</v>
      </c>
      <c r="V375" s="226" t="s">
        <v>1</v>
      </c>
      <c r="W375" s="226" t="s">
        <v>1254</v>
      </c>
      <c r="X375" s="227">
        <v>46078.703472222223</v>
      </c>
      <c r="Y375" s="226" t="s">
        <v>1797</v>
      </c>
      <c r="Z375" s="226" t="s">
        <v>1777</v>
      </c>
      <c r="AA375" s="226" t="s">
        <v>1635</v>
      </c>
      <c r="AB375" s="226"/>
      <c r="AC375" s="226"/>
      <c r="AD375" s="226" t="s">
        <v>1773</v>
      </c>
      <c r="AE375" s="226" t="s">
        <v>1779</v>
      </c>
    </row>
    <row r="376" spans="1:31">
      <c r="A376" s="226" t="s">
        <v>1204</v>
      </c>
      <c r="B376" s="226" t="s">
        <v>1194</v>
      </c>
      <c r="C376" s="226" t="s">
        <v>1194</v>
      </c>
      <c r="D376" s="226" t="s">
        <v>1205</v>
      </c>
      <c r="E376" s="226">
        <v>4330994</v>
      </c>
      <c r="F376" s="226">
        <v>4398530</v>
      </c>
      <c r="G376" s="226" t="s">
        <v>1798</v>
      </c>
      <c r="H376" s="226" t="s">
        <v>866</v>
      </c>
      <c r="I376" s="226" t="s">
        <v>1774</v>
      </c>
      <c r="J376" s="226" t="s">
        <v>1310</v>
      </c>
      <c r="K376" s="227">
        <v>46091.979166666664</v>
      </c>
      <c r="L376" s="227">
        <v>46091.978472222225</v>
      </c>
      <c r="M376" s="227">
        <v>46095.020833333336</v>
      </c>
      <c r="N376" s="227">
        <v>46098.788888888892</v>
      </c>
      <c r="O376" s="226" t="s">
        <v>1208</v>
      </c>
      <c r="P376" s="227">
        <v>46109.229166666664</v>
      </c>
      <c r="Q376" s="226">
        <v>4</v>
      </c>
      <c r="R376" s="226"/>
      <c r="S376" s="226">
        <v>2</v>
      </c>
      <c r="T376" s="226"/>
      <c r="U376" s="226" t="s">
        <v>1</v>
      </c>
      <c r="V376" s="226" t="s">
        <v>1</v>
      </c>
      <c r="W376" s="226" t="s">
        <v>1198</v>
      </c>
      <c r="X376" s="227">
        <v>46083.606944444444</v>
      </c>
      <c r="Y376" s="226" t="s">
        <v>1364</v>
      </c>
      <c r="Z376" s="226" t="s">
        <v>1777</v>
      </c>
      <c r="AA376" s="226" t="s">
        <v>1156</v>
      </c>
      <c r="AB376" s="226"/>
      <c r="AC376" s="226"/>
      <c r="AD376" s="226" t="s">
        <v>1211</v>
      </c>
      <c r="AE376" s="226" t="s">
        <v>1779</v>
      </c>
    </row>
    <row r="377" spans="1:31">
      <c r="A377" s="226" t="s">
        <v>1242</v>
      </c>
      <c r="B377" s="226" t="s">
        <v>1123</v>
      </c>
      <c r="C377" s="226" t="s">
        <v>1195</v>
      </c>
      <c r="D377" s="226" t="s">
        <v>1243</v>
      </c>
      <c r="E377" s="226">
        <v>4317244</v>
      </c>
      <c r="F377" s="226">
        <v>4398531</v>
      </c>
      <c r="G377" s="226" t="s">
        <v>893</v>
      </c>
      <c r="H377" s="226" t="s">
        <v>218</v>
      </c>
      <c r="I377" s="226" t="s">
        <v>1774</v>
      </c>
      <c r="J377" s="226" t="s">
        <v>1310</v>
      </c>
      <c r="K377" s="227">
        <v>46091.979166666664</v>
      </c>
      <c r="L377" s="227">
        <v>46091.915277777778</v>
      </c>
      <c r="M377" s="227">
        <v>46093.979166666664</v>
      </c>
      <c r="N377" s="227">
        <v>46093.90902777778</v>
      </c>
      <c r="O377" s="226" t="s">
        <v>1214</v>
      </c>
      <c r="P377" s="227">
        <v>46109.229166666664</v>
      </c>
      <c r="Q377" s="226">
        <v>4</v>
      </c>
      <c r="R377" s="226"/>
      <c r="S377" s="226">
        <v>2</v>
      </c>
      <c r="T377" s="226"/>
      <c r="U377" s="226" t="s">
        <v>1</v>
      </c>
      <c r="V377" s="226" t="s">
        <v>1</v>
      </c>
      <c r="W377" s="226" t="s">
        <v>1198</v>
      </c>
      <c r="X377" s="227">
        <v>46083.606944444444</v>
      </c>
      <c r="Y377" s="226" t="s">
        <v>1362</v>
      </c>
      <c r="Z377" s="226" t="s">
        <v>1777</v>
      </c>
      <c r="AA377" s="226" t="s">
        <v>1156</v>
      </c>
      <c r="AB377" s="226"/>
      <c r="AC377" s="226"/>
      <c r="AD377" s="226" t="s">
        <v>1245</v>
      </c>
      <c r="AE377" s="226" t="s">
        <v>1779</v>
      </c>
    </row>
    <row r="378" spans="1:31">
      <c r="A378" s="226" t="s">
        <v>1212</v>
      </c>
      <c r="B378" s="226" t="s">
        <v>1123</v>
      </c>
      <c r="C378" s="226" t="s">
        <v>1149</v>
      </c>
      <c r="D378" s="226" t="s">
        <v>1217</v>
      </c>
      <c r="E378" s="226">
        <v>4365826</v>
      </c>
      <c r="F378" s="226">
        <v>4391344</v>
      </c>
      <c r="G378" s="226" t="s">
        <v>231</v>
      </c>
      <c r="H378" s="226" t="s">
        <v>866</v>
      </c>
      <c r="I378" s="226" t="s">
        <v>1799</v>
      </c>
      <c r="J378" s="226" t="s">
        <v>1287</v>
      </c>
      <c r="K378" s="227">
        <v>46090.229166666664</v>
      </c>
      <c r="L378" s="227">
        <v>46086.911111111112</v>
      </c>
      <c r="M378" s="227">
        <v>46093.0625</v>
      </c>
      <c r="N378" s="227">
        <v>46092.92291666667</v>
      </c>
      <c r="O378" s="226" t="s">
        <v>1208</v>
      </c>
      <c r="P378" s="227">
        <v>46109.229166666664</v>
      </c>
      <c r="Q378" s="226">
        <v>3</v>
      </c>
      <c r="R378" s="226"/>
      <c r="S378" s="226">
        <v>2</v>
      </c>
      <c r="T378" s="226"/>
      <c r="U378" s="226" t="s">
        <v>1</v>
      </c>
      <c r="V378" s="226" t="s">
        <v>1</v>
      </c>
      <c r="W378" s="226" t="s">
        <v>1189</v>
      </c>
      <c r="X378" s="227">
        <v>46078.506944444445</v>
      </c>
      <c r="Y378" s="226" t="s">
        <v>1215</v>
      </c>
      <c r="Z378" s="226" t="s">
        <v>1800</v>
      </c>
      <c r="AA378" s="226" t="s">
        <v>1156</v>
      </c>
      <c r="AB378" s="226"/>
      <c r="AC378" s="226"/>
      <c r="AD378" s="226" t="s">
        <v>1205</v>
      </c>
      <c r="AE378" s="226" t="s">
        <v>1202</v>
      </c>
    </row>
    <row r="379" spans="1:31">
      <c r="A379" s="226" t="s">
        <v>1204</v>
      </c>
      <c r="B379" s="226" t="s">
        <v>1194</v>
      </c>
      <c r="C379" s="226" t="s">
        <v>1194</v>
      </c>
      <c r="D379" s="226" t="s">
        <v>1205</v>
      </c>
      <c r="E379" s="226">
        <v>4330994</v>
      </c>
      <c r="F379" s="226">
        <v>4376380</v>
      </c>
      <c r="G379" s="226" t="s">
        <v>1801</v>
      </c>
      <c r="H379" s="226" t="s">
        <v>218</v>
      </c>
      <c r="I379" s="226" t="s">
        <v>1799</v>
      </c>
      <c r="J379" s="226" t="s">
        <v>1287</v>
      </c>
      <c r="K379" s="227">
        <v>46093.020833333336</v>
      </c>
      <c r="L379" s="227">
        <v>46092.9375</v>
      </c>
      <c r="M379" s="227">
        <v>46098.0625</v>
      </c>
      <c r="N379" s="227">
        <v>46099.665277777778</v>
      </c>
      <c r="O379" s="226" t="s">
        <v>1208</v>
      </c>
      <c r="P379" s="227">
        <v>46109.229166666664</v>
      </c>
      <c r="Q379" s="226">
        <v>8</v>
      </c>
      <c r="R379" s="226"/>
      <c r="S379" s="226">
        <v>2</v>
      </c>
      <c r="T379" s="226"/>
      <c r="U379" s="226" t="s">
        <v>1</v>
      </c>
      <c r="V379" s="226" t="s">
        <v>1</v>
      </c>
      <c r="W379" s="226" t="s">
        <v>1198</v>
      </c>
      <c r="X379" s="227">
        <v>46072.63958333333</v>
      </c>
      <c r="Y379" s="226"/>
      <c r="Z379" s="226" t="s">
        <v>1800</v>
      </c>
      <c r="AA379" s="226" t="s">
        <v>1156</v>
      </c>
      <c r="AB379" s="226"/>
      <c r="AC379" s="226"/>
      <c r="AD379" s="226" t="s">
        <v>1802</v>
      </c>
      <c r="AE379" s="226" t="s">
        <v>1202</v>
      </c>
    </row>
    <row r="380" spans="1:31">
      <c r="A380" s="226" t="s">
        <v>1277</v>
      </c>
      <c r="B380" s="226" t="s">
        <v>1123</v>
      </c>
      <c r="C380" s="226" t="s">
        <v>1149</v>
      </c>
      <c r="D380" s="226" t="s">
        <v>1278</v>
      </c>
      <c r="E380" s="226">
        <v>4386527</v>
      </c>
      <c r="F380" s="226">
        <v>4373065</v>
      </c>
      <c r="G380" s="226" t="s">
        <v>1803</v>
      </c>
      <c r="H380" s="226" t="s">
        <v>218</v>
      </c>
      <c r="I380" s="226" t="s">
        <v>1799</v>
      </c>
      <c r="J380" s="226" t="s">
        <v>1287</v>
      </c>
      <c r="K380" s="227">
        <v>46091.229166666664</v>
      </c>
      <c r="L380" s="227">
        <v>46092.659722222219</v>
      </c>
      <c r="M380" s="227">
        <v>46094.0625</v>
      </c>
      <c r="N380" s="227">
        <v>46093.970138888886</v>
      </c>
      <c r="O380" s="226" t="s">
        <v>1214</v>
      </c>
      <c r="P380" s="227">
        <v>46109.229166666664</v>
      </c>
      <c r="Q380" s="226">
        <v>3</v>
      </c>
      <c r="R380" s="226"/>
      <c r="S380" s="226">
        <v>2</v>
      </c>
      <c r="T380" s="226"/>
      <c r="U380" s="226" t="s">
        <v>1</v>
      </c>
      <c r="V380" s="226" t="s">
        <v>1</v>
      </c>
      <c r="W380" s="226" t="s">
        <v>1280</v>
      </c>
      <c r="X380" s="227">
        <v>46071.701388888891</v>
      </c>
      <c r="Y380" s="226"/>
      <c r="Z380" s="226" t="s">
        <v>1800</v>
      </c>
      <c r="AA380" s="226" t="s">
        <v>1156</v>
      </c>
      <c r="AB380" s="226"/>
      <c r="AC380" s="226"/>
      <c r="AD380" s="226" t="s">
        <v>1281</v>
      </c>
      <c r="AE380" s="226" t="s">
        <v>1202</v>
      </c>
    </row>
    <row r="381" spans="1:31">
      <c r="A381" s="226" t="s">
        <v>1204</v>
      </c>
      <c r="B381" s="226" t="s">
        <v>1194</v>
      </c>
      <c r="C381" s="226" t="s">
        <v>1194</v>
      </c>
      <c r="D381" s="226" t="s">
        <v>1205</v>
      </c>
      <c r="E381" s="226">
        <v>4330994</v>
      </c>
      <c r="F381" s="226">
        <v>4373517</v>
      </c>
      <c r="G381" s="226" t="s">
        <v>1804</v>
      </c>
      <c r="H381" s="226" t="s">
        <v>866</v>
      </c>
      <c r="I381" s="226" t="s">
        <v>1799</v>
      </c>
      <c r="J381" s="226" t="s">
        <v>1287</v>
      </c>
      <c r="K381" s="227">
        <v>46093.020833333336</v>
      </c>
      <c r="L381" s="227">
        <v>46093.665277777778</v>
      </c>
      <c r="M381" s="227">
        <v>46098.0625</v>
      </c>
      <c r="N381" s="227">
        <v>46097.9</v>
      </c>
      <c r="O381" s="226" t="s">
        <v>1208</v>
      </c>
      <c r="P381" s="227">
        <v>46109.229166666664</v>
      </c>
      <c r="Q381" s="226">
        <v>3</v>
      </c>
      <c r="R381" s="226"/>
      <c r="S381" s="226">
        <v>1</v>
      </c>
      <c r="T381" s="226"/>
      <c r="U381" s="226" t="s">
        <v>1</v>
      </c>
      <c r="V381" s="226" t="s">
        <v>1</v>
      </c>
      <c r="W381" s="226" t="s">
        <v>1198</v>
      </c>
      <c r="X381" s="227">
        <v>46071.779166666667</v>
      </c>
      <c r="Y381" s="226"/>
      <c r="Z381" s="226" t="s">
        <v>1800</v>
      </c>
      <c r="AA381" s="226" t="s">
        <v>1156</v>
      </c>
      <c r="AB381" s="226"/>
      <c r="AC381" s="226"/>
      <c r="AD381" s="226" t="s">
        <v>1211</v>
      </c>
      <c r="AE381" s="226" t="s">
        <v>1202</v>
      </c>
    </row>
    <row r="382" spans="1:31">
      <c r="A382" s="226" t="s">
        <v>1204</v>
      </c>
      <c r="B382" s="226" t="s">
        <v>1194</v>
      </c>
      <c r="C382" s="226" t="s">
        <v>1194</v>
      </c>
      <c r="D382" s="226" t="s">
        <v>1205</v>
      </c>
      <c r="E382" s="226">
        <v>4330994</v>
      </c>
      <c r="F382" s="226">
        <v>4318918</v>
      </c>
      <c r="G382" s="226" t="s">
        <v>211</v>
      </c>
      <c r="H382" s="226" t="s">
        <v>218</v>
      </c>
      <c r="I382" s="226" t="s">
        <v>1799</v>
      </c>
      <c r="J382" s="226" t="s">
        <v>1287</v>
      </c>
      <c r="K382" s="227">
        <v>46092.229166666664</v>
      </c>
      <c r="L382" s="227">
        <v>46093.663888888892</v>
      </c>
      <c r="M382" s="227">
        <v>46098.0625</v>
      </c>
      <c r="N382" s="227">
        <v>46098.652777777781</v>
      </c>
      <c r="O382" s="226" t="s">
        <v>1208</v>
      </c>
      <c r="P382" s="227">
        <v>46109.229166666664</v>
      </c>
      <c r="Q382" s="226">
        <v>5</v>
      </c>
      <c r="R382" s="226"/>
      <c r="S382" s="226">
        <v>2</v>
      </c>
      <c r="T382" s="226"/>
      <c r="U382" s="226" t="s">
        <v>1</v>
      </c>
      <c r="V382" s="226" t="s">
        <v>1</v>
      </c>
      <c r="W382" s="226" t="s">
        <v>1198</v>
      </c>
      <c r="X382" s="227">
        <v>46033.816666666666</v>
      </c>
      <c r="Y382" s="226"/>
      <c r="Z382" s="226" t="s">
        <v>1800</v>
      </c>
      <c r="AA382" s="226" t="s">
        <v>1156</v>
      </c>
      <c r="AB382" s="226"/>
      <c r="AC382" s="226"/>
      <c r="AD382" s="226" t="s">
        <v>1802</v>
      </c>
      <c r="AE382" s="226" t="s">
        <v>1202</v>
      </c>
    </row>
    <row r="383" spans="1:31">
      <c r="A383" s="226" t="s">
        <v>1204</v>
      </c>
      <c r="B383" s="226" t="s">
        <v>1194</v>
      </c>
      <c r="C383" s="226" t="s">
        <v>1194</v>
      </c>
      <c r="D383" s="226" t="s">
        <v>1205</v>
      </c>
      <c r="E383" s="226">
        <v>4330994</v>
      </c>
      <c r="F383" s="226">
        <v>4100102</v>
      </c>
      <c r="G383" s="226" t="s">
        <v>215</v>
      </c>
      <c r="H383" s="226" t="s">
        <v>866</v>
      </c>
      <c r="I383" s="226" t="s">
        <v>1799</v>
      </c>
      <c r="J383" s="226" t="s">
        <v>1287</v>
      </c>
      <c r="K383" s="227">
        <v>46093.020833333336</v>
      </c>
      <c r="L383" s="227">
        <v>46093.663888888892</v>
      </c>
      <c r="M383" s="227">
        <v>46098.0625</v>
      </c>
      <c r="N383" s="227">
        <v>46097.934027777781</v>
      </c>
      <c r="O383" s="226" t="s">
        <v>1208</v>
      </c>
      <c r="P383" s="227">
        <v>46109.229166666664</v>
      </c>
      <c r="Q383" s="226">
        <v>5</v>
      </c>
      <c r="R383" s="226"/>
      <c r="S383" s="226">
        <v>2</v>
      </c>
      <c r="T383" s="226"/>
      <c r="U383" s="226" t="s">
        <v>1</v>
      </c>
      <c r="V383" s="226" t="s">
        <v>1</v>
      </c>
      <c r="W383" s="226" t="s">
        <v>1268</v>
      </c>
      <c r="X383" s="227">
        <v>45888.730555555558</v>
      </c>
      <c r="Y383" s="226"/>
      <c r="Z383" s="226" t="s">
        <v>1800</v>
      </c>
      <c r="AA383" s="226" t="s">
        <v>1156</v>
      </c>
      <c r="AB383" s="226"/>
      <c r="AC383" s="226"/>
      <c r="AD383" s="226" t="s">
        <v>1802</v>
      </c>
      <c r="AE383" s="226" t="s">
        <v>1202</v>
      </c>
    </row>
    <row r="384" spans="1:31">
      <c r="A384" s="226" t="s">
        <v>1204</v>
      </c>
      <c r="B384" s="226" t="s">
        <v>1194</v>
      </c>
      <c r="C384" s="226" t="s">
        <v>1194</v>
      </c>
      <c r="D384" s="226" t="s">
        <v>1205</v>
      </c>
      <c r="E384" s="226">
        <v>4330994</v>
      </c>
      <c r="F384" s="226">
        <v>4364558</v>
      </c>
      <c r="G384" s="226" t="s">
        <v>1805</v>
      </c>
      <c r="H384" s="226" t="s">
        <v>866</v>
      </c>
      <c r="I384" s="226" t="s">
        <v>1799</v>
      </c>
      <c r="J384" s="226" t="s">
        <v>1287</v>
      </c>
      <c r="K384" s="227">
        <v>46093.020833333336</v>
      </c>
      <c r="L384" s="227">
        <v>46086.952777777777</v>
      </c>
      <c r="M384" s="227">
        <v>46095.0625</v>
      </c>
      <c r="N384" s="227">
        <v>46094.982638888891</v>
      </c>
      <c r="O384" s="226" t="s">
        <v>1208</v>
      </c>
      <c r="P384" s="227">
        <v>46109.229166666664</v>
      </c>
      <c r="Q384" s="226">
        <v>3</v>
      </c>
      <c r="R384" s="226"/>
      <c r="S384" s="226">
        <v>2</v>
      </c>
      <c r="T384" s="226"/>
      <c r="U384" s="226" t="s">
        <v>1</v>
      </c>
      <c r="V384" s="226" t="s">
        <v>1</v>
      </c>
      <c r="W384" s="226" t="s">
        <v>1209</v>
      </c>
      <c r="X384" s="227">
        <v>46065.5</v>
      </c>
      <c r="Y384" s="226"/>
      <c r="Z384" s="226" t="s">
        <v>1800</v>
      </c>
      <c r="AA384" s="226" t="s">
        <v>1156</v>
      </c>
      <c r="AB384" s="226"/>
      <c r="AC384" s="226"/>
      <c r="AD384" s="226" t="s">
        <v>1211</v>
      </c>
      <c r="AE384" s="226" t="s">
        <v>1202</v>
      </c>
    </row>
    <row r="385" spans="1:31">
      <c r="A385" s="226" t="s">
        <v>1242</v>
      </c>
      <c r="B385" s="226" t="s">
        <v>1123</v>
      </c>
      <c r="C385" s="226" t="s">
        <v>1195</v>
      </c>
      <c r="D385" s="226" t="s">
        <v>1243</v>
      </c>
      <c r="E385" s="226">
        <v>4317244</v>
      </c>
      <c r="F385" s="226">
        <v>4361804</v>
      </c>
      <c r="G385" s="226" t="s">
        <v>1806</v>
      </c>
      <c r="H385" s="226" t="s">
        <v>218</v>
      </c>
      <c r="I385" s="226" t="s">
        <v>1799</v>
      </c>
      <c r="J385" s="226" t="s">
        <v>1127</v>
      </c>
      <c r="K385" s="227">
        <v>46091.229166666664</v>
      </c>
      <c r="L385" s="227">
        <v>46086.852083333331</v>
      </c>
      <c r="M385" s="227">
        <v>46097.229166666664</v>
      </c>
      <c r="N385" s="227">
        <v>46097.990277777775</v>
      </c>
      <c r="O385" s="226" t="s">
        <v>1214</v>
      </c>
      <c r="P385" s="227">
        <v>46109.229166666664</v>
      </c>
      <c r="Q385" s="226">
        <v>3</v>
      </c>
      <c r="R385" s="226"/>
      <c r="S385" s="226">
        <v>2</v>
      </c>
      <c r="T385" s="226"/>
      <c r="U385" s="226" t="s">
        <v>1</v>
      </c>
      <c r="V385" s="226" t="s">
        <v>1</v>
      </c>
      <c r="W385" s="226" t="s">
        <v>1198</v>
      </c>
      <c r="X385" s="227">
        <v>46064.013888888891</v>
      </c>
      <c r="Y385" s="226"/>
      <c r="Z385" s="226" t="s">
        <v>1800</v>
      </c>
      <c r="AA385" s="226" t="s">
        <v>1156</v>
      </c>
      <c r="AB385" s="226"/>
      <c r="AC385" s="226"/>
      <c r="AD385" s="226" t="s">
        <v>1245</v>
      </c>
      <c r="AE385" s="226" t="s">
        <v>1202</v>
      </c>
    </row>
    <row r="386" spans="1:31">
      <c r="A386" s="226" t="s">
        <v>1204</v>
      </c>
      <c r="B386" s="226" t="s">
        <v>1194</v>
      </c>
      <c r="C386" s="226" t="s">
        <v>1194</v>
      </c>
      <c r="D386" s="226" t="s">
        <v>1205</v>
      </c>
      <c r="E386" s="226">
        <v>4330994</v>
      </c>
      <c r="F386" s="226">
        <v>4368404</v>
      </c>
      <c r="G386" s="226" t="s">
        <v>217</v>
      </c>
      <c r="H386" s="226" t="s">
        <v>218</v>
      </c>
      <c r="I386" s="226" t="s">
        <v>1799</v>
      </c>
      <c r="J386" s="226" t="s">
        <v>1287</v>
      </c>
      <c r="K386" s="227">
        <v>46092.229166666664</v>
      </c>
      <c r="L386" s="227">
        <v>46093.662499999999</v>
      </c>
      <c r="M386" s="227">
        <v>46093.0625</v>
      </c>
      <c r="N386" s="227">
        <v>46094.634027777778</v>
      </c>
      <c r="O386" s="226" t="s">
        <v>1208</v>
      </c>
      <c r="P386" s="227">
        <v>46109.229166666664</v>
      </c>
      <c r="Q386" s="226">
        <v>8</v>
      </c>
      <c r="R386" s="226"/>
      <c r="S386" s="226">
        <v>2</v>
      </c>
      <c r="T386" s="226"/>
      <c r="U386" s="226" t="s">
        <v>1</v>
      </c>
      <c r="V386" s="226" t="s">
        <v>1</v>
      </c>
      <c r="W386" s="226" t="s">
        <v>1198</v>
      </c>
      <c r="X386" s="227">
        <v>46069.020833333336</v>
      </c>
      <c r="Y386" s="226" t="s">
        <v>1244</v>
      </c>
      <c r="Z386" s="226" t="s">
        <v>1800</v>
      </c>
      <c r="AA386" s="226" t="s">
        <v>1156</v>
      </c>
      <c r="AB386" s="226"/>
      <c r="AC386" s="226"/>
      <c r="AD386" s="226" t="s">
        <v>1211</v>
      </c>
      <c r="AE386" s="226" t="s">
        <v>1202</v>
      </c>
    </row>
    <row r="387" spans="1:31">
      <c r="A387" s="226" t="s">
        <v>1204</v>
      </c>
      <c r="B387" s="226" t="s">
        <v>1194</v>
      </c>
      <c r="C387" s="226" t="s">
        <v>1194</v>
      </c>
      <c r="D387" s="226" t="s">
        <v>1205</v>
      </c>
      <c r="E387" s="226">
        <v>4330994</v>
      </c>
      <c r="F387" s="226">
        <v>4368405</v>
      </c>
      <c r="G387" s="226" t="s">
        <v>1807</v>
      </c>
      <c r="H387" s="226" t="s">
        <v>218</v>
      </c>
      <c r="I387" s="226" t="s">
        <v>1799</v>
      </c>
      <c r="J387" s="226" t="s">
        <v>1287</v>
      </c>
      <c r="K387" s="227">
        <v>46092.229166666664</v>
      </c>
      <c r="L387" s="227">
        <v>46093.665277777778</v>
      </c>
      <c r="M387" s="227">
        <v>46098.0625</v>
      </c>
      <c r="N387" s="227">
        <v>46098.645833333336</v>
      </c>
      <c r="O387" s="226" t="s">
        <v>1208</v>
      </c>
      <c r="P387" s="227">
        <v>46109.229166666664</v>
      </c>
      <c r="Q387" s="226">
        <v>8</v>
      </c>
      <c r="R387" s="226"/>
      <c r="S387" s="226">
        <v>2</v>
      </c>
      <c r="T387" s="226"/>
      <c r="U387" s="226" t="s">
        <v>1</v>
      </c>
      <c r="V387" s="226" t="s">
        <v>1</v>
      </c>
      <c r="W387" s="226" t="s">
        <v>1198</v>
      </c>
      <c r="X387" s="227">
        <v>46069.021527777775</v>
      </c>
      <c r="Y387" s="226" t="s">
        <v>1244</v>
      </c>
      <c r="Z387" s="226" t="s">
        <v>1800</v>
      </c>
      <c r="AA387" s="226" t="s">
        <v>1156</v>
      </c>
      <c r="AB387" s="226"/>
      <c r="AC387" s="226"/>
      <c r="AD387" s="226" t="s">
        <v>1802</v>
      </c>
      <c r="AE387" s="226" t="s">
        <v>1202</v>
      </c>
    </row>
    <row r="388" spans="1:31">
      <c r="A388" s="226" t="s">
        <v>1204</v>
      </c>
      <c r="B388" s="226" t="s">
        <v>1194</v>
      </c>
      <c r="C388" s="226" t="s">
        <v>1194</v>
      </c>
      <c r="D388" s="226" t="s">
        <v>1205</v>
      </c>
      <c r="E388" s="226">
        <v>4330994</v>
      </c>
      <c r="F388" s="226">
        <v>4368508</v>
      </c>
      <c r="G388" s="226" t="s">
        <v>1808</v>
      </c>
      <c r="H388" s="226" t="s">
        <v>218</v>
      </c>
      <c r="I388" s="226" t="s">
        <v>1799</v>
      </c>
      <c r="J388" s="226" t="s">
        <v>1287</v>
      </c>
      <c r="K388" s="227">
        <v>46092.229166666664</v>
      </c>
      <c r="L388" s="227">
        <v>46092.65902777778</v>
      </c>
      <c r="M388" s="227">
        <v>46098.0625</v>
      </c>
      <c r="N388" s="227">
        <v>46098.645833333336</v>
      </c>
      <c r="O388" s="226" t="s">
        <v>1208</v>
      </c>
      <c r="P388" s="227">
        <v>46109.229166666664</v>
      </c>
      <c r="Q388" s="226">
        <v>8</v>
      </c>
      <c r="R388" s="226"/>
      <c r="S388" s="226">
        <v>2</v>
      </c>
      <c r="T388" s="226"/>
      <c r="U388" s="226" t="s">
        <v>1</v>
      </c>
      <c r="V388" s="226" t="s">
        <v>1</v>
      </c>
      <c r="W388" s="226" t="s">
        <v>1198</v>
      </c>
      <c r="X388" s="227">
        <v>46069.29791666667</v>
      </c>
      <c r="Y388" s="226"/>
      <c r="Z388" s="226" t="s">
        <v>1800</v>
      </c>
      <c r="AA388" s="226" t="s">
        <v>1156</v>
      </c>
      <c r="AB388" s="226"/>
      <c r="AC388" s="226"/>
      <c r="AD388" s="226" t="s">
        <v>1802</v>
      </c>
      <c r="AE388" s="226" t="s">
        <v>1202</v>
      </c>
    </row>
    <row r="389" spans="1:31">
      <c r="A389" s="226" t="s">
        <v>1524</v>
      </c>
      <c r="B389" s="226" t="s">
        <v>1123</v>
      </c>
      <c r="C389" s="226" t="s">
        <v>1149</v>
      </c>
      <c r="D389" s="226" t="s">
        <v>1809</v>
      </c>
      <c r="E389" s="226">
        <v>4278081</v>
      </c>
      <c r="F389" s="226">
        <v>4336300</v>
      </c>
      <c r="G389" s="226" t="s">
        <v>898</v>
      </c>
      <c r="H389" s="226" t="s">
        <v>218</v>
      </c>
      <c r="I389" s="226" t="s">
        <v>1810</v>
      </c>
      <c r="J389" s="226" t="s">
        <v>1378</v>
      </c>
      <c r="K389" s="227">
        <v>46092.0625</v>
      </c>
      <c r="L389" s="227">
        <v>46094.895833333336</v>
      </c>
      <c r="M389" s="227">
        <v>46094.229166666664</v>
      </c>
      <c r="N389" s="227">
        <v>46097.229166666664</v>
      </c>
      <c r="O389" s="226" t="s">
        <v>1811</v>
      </c>
      <c r="P389" s="227">
        <v>46109.229166666664</v>
      </c>
      <c r="Q389" s="226">
        <v>5</v>
      </c>
      <c r="R389" s="226"/>
      <c r="S389" s="226">
        <v>2</v>
      </c>
      <c r="T389" s="226"/>
      <c r="U389" s="226" t="s">
        <v>1</v>
      </c>
      <c r="V389" s="226" t="s">
        <v>1</v>
      </c>
      <c r="W389" s="226" t="s">
        <v>1497</v>
      </c>
      <c r="X389" s="227">
        <v>46044.69027777778</v>
      </c>
      <c r="Y389" s="226" t="s">
        <v>1812</v>
      </c>
      <c r="Z389" s="226" t="s">
        <v>1813</v>
      </c>
      <c r="AA389" s="226" t="s">
        <v>1106</v>
      </c>
      <c r="AB389" s="226"/>
      <c r="AC389" s="226"/>
      <c r="AD389" s="226" t="s">
        <v>1809</v>
      </c>
      <c r="AE389" s="226" t="s">
        <v>1814</v>
      </c>
    </row>
    <row r="390" spans="1:31">
      <c r="A390" s="226" t="s">
        <v>1815</v>
      </c>
      <c r="B390" s="226" t="s">
        <v>1123</v>
      </c>
      <c r="C390" s="226" t="s">
        <v>1816</v>
      </c>
      <c r="D390" s="226" t="s">
        <v>1816</v>
      </c>
      <c r="E390" s="226">
        <v>4318937</v>
      </c>
      <c r="F390" s="226">
        <v>4319762</v>
      </c>
      <c r="G390" s="226" t="s">
        <v>920</v>
      </c>
      <c r="H390" s="226" t="s">
        <v>218</v>
      </c>
      <c r="I390" s="226" t="s">
        <v>1817</v>
      </c>
      <c r="J390" s="226" t="s">
        <v>1378</v>
      </c>
      <c r="K390" s="227">
        <v>46092.020833333336</v>
      </c>
      <c r="L390" s="227">
        <v>46084.8125</v>
      </c>
      <c r="M390" s="227">
        <v>46094.229166666664</v>
      </c>
      <c r="N390" s="227">
        <v>46094.897916666669</v>
      </c>
      <c r="O390" s="226" t="s">
        <v>1811</v>
      </c>
      <c r="P390" s="227">
        <v>46109.229166666664</v>
      </c>
      <c r="Q390" s="226">
        <v>2</v>
      </c>
      <c r="R390" s="226"/>
      <c r="S390" s="226">
        <v>2</v>
      </c>
      <c r="T390" s="226"/>
      <c r="U390" s="226" t="s">
        <v>1</v>
      </c>
      <c r="V390" s="226" t="s">
        <v>1</v>
      </c>
      <c r="W390" s="226" t="s">
        <v>1818</v>
      </c>
      <c r="X390" s="227">
        <v>46034.745138888888</v>
      </c>
      <c r="Y390" s="226" t="s">
        <v>1816</v>
      </c>
      <c r="Z390" s="226" t="s">
        <v>1819</v>
      </c>
      <c r="AA390" s="226" t="s">
        <v>1820</v>
      </c>
      <c r="AB390" s="226"/>
      <c r="AC390" s="226"/>
      <c r="AD390" s="226" t="s">
        <v>1821</v>
      </c>
      <c r="AE390" s="226" t="s">
        <v>1814</v>
      </c>
    </row>
    <row r="391" spans="1:31">
      <c r="A391" s="226" t="s">
        <v>1822</v>
      </c>
      <c r="B391" s="226" t="s">
        <v>1123</v>
      </c>
      <c r="C391" s="226" t="s">
        <v>1816</v>
      </c>
      <c r="D391" s="226" t="s">
        <v>1816</v>
      </c>
      <c r="E391" s="226">
        <v>4389866</v>
      </c>
      <c r="F391" s="226">
        <v>4365033</v>
      </c>
      <c r="G391" s="226" t="s">
        <v>903</v>
      </c>
      <c r="H391" s="226" t="s">
        <v>1784</v>
      </c>
      <c r="I391" s="226" t="s">
        <v>1817</v>
      </c>
      <c r="J391" s="226" t="s">
        <v>1378</v>
      </c>
      <c r="K391" s="227">
        <v>46092.0625</v>
      </c>
      <c r="L391" s="227">
        <v>46091.229166666664</v>
      </c>
      <c r="M391" s="227">
        <v>46094.229166666664</v>
      </c>
      <c r="N391" s="227">
        <v>46098.935416666667</v>
      </c>
      <c r="O391" s="226" t="s">
        <v>1811</v>
      </c>
      <c r="P391" s="227">
        <v>46109.229166666664</v>
      </c>
      <c r="Q391" s="226">
        <v>5</v>
      </c>
      <c r="R391" s="226"/>
      <c r="S391" s="226">
        <v>2</v>
      </c>
      <c r="T391" s="226"/>
      <c r="U391" s="226" t="s">
        <v>1</v>
      </c>
      <c r="V391" s="226" t="s">
        <v>1</v>
      </c>
      <c r="W391" s="226" t="s">
        <v>1818</v>
      </c>
      <c r="X391" s="227">
        <v>46065.649305555555</v>
      </c>
      <c r="Y391" s="226" t="s">
        <v>1823</v>
      </c>
      <c r="Z391" s="226" t="s">
        <v>1819</v>
      </c>
      <c r="AA391" s="226" t="s">
        <v>1820</v>
      </c>
      <c r="AB391" s="226"/>
      <c r="AC391" s="226"/>
      <c r="AD391" s="226" t="s">
        <v>1821</v>
      </c>
      <c r="AE391" s="226" t="s">
        <v>1814</v>
      </c>
    </row>
    <row r="392" spans="1:31">
      <c r="A392" s="226" t="s">
        <v>1204</v>
      </c>
      <c r="B392" s="226" t="s">
        <v>1194</v>
      </c>
      <c r="C392" s="226" t="s">
        <v>1194</v>
      </c>
      <c r="D392" s="226" t="s">
        <v>1205</v>
      </c>
      <c r="E392" s="226">
        <v>4330994</v>
      </c>
      <c r="F392" s="226">
        <v>4364545</v>
      </c>
      <c r="G392" s="226" t="s">
        <v>1824</v>
      </c>
      <c r="H392" s="226" t="s">
        <v>218</v>
      </c>
      <c r="I392" s="226" t="s">
        <v>1825</v>
      </c>
      <c r="J392" s="226" t="s">
        <v>1378</v>
      </c>
      <c r="K392" s="227">
        <v>46092.229166666664</v>
      </c>
      <c r="L392" s="227">
        <v>46092.942361111112</v>
      </c>
      <c r="M392" s="227">
        <v>46097.229166666664</v>
      </c>
      <c r="N392" s="227">
        <v>46098.925694444442</v>
      </c>
      <c r="O392" s="226" t="s">
        <v>1208</v>
      </c>
      <c r="P392" s="227">
        <v>46109.229166666664</v>
      </c>
      <c r="Q392" s="226">
        <v>2</v>
      </c>
      <c r="R392" s="226"/>
      <c r="S392" s="226">
        <v>2</v>
      </c>
      <c r="T392" s="226"/>
      <c r="U392" s="226" t="s">
        <v>1</v>
      </c>
      <c r="V392" s="226" t="s">
        <v>1</v>
      </c>
      <c r="W392" s="226" t="s">
        <v>1209</v>
      </c>
      <c r="X392" s="227">
        <v>46065.498611111114</v>
      </c>
      <c r="Y392" s="226"/>
      <c r="Z392" s="226" t="s">
        <v>1826</v>
      </c>
      <c r="AA392" s="226" t="s">
        <v>1156</v>
      </c>
      <c r="AB392" s="226"/>
      <c r="AC392" s="226"/>
      <c r="AD392" s="226" t="s">
        <v>1211</v>
      </c>
      <c r="AE392" s="226" t="s">
        <v>1383</v>
      </c>
    </row>
    <row r="393" spans="1:31">
      <c r="A393" s="226" t="s">
        <v>1524</v>
      </c>
      <c r="B393" s="226" t="s">
        <v>1093</v>
      </c>
      <c r="C393" s="226" t="s">
        <v>1149</v>
      </c>
      <c r="D393" s="226" t="s">
        <v>1526</v>
      </c>
      <c r="E393" s="226">
        <v>4278081</v>
      </c>
      <c r="F393" s="226">
        <v>4362519</v>
      </c>
      <c r="G393" s="226" t="s">
        <v>381</v>
      </c>
      <c r="H393" s="226" t="s">
        <v>218</v>
      </c>
      <c r="I393" s="226" t="s">
        <v>1825</v>
      </c>
      <c r="J393" s="226" t="s">
        <v>1152</v>
      </c>
      <c r="K393" s="227">
        <v>46092.229166666664</v>
      </c>
      <c r="L393" s="227">
        <v>46087.229166666664</v>
      </c>
      <c r="M393" s="227">
        <v>46097.229166666664</v>
      </c>
      <c r="N393" s="227">
        <v>46097.229166666664</v>
      </c>
      <c r="O393" s="226" t="s">
        <v>1214</v>
      </c>
      <c r="P393" s="227">
        <v>46109.229166666664</v>
      </c>
      <c r="Q393" s="226">
        <v>1</v>
      </c>
      <c r="R393" s="226"/>
      <c r="S393" s="226">
        <v>2</v>
      </c>
      <c r="T393" s="226"/>
      <c r="U393" s="226" t="s">
        <v>1</v>
      </c>
      <c r="V393" s="226" t="s">
        <v>1</v>
      </c>
      <c r="W393" s="226" t="s">
        <v>1497</v>
      </c>
      <c r="X393" s="227">
        <v>46064.513194444444</v>
      </c>
      <c r="Y393" s="226" t="s">
        <v>1606</v>
      </c>
      <c r="Z393" s="226" t="s">
        <v>1826</v>
      </c>
      <c r="AA393" s="226" t="s">
        <v>1499</v>
      </c>
      <c r="AB393" s="226"/>
      <c r="AC393" s="226"/>
      <c r="AD393" s="226" t="s">
        <v>1526</v>
      </c>
      <c r="AE393" s="226" t="s">
        <v>1383</v>
      </c>
    </row>
    <row r="394" spans="1:31">
      <c r="A394" s="226" t="s">
        <v>1242</v>
      </c>
      <c r="B394" s="226" t="s">
        <v>1123</v>
      </c>
      <c r="C394" s="226" t="s">
        <v>1195</v>
      </c>
      <c r="D394" s="226" t="s">
        <v>1243</v>
      </c>
      <c r="E394" s="226">
        <v>4317244</v>
      </c>
      <c r="F394" s="226">
        <v>4361800</v>
      </c>
      <c r="G394" s="226" t="s">
        <v>452</v>
      </c>
      <c r="H394" s="226" t="s">
        <v>218</v>
      </c>
      <c r="I394" s="226" t="s">
        <v>1825</v>
      </c>
      <c r="J394" s="226" t="s">
        <v>1127</v>
      </c>
      <c r="K394" s="227">
        <v>46092.229166666664</v>
      </c>
      <c r="L394" s="227">
        <v>46092.229166666664</v>
      </c>
      <c r="M394" s="227">
        <v>46097.229166666664</v>
      </c>
      <c r="N394" s="227">
        <v>46097.98333333333</v>
      </c>
      <c r="O394" s="226" t="s">
        <v>1214</v>
      </c>
      <c r="P394" s="227">
        <v>46109.229166666664</v>
      </c>
      <c r="Q394" s="226">
        <v>5</v>
      </c>
      <c r="R394" s="226"/>
      <c r="S394" s="226">
        <v>2</v>
      </c>
      <c r="T394" s="226"/>
      <c r="U394" s="226" t="s">
        <v>1</v>
      </c>
      <c r="V394" s="226" t="s">
        <v>1</v>
      </c>
      <c r="W394" s="226" t="s">
        <v>1198</v>
      </c>
      <c r="X394" s="227">
        <v>46063.992361111108</v>
      </c>
      <c r="Y394" s="226" t="s">
        <v>1244</v>
      </c>
      <c r="Z394" s="226" t="s">
        <v>1826</v>
      </c>
      <c r="AA394" s="226" t="s">
        <v>1743</v>
      </c>
      <c r="AB394" s="226"/>
      <c r="AC394" s="226"/>
      <c r="AD394" s="226" t="s">
        <v>1245</v>
      </c>
      <c r="AE394" s="226" t="s">
        <v>1383</v>
      </c>
    </row>
    <row r="395" spans="1:31">
      <c r="A395" s="226" t="s">
        <v>1827</v>
      </c>
      <c r="B395" s="226" t="s">
        <v>1093</v>
      </c>
      <c r="C395" s="226" t="s">
        <v>1375</v>
      </c>
      <c r="D395" s="226" t="s">
        <v>1828</v>
      </c>
      <c r="E395" s="226">
        <v>4354186</v>
      </c>
      <c r="F395" s="226">
        <v>4354180</v>
      </c>
      <c r="G395" s="226" t="s">
        <v>919</v>
      </c>
      <c r="H395" s="226" t="s">
        <v>229</v>
      </c>
      <c r="I395" s="226" t="s">
        <v>1825</v>
      </c>
      <c r="J395" s="226" t="s">
        <v>1378</v>
      </c>
      <c r="K395" s="227">
        <v>46092.229166666664</v>
      </c>
      <c r="L395" s="227">
        <v>46085.848611111112</v>
      </c>
      <c r="M395" s="227">
        <v>46099.229166666664</v>
      </c>
      <c r="N395" s="227"/>
      <c r="O395" s="226" t="s">
        <v>1573</v>
      </c>
      <c r="P395" s="227">
        <v>46109.229166666664</v>
      </c>
      <c r="Q395" s="226">
        <v>1</v>
      </c>
      <c r="R395" s="226"/>
      <c r="S395" s="226">
        <v>2</v>
      </c>
      <c r="T395" s="226"/>
      <c r="U395" s="226" t="s">
        <v>1</v>
      </c>
      <c r="V395" s="226" t="s">
        <v>1</v>
      </c>
      <c r="W395" s="226" t="s">
        <v>1379</v>
      </c>
      <c r="X395" s="227">
        <v>46057.546527777777</v>
      </c>
      <c r="Y395" s="226" t="s">
        <v>1137</v>
      </c>
      <c r="Z395" s="226" t="s">
        <v>1826</v>
      </c>
      <c r="AA395" s="226" t="s">
        <v>1425</v>
      </c>
      <c r="AB395" s="226"/>
      <c r="AC395" s="226"/>
      <c r="AD395" s="226" t="s">
        <v>1829</v>
      </c>
      <c r="AE395" s="226" t="s">
        <v>1383</v>
      </c>
    </row>
    <row r="396" spans="1:31">
      <c r="A396" s="226" t="s">
        <v>1830</v>
      </c>
      <c r="B396" s="226" t="s">
        <v>1093</v>
      </c>
      <c r="C396" s="226" t="s">
        <v>1375</v>
      </c>
      <c r="D396" s="226" t="s">
        <v>1831</v>
      </c>
      <c r="E396" s="226">
        <v>4273057</v>
      </c>
      <c r="F396" s="226">
        <v>4273062</v>
      </c>
      <c r="G396" s="226" t="s">
        <v>907</v>
      </c>
      <c r="H396" s="226" t="s">
        <v>229</v>
      </c>
      <c r="I396" s="226" t="s">
        <v>1825</v>
      </c>
      <c r="J396" s="226" t="s">
        <v>1378</v>
      </c>
      <c r="K396" s="227">
        <v>46092.73333333333</v>
      </c>
      <c r="L396" s="227">
        <v>46093.841666666667</v>
      </c>
      <c r="M396" s="227">
        <v>46098.229166666664</v>
      </c>
      <c r="N396" s="227"/>
      <c r="O396" s="226" t="s">
        <v>1832</v>
      </c>
      <c r="P396" s="227">
        <v>46109.229166666664</v>
      </c>
      <c r="Q396" s="226">
        <v>5</v>
      </c>
      <c r="R396" s="226"/>
      <c r="S396" s="226">
        <v>2</v>
      </c>
      <c r="T396" s="226"/>
      <c r="U396" s="226" t="s">
        <v>1</v>
      </c>
      <c r="V396" s="226" t="s">
        <v>1</v>
      </c>
      <c r="W396" s="226" t="s">
        <v>1379</v>
      </c>
      <c r="X396" s="227">
        <v>46000.454861111109</v>
      </c>
      <c r="Y396" s="226" t="s">
        <v>1137</v>
      </c>
      <c r="Z396" s="226" t="s">
        <v>1826</v>
      </c>
      <c r="AA396" s="226" t="s">
        <v>1106</v>
      </c>
      <c r="AB396" s="226"/>
      <c r="AC396" s="226"/>
      <c r="AD396" s="226" t="s">
        <v>1833</v>
      </c>
      <c r="AE396" s="226" t="s">
        <v>1383</v>
      </c>
    </row>
    <row r="397" spans="1:31">
      <c r="A397" s="226" t="s">
        <v>1277</v>
      </c>
      <c r="B397" s="226" t="s">
        <v>1123</v>
      </c>
      <c r="C397" s="226" t="s">
        <v>1149</v>
      </c>
      <c r="D397" s="226" t="s">
        <v>1278</v>
      </c>
      <c r="E397" s="226">
        <v>4386527</v>
      </c>
      <c r="F397" s="226">
        <v>4378867</v>
      </c>
      <c r="G397" s="226" t="s">
        <v>1834</v>
      </c>
      <c r="H397" s="226" t="s">
        <v>218</v>
      </c>
      <c r="I397" s="226" t="s">
        <v>1825</v>
      </c>
      <c r="J397" s="226" t="s">
        <v>1378</v>
      </c>
      <c r="K397" s="227">
        <v>46092.229166666664</v>
      </c>
      <c r="L397" s="227">
        <v>46092.229166666664</v>
      </c>
      <c r="M397" s="227">
        <v>46097.229166666664</v>
      </c>
      <c r="N397" s="227">
        <v>46100.810416666667</v>
      </c>
      <c r="O397" s="226" t="s">
        <v>1098</v>
      </c>
      <c r="P397" s="227">
        <v>46109.229166666664</v>
      </c>
      <c r="Q397" s="226">
        <v>2</v>
      </c>
      <c r="R397" s="226"/>
      <c r="S397" s="226">
        <v>2</v>
      </c>
      <c r="T397" s="226"/>
      <c r="U397" s="226" t="s">
        <v>1</v>
      </c>
      <c r="V397" s="226" t="s">
        <v>1</v>
      </c>
      <c r="W397" s="226" t="s">
        <v>1280</v>
      </c>
      <c r="X397" s="227">
        <v>46072.71597222222</v>
      </c>
      <c r="Y397" s="226" t="s">
        <v>1244</v>
      </c>
      <c r="Z397" s="226" t="s">
        <v>1826</v>
      </c>
      <c r="AA397" s="226" t="s">
        <v>1156</v>
      </c>
      <c r="AB397" s="226"/>
      <c r="AC397" s="226"/>
      <c r="AD397" s="226" t="s">
        <v>1281</v>
      </c>
      <c r="AE397" s="226" t="s">
        <v>1383</v>
      </c>
    </row>
    <row r="398" spans="1:31">
      <c r="A398" s="226" t="s">
        <v>1277</v>
      </c>
      <c r="B398" s="226" t="s">
        <v>1123</v>
      </c>
      <c r="C398" s="226" t="s">
        <v>1149</v>
      </c>
      <c r="D398" s="226" t="s">
        <v>1835</v>
      </c>
      <c r="E398" s="226">
        <v>4386527</v>
      </c>
      <c r="F398" s="226">
        <v>4378865</v>
      </c>
      <c r="G398" s="226" t="s">
        <v>1836</v>
      </c>
      <c r="H398" s="226" t="s">
        <v>218</v>
      </c>
      <c r="I398" s="226" t="s">
        <v>1837</v>
      </c>
      <c r="J398" s="226" t="s">
        <v>1097</v>
      </c>
      <c r="K398" s="227">
        <v>46087.229166666664</v>
      </c>
      <c r="L398" s="227">
        <v>46088.005555555559</v>
      </c>
      <c r="M398" s="227">
        <v>46093.229166666664</v>
      </c>
      <c r="N398" s="227">
        <v>46092.957638888889</v>
      </c>
      <c r="O398" s="226" t="s">
        <v>1098</v>
      </c>
      <c r="P398" s="227">
        <v>46109.229166666664</v>
      </c>
      <c r="Q398" s="226">
        <v>4</v>
      </c>
      <c r="R398" s="226"/>
      <c r="S398" s="226">
        <v>2</v>
      </c>
      <c r="T398" s="226"/>
      <c r="U398" s="226" t="s">
        <v>1</v>
      </c>
      <c r="V398" s="226" t="s">
        <v>1</v>
      </c>
      <c r="W398" s="226" t="s">
        <v>1280</v>
      </c>
      <c r="X398" s="227">
        <v>46072.714583333334</v>
      </c>
      <c r="Y398" s="226"/>
      <c r="Z398" s="226" t="s">
        <v>1838</v>
      </c>
      <c r="AA398" s="226" t="s">
        <v>1156</v>
      </c>
      <c r="AB398" s="226"/>
      <c r="AC398" s="226"/>
      <c r="AD398" s="226" t="s">
        <v>1281</v>
      </c>
      <c r="AE398" s="226" t="s">
        <v>1839</v>
      </c>
    </row>
    <row r="399" spans="1:31">
      <c r="A399" s="226" t="s">
        <v>1840</v>
      </c>
      <c r="B399" s="226" t="s">
        <v>1093</v>
      </c>
      <c r="C399" s="226" t="s">
        <v>1149</v>
      </c>
      <c r="D399" s="226" t="s">
        <v>1247</v>
      </c>
      <c r="E399" s="226">
        <v>4269015</v>
      </c>
      <c r="F399" s="226">
        <v>4266989</v>
      </c>
      <c r="G399" s="226" t="s">
        <v>795</v>
      </c>
      <c r="H399" s="226" t="s">
        <v>218</v>
      </c>
      <c r="I399" s="226" t="s">
        <v>1837</v>
      </c>
      <c r="J399" s="226" t="s">
        <v>1097</v>
      </c>
      <c r="K399" s="227">
        <v>46092.229166666664</v>
      </c>
      <c r="L399" s="227">
        <v>46092.029166666667</v>
      </c>
      <c r="M399" s="227">
        <v>46094.0625</v>
      </c>
      <c r="N399" s="227">
        <v>46094.647916666669</v>
      </c>
      <c r="O399" s="226" t="s">
        <v>1098</v>
      </c>
      <c r="P399" s="227">
        <v>46109.229166666664</v>
      </c>
      <c r="Q399" s="226">
        <v>5</v>
      </c>
      <c r="R399" s="226"/>
      <c r="S399" s="226">
        <v>2</v>
      </c>
      <c r="T399" s="226"/>
      <c r="U399" s="226" t="s">
        <v>1</v>
      </c>
      <c r="V399" s="226" t="s">
        <v>1</v>
      </c>
      <c r="W399" s="226" t="s">
        <v>1236</v>
      </c>
      <c r="X399" s="227">
        <v>45993.590277777781</v>
      </c>
      <c r="Y399" s="226" t="s">
        <v>1841</v>
      </c>
      <c r="Z399" s="226" t="s">
        <v>1838</v>
      </c>
      <c r="AA399" s="226" t="s">
        <v>1249</v>
      </c>
      <c r="AB399" s="226"/>
      <c r="AC399" s="226"/>
      <c r="AD399" s="226" t="s">
        <v>1842</v>
      </c>
      <c r="AE399" s="226" t="s">
        <v>1839</v>
      </c>
    </row>
    <row r="400" spans="1:31">
      <c r="A400" s="226" t="s">
        <v>1843</v>
      </c>
      <c r="B400" s="226" t="s">
        <v>1093</v>
      </c>
      <c r="C400" s="226" t="s">
        <v>1149</v>
      </c>
      <c r="D400" s="226" t="s">
        <v>1844</v>
      </c>
      <c r="E400" s="226">
        <v>4352723</v>
      </c>
      <c r="F400" s="226">
        <v>4352719</v>
      </c>
      <c r="G400" s="226" t="s">
        <v>224</v>
      </c>
      <c r="H400" s="226" t="s">
        <v>866</v>
      </c>
      <c r="I400" s="226" t="s">
        <v>1837</v>
      </c>
      <c r="J400" s="226" t="s">
        <v>1287</v>
      </c>
      <c r="K400" s="227">
        <v>46087.104166666664</v>
      </c>
      <c r="L400" s="227">
        <v>46087.0625</v>
      </c>
      <c r="M400" s="227"/>
      <c r="N400" s="226"/>
      <c r="O400" s="226" t="s">
        <v>1339</v>
      </c>
      <c r="P400" s="227">
        <v>46109.229166666664</v>
      </c>
      <c r="Q400" s="226">
        <v>4</v>
      </c>
      <c r="R400" s="226"/>
      <c r="S400" s="226">
        <v>2</v>
      </c>
      <c r="T400" s="226"/>
      <c r="U400" s="226" t="s">
        <v>1</v>
      </c>
      <c r="V400" s="226" t="s">
        <v>1</v>
      </c>
      <c r="W400" s="226" t="s">
        <v>1601</v>
      </c>
      <c r="X400" s="227">
        <v>46056.619444444441</v>
      </c>
      <c r="Y400" s="226" t="s">
        <v>1845</v>
      </c>
      <c r="Z400" s="226" t="s">
        <v>1838</v>
      </c>
      <c r="AA400" s="226" t="s">
        <v>1846</v>
      </c>
      <c r="AB400" s="226"/>
      <c r="AC400" s="226"/>
      <c r="AD400" s="226" t="s">
        <v>1847</v>
      </c>
      <c r="AE400" s="226" t="s">
        <v>1839</v>
      </c>
    </row>
    <row r="401" spans="1:31">
      <c r="A401" s="226" t="s">
        <v>1242</v>
      </c>
      <c r="B401" s="226" t="s">
        <v>1123</v>
      </c>
      <c r="C401" s="226" t="s">
        <v>1195</v>
      </c>
      <c r="D401" s="226" t="s">
        <v>1243</v>
      </c>
      <c r="E401" s="226">
        <v>4317244</v>
      </c>
      <c r="F401" s="226">
        <v>4361798</v>
      </c>
      <c r="G401" s="226" t="s">
        <v>450</v>
      </c>
      <c r="H401" s="226" t="s">
        <v>218</v>
      </c>
      <c r="I401" s="226" t="s">
        <v>1837</v>
      </c>
      <c r="J401" s="226" t="s">
        <v>1127</v>
      </c>
      <c r="K401" s="227">
        <v>46090.229166666664</v>
      </c>
      <c r="L401" s="227">
        <v>46090.229166666664</v>
      </c>
      <c r="M401" s="227">
        <v>46093.229166666664</v>
      </c>
      <c r="N401" s="227">
        <v>46093.946527777778</v>
      </c>
      <c r="O401" s="226" t="s">
        <v>1214</v>
      </c>
      <c r="P401" s="227">
        <v>46109.229166666664</v>
      </c>
      <c r="Q401" s="226">
        <v>4</v>
      </c>
      <c r="R401" s="226"/>
      <c r="S401" s="226">
        <v>2</v>
      </c>
      <c r="T401" s="226"/>
      <c r="U401" s="226" t="s">
        <v>1</v>
      </c>
      <c r="V401" s="226" t="s">
        <v>1</v>
      </c>
      <c r="W401" s="226" t="s">
        <v>1198</v>
      </c>
      <c r="X401" s="227">
        <v>46063.991666666669</v>
      </c>
      <c r="Y401" s="226"/>
      <c r="Z401" s="226" t="s">
        <v>1838</v>
      </c>
      <c r="AA401" s="226" t="s">
        <v>1156</v>
      </c>
      <c r="AB401" s="226"/>
      <c r="AC401" s="226"/>
      <c r="AD401" s="226" t="s">
        <v>1245</v>
      </c>
      <c r="AE401" s="226" t="s">
        <v>1839</v>
      </c>
    </row>
    <row r="402" spans="1:31">
      <c r="A402" s="226" t="s">
        <v>1848</v>
      </c>
      <c r="B402" s="226" t="s">
        <v>1093</v>
      </c>
      <c r="C402" s="226" t="s">
        <v>1293</v>
      </c>
      <c r="D402" s="226" t="s">
        <v>1247</v>
      </c>
      <c r="E402" s="226">
        <v>4373529</v>
      </c>
      <c r="F402" s="226">
        <v>4361790</v>
      </c>
      <c r="G402" s="226" t="s">
        <v>813</v>
      </c>
      <c r="H402" s="226" t="s">
        <v>218</v>
      </c>
      <c r="I402" s="226" t="s">
        <v>1837</v>
      </c>
      <c r="J402" s="226" t="s">
        <v>1097</v>
      </c>
      <c r="K402" s="227">
        <v>46094.104166666664</v>
      </c>
      <c r="L402" s="227">
        <v>46094.145833333336</v>
      </c>
      <c r="M402" s="227">
        <v>46097.229166666664</v>
      </c>
      <c r="N402" s="227">
        <v>46097.930555555555</v>
      </c>
      <c r="O402" s="226" t="s">
        <v>1214</v>
      </c>
      <c r="P402" s="227">
        <v>46109.229166666664</v>
      </c>
      <c r="Q402" s="226">
        <v>5</v>
      </c>
      <c r="R402" s="226"/>
      <c r="S402" s="226">
        <v>2</v>
      </c>
      <c r="T402" s="226"/>
      <c r="U402" s="226" t="s">
        <v>1</v>
      </c>
      <c r="V402" s="226" t="s">
        <v>1</v>
      </c>
      <c r="W402" s="226" t="s">
        <v>1129</v>
      </c>
      <c r="X402" s="227">
        <v>46063.943749999999</v>
      </c>
      <c r="Y402" s="226" t="s">
        <v>1849</v>
      </c>
      <c r="Z402" s="226" t="s">
        <v>1838</v>
      </c>
      <c r="AA402" s="226" t="s">
        <v>1106</v>
      </c>
      <c r="AB402" s="226"/>
      <c r="AC402" s="226"/>
      <c r="AD402" s="226" t="s">
        <v>1850</v>
      </c>
      <c r="AE402" s="226" t="s">
        <v>1839</v>
      </c>
    </row>
    <row r="403" spans="1:31">
      <c r="A403" s="226" t="s">
        <v>1524</v>
      </c>
      <c r="B403" s="226" t="s">
        <v>1093</v>
      </c>
      <c r="C403" s="226" t="s">
        <v>1149</v>
      </c>
      <c r="D403" s="226" t="s">
        <v>1526</v>
      </c>
      <c r="E403" s="226">
        <v>4278081</v>
      </c>
      <c r="F403" s="226">
        <v>4362595</v>
      </c>
      <c r="G403" s="226" t="s">
        <v>383</v>
      </c>
      <c r="H403" s="226" t="s">
        <v>218</v>
      </c>
      <c r="I403" s="226" t="s">
        <v>1837</v>
      </c>
      <c r="J403" s="226" t="s">
        <v>1152</v>
      </c>
      <c r="K403" s="227">
        <v>46091.229166666664</v>
      </c>
      <c r="L403" s="227">
        <v>46091.836805555555</v>
      </c>
      <c r="M403" s="227">
        <v>46094.229166666664</v>
      </c>
      <c r="N403" s="227">
        <v>46095.040972222225</v>
      </c>
      <c r="O403" s="226" t="s">
        <v>1214</v>
      </c>
      <c r="P403" s="227">
        <v>46109.229166666664</v>
      </c>
      <c r="Q403" s="226">
        <v>4</v>
      </c>
      <c r="R403" s="226"/>
      <c r="S403" s="226">
        <v>2</v>
      </c>
      <c r="T403" s="226"/>
      <c r="U403" s="226" t="s">
        <v>1</v>
      </c>
      <c r="V403" s="226" t="s">
        <v>1</v>
      </c>
      <c r="W403" s="226" t="s">
        <v>1497</v>
      </c>
      <c r="X403" s="227">
        <v>46064.529166666667</v>
      </c>
      <c r="Y403" s="226" t="s">
        <v>1606</v>
      </c>
      <c r="Z403" s="226" t="s">
        <v>1838</v>
      </c>
      <c r="AA403" s="226" t="s">
        <v>1499</v>
      </c>
      <c r="AB403" s="226"/>
      <c r="AC403" s="226"/>
      <c r="AD403" s="226" t="s">
        <v>1526</v>
      </c>
      <c r="AE403" s="226" t="s">
        <v>1839</v>
      </c>
    </row>
    <row r="404" spans="1:31">
      <c r="A404" s="226" t="s">
        <v>1204</v>
      </c>
      <c r="B404" s="226" t="s">
        <v>1194</v>
      </c>
      <c r="C404" s="226" t="s">
        <v>1194</v>
      </c>
      <c r="D404" s="226" t="s">
        <v>1205</v>
      </c>
      <c r="E404" s="226">
        <v>4330994</v>
      </c>
      <c r="F404" s="226">
        <v>4364544</v>
      </c>
      <c r="G404" s="226" t="s">
        <v>950</v>
      </c>
      <c r="H404" s="226" t="s">
        <v>218</v>
      </c>
      <c r="I404" s="226" t="s">
        <v>1837</v>
      </c>
      <c r="J404" s="226" t="s">
        <v>1097</v>
      </c>
      <c r="K404" s="227">
        <v>46090.229166666664</v>
      </c>
      <c r="L404" s="227">
        <v>46091.086111111108</v>
      </c>
      <c r="M404" s="227">
        <v>46093.229166666664</v>
      </c>
      <c r="N404" s="227">
        <v>46093.717361111114</v>
      </c>
      <c r="O404" s="226" t="s">
        <v>1208</v>
      </c>
      <c r="P404" s="227">
        <v>46109.229166666664</v>
      </c>
      <c r="Q404" s="226">
        <v>4</v>
      </c>
      <c r="R404" s="226"/>
      <c r="S404" s="226">
        <v>2</v>
      </c>
      <c r="T404" s="226"/>
      <c r="U404" s="226" t="s">
        <v>1</v>
      </c>
      <c r="V404" s="226" t="s">
        <v>1</v>
      </c>
      <c r="W404" s="226" t="s">
        <v>1209</v>
      </c>
      <c r="X404" s="227">
        <v>46065.49722222222</v>
      </c>
      <c r="Y404" s="226"/>
      <c r="Z404" s="226" t="s">
        <v>1838</v>
      </c>
      <c r="AA404" s="226" t="s">
        <v>1156</v>
      </c>
      <c r="AB404" s="226"/>
      <c r="AC404" s="226"/>
      <c r="AD404" s="226" t="s">
        <v>1211</v>
      </c>
      <c r="AE404" s="226" t="s">
        <v>1839</v>
      </c>
    </row>
    <row r="405" spans="1:31">
      <c r="A405" s="226" t="s">
        <v>1851</v>
      </c>
      <c r="B405" s="226" t="s">
        <v>1093</v>
      </c>
      <c r="C405" s="226" t="s">
        <v>1233</v>
      </c>
      <c r="D405" s="226" t="s">
        <v>1247</v>
      </c>
      <c r="E405" s="226">
        <v>4371812</v>
      </c>
      <c r="F405" s="226">
        <v>4371838</v>
      </c>
      <c r="G405" s="226" t="s">
        <v>812</v>
      </c>
      <c r="H405" s="226" t="s">
        <v>218</v>
      </c>
      <c r="I405" s="226" t="s">
        <v>1837</v>
      </c>
      <c r="J405" s="226" t="s">
        <v>1097</v>
      </c>
      <c r="K405" s="227">
        <v>46087.229166666664</v>
      </c>
      <c r="L405" s="227">
        <v>46088.0625</v>
      </c>
      <c r="M405" s="227">
        <v>46091.020833333336</v>
      </c>
      <c r="N405" s="227">
        <v>46093.229166666664</v>
      </c>
      <c r="O405" s="226" t="s">
        <v>1098</v>
      </c>
      <c r="P405" s="227">
        <v>46109.229166666664</v>
      </c>
      <c r="Q405" s="226">
        <v>4</v>
      </c>
      <c r="R405" s="226"/>
      <c r="S405" s="226">
        <v>2</v>
      </c>
      <c r="T405" s="226"/>
      <c r="U405" s="226" t="s">
        <v>1</v>
      </c>
      <c r="V405" s="226" t="s">
        <v>1</v>
      </c>
      <c r="W405" s="226" t="s">
        <v>1129</v>
      </c>
      <c r="X405" s="227">
        <v>46070.8125</v>
      </c>
      <c r="Y405" s="226" t="s">
        <v>1852</v>
      </c>
      <c r="Z405" s="226" t="s">
        <v>1838</v>
      </c>
      <c r="AA405" s="226" t="s">
        <v>1106</v>
      </c>
      <c r="AB405" s="226"/>
      <c r="AC405" s="226"/>
      <c r="AD405" s="226" t="s">
        <v>1853</v>
      </c>
      <c r="AE405" s="226" t="s">
        <v>1839</v>
      </c>
    </row>
    <row r="406" spans="1:31">
      <c r="A406" s="226" t="s">
        <v>1830</v>
      </c>
      <c r="B406" s="226" t="s">
        <v>1093</v>
      </c>
      <c r="C406" s="226" t="s">
        <v>1149</v>
      </c>
      <c r="D406" s="226" t="s">
        <v>1831</v>
      </c>
      <c r="E406" s="226">
        <v>4273057</v>
      </c>
      <c r="F406" s="226">
        <v>4288220</v>
      </c>
      <c r="G406" s="226" t="s">
        <v>829</v>
      </c>
      <c r="H406" s="226" t="s">
        <v>171</v>
      </c>
      <c r="I406" s="226" t="s">
        <v>1854</v>
      </c>
      <c r="J406" s="226" t="s">
        <v>1097</v>
      </c>
      <c r="K406" s="227">
        <v>46090.229166666664</v>
      </c>
      <c r="L406" s="227">
        <v>46091.086111111108</v>
      </c>
      <c r="M406" s="227">
        <v>46093.229166666664</v>
      </c>
      <c r="N406" s="227"/>
      <c r="O406" s="226" t="s">
        <v>1855</v>
      </c>
      <c r="P406" s="227">
        <v>46109.229166666664</v>
      </c>
      <c r="Q406" s="226">
        <v>4</v>
      </c>
      <c r="R406" s="226"/>
      <c r="S406" s="226">
        <v>2</v>
      </c>
      <c r="T406" s="226"/>
      <c r="U406" s="226" t="s">
        <v>1</v>
      </c>
      <c r="V406" s="226" t="s">
        <v>1</v>
      </c>
      <c r="W406" s="226" t="s">
        <v>1497</v>
      </c>
      <c r="X406" s="227">
        <v>46014.535416666666</v>
      </c>
      <c r="Y406" s="226" t="s">
        <v>1856</v>
      </c>
      <c r="Z406" s="226" t="s">
        <v>1857</v>
      </c>
      <c r="AA406" s="226" t="s">
        <v>1499</v>
      </c>
      <c r="AB406" s="226"/>
      <c r="AC406" s="226"/>
      <c r="AD406" s="226" t="s">
        <v>1833</v>
      </c>
      <c r="AE406" s="226" t="s">
        <v>1839</v>
      </c>
    </row>
    <row r="407" spans="1:31">
      <c r="A407" s="226" t="s">
        <v>1858</v>
      </c>
      <c r="B407" s="226" t="s">
        <v>1093</v>
      </c>
      <c r="C407" s="226" t="s">
        <v>1149</v>
      </c>
      <c r="D407" s="226" t="s">
        <v>1247</v>
      </c>
      <c r="E407" s="226">
        <v>4110461</v>
      </c>
      <c r="F407" s="226">
        <v>4094562</v>
      </c>
      <c r="G407" s="226" t="s">
        <v>807</v>
      </c>
      <c r="H407" s="226" t="s">
        <v>229</v>
      </c>
      <c r="I407" s="226" t="s">
        <v>1854</v>
      </c>
      <c r="J407" s="226" t="s">
        <v>1097</v>
      </c>
      <c r="K407" s="227">
        <v>46099.145833333336</v>
      </c>
      <c r="L407" s="227">
        <v>46099.0625</v>
      </c>
      <c r="M407" s="227">
        <v>46097.229166666664</v>
      </c>
      <c r="N407" s="227"/>
      <c r="O407" s="226" t="s">
        <v>1859</v>
      </c>
      <c r="P407" s="227">
        <v>46109.229166666664</v>
      </c>
      <c r="Q407" s="226">
        <v>5</v>
      </c>
      <c r="R407" s="226"/>
      <c r="S407" s="226">
        <v>2</v>
      </c>
      <c r="T407" s="226"/>
      <c r="U407" s="226" t="s">
        <v>1</v>
      </c>
      <c r="V407" s="226" t="s">
        <v>1</v>
      </c>
      <c r="W407" s="226" t="s">
        <v>1860</v>
      </c>
      <c r="X407" s="227">
        <v>45882.736805555556</v>
      </c>
      <c r="Y407" s="226" t="s">
        <v>1861</v>
      </c>
      <c r="Z407" s="226" t="s">
        <v>1857</v>
      </c>
      <c r="AA407" s="226" t="s">
        <v>1862</v>
      </c>
      <c r="AB407" s="226"/>
      <c r="AC407" s="226"/>
      <c r="AD407" s="226" t="s">
        <v>1863</v>
      </c>
      <c r="AE407" s="226" t="s">
        <v>1839</v>
      </c>
    </row>
    <row r="408" spans="1:31">
      <c r="A408" s="226" t="s">
        <v>1864</v>
      </c>
      <c r="B408" s="226" t="s">
        <v>1093</v>
      </c>
      <c r="C408" s="226" t="s">
        <v>1486</v>
      </c>
      <c r="D408" s="226" t="s">
        <v>1865</v>
      </c>
      <c r="E408" s="226">
        <v>4349307</v>
      </c>
      <c r="F408" s="226">
        <v>4349408</v>
      </c>
      <c r="G408" s="226" t="s">
        <v>1866</v>
      </c>
      <c r="H408" s="226" t="s">
        <v>229</v>
      </c>
      <c r="I408" s="226" t="s">
        <v>1867</v>
      </c>
      <c r="J408" s="226" t="s">
        <v>1868</v>
      </c>
      <c r="K408" s="227">
        <v>46095.104166666664</v>
      </c>
      <c r="L408" s="227">
        <v>46095.083333333336</v>
      </c>
      <c r="M408" s="227">
        <v>46098.229166666664</v>
      </c>
      <c r="N408" s="227"/>
      <c r="O408" s="226" t="s">
        <v>1869</v>
      </c>
      <c r="P408" s="227">
        <v>46109.229166666664</v>
      </c>
      <c r="Q408" s="226">
        <v>8</v>
      </c>
      <c r="R408" s="226"/>
      <c r="S408" s="226">
        <v>2</v>
      </c>
      <c r="T408" s="226"/>
      <c r="U408" s="226" t="s">
        <v>1</v>
      </c>
      <c r="V408" s="226" t="s">
        <v>1</v>
      </c>
      <c r="W408" s="226" t="s">
        <v>1601</v>
      </c>
      <c r="X408" s="227">
        <v>46055.496527777781</v>
      </c>
      <c r="Y408" s="226" t="s">
        <v>1870</v>
      </c>
      <c r="Z408" s="226" t="s">
        <v>1871</v>
      </c>
      <c r="AA408" s="226" t="s">
        <v>1106</v>
      </c>
      <c r="AB408" s="226"/>
      <c r="AC408" s="226"/>
      <c r="AD408" s="226" t="s">
        <v>1872</v>
      </c>
      <c r="AE408" s="226" t="s">
        <v>1500</v>
      </c>
    </row>
    <row r="409" spans="1:31">
      <c r="A409" s="226" t="s">
        <v>1864</v>
      </c>
      <c r="B409" s="226" t="s">
        <v>1093</v>
      </c>
      <c r="C409" s="226" t="s">
        <v>1486</v>
      </c>
      <c r="D409" s="226" t="s">
        <v>1865</v>
      </c>
      <c r="E409" s="226">
        <v>4349307</v>
      </c>
      <c r="F409" s="226">
        <v>4349409</v>
      </c>
      <c r="G409" s="226" t="s">
        <v>1873</v>
      </c>
      <c r="H409" s="226" t="s">
        <v>866</v>
      </c>
      <c r="I409" s="226" t="s">
        <v>1867</v>
      </c>
      <c r="J409" s="226" t="s">
        <v>1868</v>
      </c>
      <c r="K409" s="227">
        <v>46095.104166666664</v>
      </c>
      <c r="L409" s="227">
        <v>46095.083333333336</v>
      </c>
      <c r="M409" s="227">
        <v>46098.229166666664</v>
      </c>
      <c r="N409" s="227">
        <v>46105.974305555559</v>
      </c>
      <c r="O409" s="226" t="s">
        <v>1874</v>
      </c>
      <c r="P409" s="227">
        <v>46109.229166666664</v>
      </c>
      <c r="Q409" s="226">
        <v>8</v>
      </c>
      <c r="R409" s="226"/>
      <c r="S409" s="226">
        <v>2</v>
      </c>
      <c r="T409" s="226"/>
      <c r="U409" s="226" t="s">
        <v>1</v>
      </c>
      <c r="V409" s="226" t="s">
        <v>1</v>
      </c>
      <c r="W409" s="226" t="s">
        <v>1601</v>
      </c>
      <c r="X409" s="227">
        <v>46055.49722222222</v>
      </c>
      <c r="Y409" s="226" t="s">
        <v>1870</v>
      </c>
      <c r="Z409" s="226" t="s">
        <v>1871</v>
      </c>
      <c r="AA409" s="226" t="s">
        <v>1106</v>
      </c>
      <c r="AB409" s="226"/>
      <c r="AC409" s="226"/>
      <c r="AD409" s="226" t="s">
        <v>1872</v>
      </c>
      <c r="AE409" s="226" t="s">
        <v>1500</v>
      </c>
    </row>
    <row r="410" spans="1:31">
      <c r="A410" s="226" t="s">
        <v>1864</v>
      </c>
      <c r="B410" s="226" t="s">
        <v>1093</v>
      </c>
      <c r="C410" s="226" t="s">
        <v>1486</v>
      </c>
      <c r="D410" s="226" t="s">
        <v>1865</v>
      </c>
      <c r="E410" s="226">
        <v>4349307</v>
      </c>
      <c r="F410" s="226">
        <v>4349500</v>
      </c>
      <c r="G410" s="226" t="s">
        <v>1875</v>
      </c>
      <c r="H410" s="226" t="s">
        <v>229</v>
      </c>
      <c r="I410" s="226" t="s">
        <v>1867</v>
      </c>
      <c r="J410" s="226" t="s">
        <v>1868</v>
      </c>
      <c r="K410" s="227">
        <v>46095.104166666664</v>
      </c>
      <c r="L410" s="227">
        <v>46095.083333333336</v>
      </c>
      <c r="M410" s="227">
        <v>46098.229166666664</v>
      </c>
      <c r="N410" s="227"/>
      <c r="O410" s="226" t="s">
        <v>1869</v>
      </c>
      <c r="P410" s="227">
        <v>46109.229166666664</v>
      </c>
      <c r="Q410" s="226">
        <v>8</v>
      </c>
      <c r="R410" s="226"/>
      <c r="S410" s="226">
        <v>2</v>
      </c>
      <c r="T410" s="226"/>
      <c r="U410" s="226" t="s">
        <v>1</v>
      </c>
      <c r="V410" s="226" t="s">
        <v>1</v>
      </c>
      <c r="W410" s="226" t="s">
        <v>1601</v>
      </c>
      <c r="X410" s="227">
        <v>46055.512499999997</v>
      </c>
      <c r="Y410" s="226" t="s">
        <v>1870</v>
      </c>
      <c r="Z410" s="226" t="s">
        <v>1871</v>
      </c>
      <c r="AA410" s="226" t="s">
        <v>1106</v>
      </c>
      <c r="AB410" s="226"/>
      <c r="AC410" s="226"/>
      <c r="AD410" s="226" t="s">
        <v>1872</v>
      </c>
      <c r="AE410" s="226" t="s">
        <v>1500</v>
      </c>
    </row>
    <row r="411" spans="1:31">
      <c r="A411" s="226" t="s">
        <v>1864</v>
      </c>
      <c r="B411" s="226" t="s">
        <v>1093</v>
      </c>
      <c r="C411" s="226" t="s">
        <v>1486</v>
      </c>
      <c r="D411" s="226" t="s">
        <v>1865</v>
      </c>
      <c r="E411" s="226">
        <v>4349307</v>
      </c>
      <c r="F411" s="226">
        <v>4349598</v>
      </c>
      <c r="G411" s="226" t="s">
        <v>1876</v>
      </c>
      <c r="H411" s="226" t="s">
        <v>866</v>
      </c>
      <c r="I411" s="226" t="s">
        <v>1867</v>
      </c>
      <c r="J411" s="226" t="s">
        <v>1868</v>
      </c>
      <c r="K411" s="227">
        <v>46095.104166666664</v>
      </c>
      <c r="L411" s="227">
        <v>46095.083333333336</v>
      </c>
      <c r="M411" s="227">
        <v>46098.229166666664</v>
      </c>
      <c r="N411" s="227">
        <v>46105.974999999999</v>
      </c>
      <c r="O411" s="226" t="s">
        <v>1874</v>
      </c>
      <c r="P411" s="227">
        <v>46109.229166666664</v>
      </c>
      <c r="Q411" s="226">
        <v>8</v>
      </c>
      <c r="R411" s="226"/>
      <c r="S411" s="226">
        <v>2</v>
      </c>
      <c r="T411" s="226"/>
      <c r="U411" s="226" t="s">
        <v>1</v>
      </c>
      <c r="V411" s="226" t="s">
        <v>1</v>
      </c>
      <c r="W411" s="226" t="s">
        <v>1601</v>
      </c>
      <c r="X411" s="227">
        <v>46055.533333333333</v>
      </c>
      <c r="Y411" s="226" t="s">
        <v>1870</v>
      </c>
      <c r="Z411" s="226" t="s">
        <v>1871</v>
      </c>
      <c r="AA411" s="226" t="s">
        <v>1106</v>
      </c>
      <c r="AB411" s="226"/>
      <c r="AC411" s="226"/>
      <c r="AD411" s="226" t="s">
        <v>1872</v>
      </c>
      <c r="AE411" s="226" t="s">
        <v>1500</v>
      </c>
    </row>
    <row r="412" spans="1:31">
      <c r="A412" s="226" t="s">
        <v>1325</v>
      </c>
      <c r="B412" s="226" t="s">
        <v>1123</v>
      </c>
      <c r="C412" s="226" t="s">
        <v>1149</v>
      </c>
      <c r="D412" s="226" t="s">
        <v>1877</v>
      </c>
      <c r="E412" s="226">
        <v>4366466</v>
      </c>
      <c r="F412" s="226">
        <v>4369531</v>
      </c>
      <c r="G412" s="226" t="s">
        <v>281</v>
      </c>
      <c r="H412" s="226" t="s">
        <v>218</v>
      </c>
      <c r="I412" s="226" t="s">
        <v>1867</v>
      </c>
      <c r="J412" s="226" t="s">
        <v>1207</v>
      </c>
      <c r="K412" s="227">
        <v>46093.104166666664</v>
      </c>
      <c r="L412" s="227">
        <v>46090.869444444441</v>
      </c>
      <c r="M412" s="227">
        <v>46097.979166666664</v>
      </c>
      <c r="N412" s="227">
        <v>46097.957638888889</v>
      </c>
      <c r="O412" s="226" t="s">
        <v>1214</v>
      </c>
      <c r="P412" s="227">
        <v>46109.229166666664</v>
      </c>
      <c r="Q412" s="226">
        <v>3</v>
      </c>
      <c r="R412" s="226"/>
      <c r="S412" s="226">
        <v>2</v>
      </c>
      <c r="T412" s="226"/>
      <c r="U412" s="226" t="s">
        <v>1</v>
      </c>
      <c r="V412" s="226" t="s">
        <v>1</v>
      </c>
      <c r="W412" s="226" t="s">
        <v>1189</v>
      </c>
      <c r="X412" s="227">
        <v>46069.595833333333</v>
      </c>
      <c r="Y412" s="226" t="s">
        <v>1269</v>
      </c>
      <c r="Z412" s="226" t="s">
        <v>1871</v>
      </c>
      <c r="AA412" s="226" t="s">
        <v>1216</v>
      </c>
      <c r="AB412" s="226"/>
      <c r="AC412" s="226"/>
      <c r="AD412" s="226" t="s">
        <v>1878</v>
      </c>
      <c r="AE412" s="226" t="s">
        <v>1500</v>
      </c>
    </row>
    <row r="413" spans="1:31">
      <c r="A413" s="226" t="s">
        <v>1879</v>
      </c>
      <c r="B413" s="226" t="s">
        <v>1123</v>
      </c>
      <c r="C413" s="226" t="s">
        <v>1159</v>
      </c>
      <c r="D413" s="226" t="s">
        <v>1150</v>
      </c>
      <c r="E413" s="226">
        <v>4385939</v>
      </c>
      <c r="F413" s="226">
        <v>4366445</v>
      </c>
      <c r="G413" s="226" t="s">
        <v>384</v>
      </c>
      <c r="H413" s="226" t="s">
        <v>866</v>
      </c>
      <c r="I413" s="226" t="s">
        <v>1867</v>
      </c>
      <c r="J413" s="226" t="s">
        <v>1152</v>
      </c>
      <c r="K413" s="227">
        <v>46092.104166666664</v>
      </c>
      <c r="L413" s="227">
        <v>46092.712500000001</v>
      </c>
      <c r="M413" s="227">
        <v>46095.0625</v>
      </c>
      <c r="N413" s="227">
        <v>46094.743750000001</v>
      </c>
      <c r="O413" s="226" t="s">
        <v>1098</v>
      </c>
      <c r="P413" s="227">
        <v>46109.229166666664</v>
      </c>
      <c r="Q413" s="226">
        <v>5</v>
      </c>
      <c r="R413" s="226"/>
      <c r="S413" s="226">
        <v>2</v>
      </c>
      <c r="T413" s="226"/>
      <c r="U413" s="226" t="s">
        <v>1</v>
      </c>
      <c r="V413" s="226" t="s">
        <v>1</v>
      </c>
      <c r="W413" s="226" t="s">
        <v>1223</v>
      </c>
      <c r="X413" s="227">
        <v>46066.431250000001</v>
      </c>
      <c r="Y413" s="226" t="s">
        <v>1226</v>
      </c>
      <c r="Z413" s="226" t="s">
        <v>1871</v>
      </c>
      <c r="AA413" s="226" t="s">
        <v>1156</v>
      </c>
      <c r="AB413" s="226"/>
      <c r="AC413" s="226"/>
      <c r="AD413" s="226" t="s">
        <v>1880</v>
      </c>
      <c r="AE413" s="226" t="s">
        <v>1500</v>
      </c>
    </row>
    <row r="414" spans="1:31">
      <c r="A414" s="226" t="s">
        <v>1204</v>
      </c>
      <c r="B414" s="226" t="s">
        <v>1194</v>
      </c>
      <c r="C414" s="226" t="s">
        <v>1194</v>
      </c>
      <c r="D414" s="226" t="s">
        <v>1205</v>
      </c>
      <c r="E414" s="226">
        <v>4330994</v>
      </c>
      <c r="F414" s="226">
        <v>4364419</v>
      </c>
      <c r="G414" s="226" t="s">
        <v>316</v>
      </c>
      <c r="H414" s="226" t="s">
        <v>866</v>
      </c>
      <c r="I414" s="226" t="s">
        <v>1867</v>
      </c>
      <c r="J414" s="226" t="s">
        <v>1207</v>
      </c>
      <c r="K414" s="227">
        <v>46088.104166666664</v>
      </c>
      <c r="L414" s="227">
        <v>46090.229166666664</v>
      </c>
      <c r="M414" s="227">
        <v>46093.229166666664</v>
      </c>
      <c r="N414" s="227">
        <v>46093.984722222223</v>
      </c>
      <c r="O414" s="226" t="s">
        <v>1208</v>
      </c>
      <c r="P414" s="227">
        <v>46109.229166666664</v>
      </c>
      <c r="Q414" s="226">
        <v>2</v>
      </c>
      <c r="R414" s="226"/>
      <c r="S414" s="226">
        <v>2</v>
      </c>
      <c r="T414" s="226"/>
      <c r="U414" s="226" t="s">
        <v>1</v>
      </c>
      <c r="V414" s="226" t="s">
        <v>1</v>
      </c>
      <c r="W414" s="226" t="s">
        <v>1198</v>
      </c>
      <c r="X414" s="227">
        <v>46065.476388888892</v>
      </c>
      <c r="Y414" s="226"/>
      <c r="Z414" s="226" t="s">
        <v>1871</v>
      </c>
      <c r="AA414" s="226" t="s">
        <v>1156</v>
      </c>
      <c r="AB414" s="226"/>
      <c r="AC414" s="226"/>
      <c r="AD414" s="226" t="s">
        <v>1211</v>
      </c>
      <c r="AE414" s="226" t="s">
        <v>1500</v>
      </c>
    </row>
    <row r="415" spans="1:31">
      <c r="A415" s="226" t="s">
        <v>1212</v>
      </c>
      <c r="B415" s="226" t="s">
        <v>1123</v>
      </c>
      <c r="C415" s="226" t="s">
        <v>1149</v>
      </c>
      <c r="D415" s="226" t="s">
        <v>1881</v>
      </c>
      <c r="E415" s="226">
        <v>4365826</v>
      </c>
      <c r="F415" s="226">
        <v>4366103</v>
      </c>
      <c r="G415" s="226" t="s">
        <v>269</v>
      </c>
      <c r="H415" s="226" t="s">
        <v>866</v>
      </c>
      <c r="I415" s="226" t="s">
        <v>1867</v>
      </c>
      <c r="J415" s="226" t="s">
        <v>1207</v>
      </c>
      <c r="K415" s="227">
        <v>46093.104166666664</v>
      </c>
      <c r="L415" s="227">
        <v>46092.959722222222</v>
      </c>
      <c r="M415" s="227"/>
      <c r="N415" s="226"/>
      <c r="O415" s="226" t="s">
        <v>1501</v>
      </c>
      <c r="P415" s="227">
        <v>46109.229166666664</v>
      </c>
      <c r="Q415" s="226">
        <v>8</v>
      </c>
      <c r="R415" s="226"/>
      <c r="S415" s="226">
        <v>2</v>
      </c>
      <c r="T415" s="226"/>
      <c r="U415" s="226" t="s">
        <v>1</v>
      </c>
      <c r="V415" s="226" t="s">
        <v>1</v>
      </c>
      <c r="W415" s="226" t="s">
        <v>1189</v>
      </c>
      <c r="X415" s="227">
        <v>46065.803472222222</v>
      </c>
      <c r="Y415" s="226" t="s">
        <v>1882</v>
      </c>
      <c r="Z415" s="226" t="s">
        <v>1871</v>
      </c>
      <c r="AA415" s="226" t="s">
        <v>1329</v>
      </c>
      <c r="AB415" s="226"/>
      <c r="AC415" s="226"/>
      <c r="AD415" s="226" t="s">
        <v>1265</v>
      </c>
      <c r="AE415" s="226" t="s">
        <v>1500</v>
      </c>
    </row>
    <row r="416" spans="1:31">
      <c r="A416" s="226" t="s">
        <v>1212</v>
      </c>
      <c r="B416" s="226" t="s">
        <v>1123</v>
      </c>
      <c r="C416" s="226" t="s">
        <v>1149</v>
      </c>
      <c r="D416" s="226" t="s">
        <v>1213</v>
      </c>
      <c r="E416" s="226">
        <v>4365826</v>
      </c>
      <c r="F416" s="226">
        <v>4366122</v>
      </c>
      <c r="G416" s="226" t="s">
        <v>1883</v>
      </c>
      <c r="H416" s="226" t="s">
        <v>866</v>
      </c>
      <c r="I416" s="226" t="s">
        <v>1867</v>
      </c>
      <c r="J416" s="226" t="s">
        <v>1207</v>
      </c>
      <c r="K416" s="227">
        <v>46088.104166666664</v>
      </c>
      <c r="L416" s="227">
        <v>46087.229166666664</v>
      </c>
      <c r="M416" s="227">
        <v>46093.229166666664</v>
      </c>
      <c r="N416" s="227">
        <v>46093.945138888892</v>
      </c>
      <c r="O416" s="226" t="s">
        <v>1214</v>
      </c>
      <c r="P416" s="227">
        <v>46109.229166666664</v>
      </c>
      <c r="Q416" s="226">
        <v>5</v>
      </c>
      <c r="R416" s="226"/>
      <c r="S416" s="226">
        <v>2</v>
      </c>
      <c r="T416" s="226"/>
      <c r="U416" s="226" t="s">
        <v>1</v>
      </c>
      <c r="V416" s="226" t="s">
        <v>1</v>
      </c>
      <c r="W416" s="226" t="s">
        <v>1189</v>
      </c>
      <c r="X416" s="227">
        <v>46065.821527777778</v>
      </c>
      <c r="Y416" s="226" t="s">
        <v>1215</v>
      </c>
      <c r="Z416" s="226" t="s">
        <v>1871</v>
      </c>
      <c r="AA416" s="226" t="s">
        <v>1216</v>
      </c>
      <c r="AB416" s="226"/>
      <c r="AC416" s="226"/>
      <c r="AD416" s="226" t="s">
        <v>1217</v>
      </c>
      <c r="AE416" s="226" t="s">
        <v>1500</v>
      </c>
    </row>
    <row r="417" spans="1:31">
      <c r="A417" s="226" t="s">
        <v>1242</v>
      </c>
      <c r="B417" s="226" t="s">
        <v>1123</v>
      </c>
      <c r="C417" s="226" t="s">
        <v>1195</v>
      </c>
      <c r="D417" s="226" t="s">
        <v>1243</v>
      </c>
      <c r="E417" s="226">
        <v>4317244</v>
      </c>
      <c r="F417" s="226">
        <v>4361793</v>
      </c>
      <c r="G417" s="226" t="s">
        <v>447</v>
      </c>
      <c r="H417" s="226" t="s">
        <v>218</v>
      </c>
      <c r="I417" s="226" t="s">
        <v>1867</v>
      </c>
      <c r="J417" s="226" t="s">
        <v>1127</v>
      </c>
      <c r="K417" s="227">
        <v>46088.104166666664</v>
      </c>
      <c r="L417" s="227">
        <v>46087.686805555553</v>
      </c>
      <c r="M417" s="227">
        <v>46093.229166666664</v>
      </c>
      <c r="N417" s="227">
        <v>46094.849305555559</v>
      </c>
      <c r="O417" s="226" t="s">
        <v>1214</v>
      </c>
      <c r="P417" s="227">
        <v>46109.229166666664</v>
      </c>
      <c r="Q417" s="226">
        <v>4</v>
      </c>
      <c r="R417" s="226"/>
      <c r="S417" s="226">
        <v>2</v>
      </c>
      <c r="T417" s="226"/>
      <c r="U417" s="226" t="s">
        <v>1</v>
      </c>
      <c r="V417" s="226" t="s">
        <v>1</v>
      </c>
      <c r="W417" s="226" t="s">
        <v>1198</v>
      </c>
      <c r="X417" s="227">
        <v>46063.984027777777</v>
      </c>
      <c r="Y417" s="226"/>
      <c r="Z417" s="226" t="s">
        <v>1871</v>
      </c>
      <c r="AA417" s="226" t="s">
        <v>1156</v>
      </c>
      <c r="AB417" s="226"/>
      <c r="AC417" s="226"/>
      <c r="AD417" s="226" t="s">
        <v>1245</v>
      </c>
      <c r="AE417" s="226" t="s">
        <v>1500</v>
      </c>
    </row>
    <row r="418" spans="1:31">
      <c r="A418" s="226" t="s">
        <v>1166</v>
      </c>
      <c r="B418" s="226" t="s">
        <v>1123</v>
      </c>
      <c r="C418" s="226" t="s">
        <v>1159</v>
      </c>
      <c r="D418" s="226" t="s">
        <v>1150</v>
      </c>
      <c r="E418" s="226">
        <v>4378908</v>
      </c>
      <c r="F418" s="226">
        <v>4378075</v>
      </c>
      <c r="G418" s="226" t="s">
        <v>1884</v>
      </c>
      <c r="H418" s="226" t="s">
        <v>866</v>
      </c>
      <c r="I418" s="226" t="s">
        <v>1867</v>
      </c>
      <c r="J418" s="226" t="s">
        <v>1152</v>
      </c>
      <c r="K418" s="227">
        <v>46091.104166666664</v>
      </c>
      <c r="L418" s="227">
        <v>46090.754166666666</v>
      </c>
      <c r="M418" s="227">
        <v>46094.229166666664</v>
      </c>
      <c r="N418" s="227">
        <v>46094.663194444445</v>
      </c>
      <c r="O418" s="226" t="s">
        <v>1098</v>
      </c>
      <c r="P418" s="227">
        <v>46109.229166666664</v>
      </c>
      <c r="Q418" s="226">
        <v>3</v>
      </c>
      <c r="R418" s="226"/>
      <c r="S418" s="226">
        <v>2</v>
      </c>
      <c r="T418" s="226"/>
      <c r="U418" s="226" t="s">
        <v>1</v>
      </c>
      <c r="V418" s="226" t="s">
        <v>1</v>
      </c>
      <c r="W418" s="226" t="s">
        <v>1223</v>
      </c>
      <c r="X418" s="227">
        <v>46072.669444444444</v>
      </c>
      <c r="Y418" s="226" t="s">
        <v>1274</v>
      </c>
      <c r="Z418" s="226" t="s">
        <v>1871</v>
      </c>
      <c r="AA418" s="226" t="s">
        <v>1275</v>
      </c>
      <c r="AB418" s="226"/>
      <c r="AC418" s="226"/>
      <c r="AD418" s="226" t="s">
        <v>1276</v>
      </c>
      <c r="AE418" s="226" t="s">
        <v>1500</v>
      </c>
    </row>
    <row r="419" spans="1:31">
      <c r="A419" s="226" t="s">
        <v>1885</v>
      </c>
      <c r="B419" s="226" t="s">
        <v>1123</v>
      </c>
      <c r="C419" s="226" t="s">
        <v>1149</v>
      </c>
      <c r="D419" s="226" t="s">
        <v>1510</v>
      </c>
      <c r="E419" s="226">
        <v>4387609</v>
      </c>
      <c r="F419" s="226">
        <v>4373609</v>
      </c>
      <c r="G419" s="226" t="s">
        <v>262</v>
      </c>
      <c r="H419" s="226" t="s">
        <v>218</v>
      </c>
      <c r="I419" s="226" t="s">
        <v>1867</v>
      </c>
      <c r="J419" s="226" t="s">
        <v>1207</v>
      </c>
      <c r="K419" s="227">
        <v>46092.104166666664</v>
      </c>
      <c r="L419" s="227">
        <v>46088.145833333336</v>
      </c>
      <c r="M419" s="227">
        <v>46097.229166666664</v>
      </c>
      <c r="N419" s="227">
        <v>46094.913888888892</v>
      </c>
      <c r="O419" s="226" t="s">
        <v>1214</v>
      </c>
      <c r="P419" s="227">
        <v>46109.229166666664</v>
      </c>
      <c r="Q419" s="226">
        <v>3</v>
      </c>
      <c r="R419" s="226"/>
      <c r="S419" s="226">
        <v>2</v>
      </c>
      <c r="T419" s="226"/>
      <c r="U419" s="226" t="s">
        <v>1</v>
      </c>
      <c r="V419" s="226" t="s">
        <v>1</v>
      </c>
      <c r="W419" s="226" t="s">
        <v>1220</v>
      </c>
      <c r="X419" s="227">
        <v>46072.122916666667</v>
      </c>
      <c r="Y419" s="226" t="s">
        <v>1302</v>
      </c>
      <c r="Z419" s="226" t="s">
        <v>1871</v>
      </c>
      <c r="AA419" s="226" t="s">
        <v>1156</v>
      </c>
      <c r="AB419" s="226"/>
      <c r="AC419" s="226"/>
      <c r="AD419" s="226" t="s">
        <v>1886</v>
      </c>
      <c r="AE419" s="226" t="s">
        <v>1500</v>
      </c>
    </row>
    <row r="420" spans="1:31">
      <c r="A420" s="226" t="s">
        <v>1864</v>
      </c>
      <c r="B420" s="226" t="s">
        <v>1093</v>
      </c>
      <c r="C420" s="226" t="s">
        <v>1486</v>
      </c>
      <c r="D420" s="226" t="s">
        <v>1865</v>
      </c>
      <c r="E420" s="226">
        <v>4349307</v>
      </c>
      <c r="F420" s="226">
        <v>4392689</v>
      </c>
      <c r="G420" s="226" t="s">
        <v>406</v>
      </c>
      <c r="H420" s="226" t="s">
        <v>866</v>
      </c>
      <c r="I420" s="226" t="s">
        <v>1867</v>
      </c>
      <c r="J420" s="226" t="s">
        <v>1868</v>
      </c>
      <c r="K420" s="227">
        <v>46095.104166666664</v>
      </c>
      <c r="L420" s="227">
        <v>46095.083333333336</v>
      </c>
      <c r="M420" s="227">
        <v>46098.229166666664</v>
      </c>
      <c r="N420" s="227">
        <v>46105.975694444445</v>
      </c>
      <c r="O420" s="226" t="s">
        <v>1869</v>
      </c>
      <c r="P420" s="227">
        <v>46109.229166666664</v>
      </c>
      <c r="Q420" s="226">
        <v>8</v>
      </c>
      <c r="R420" s="226"/>
      <c r="S420" s="226">
        <v>2</v>
      </c>
      <c r="T420" s="226"/>
      <c r="U420" s="226" t="s">
        <v>1</v>
      </c>
      <c r="V420" s="226" t="s">
        <v>1</v>
      </c>
      <c r="W420" s="226" t="s">
        <v>1601</v>
      </c>
      <c r="X420" s="227">
        <v>46078.966666666667</v>
      </c>
      <c r="Y420" s="226" t="s">
        <v>1870</v>
      </c>
      <c r="Z420" s="226" t="s">
        <v>1871</v>
      </c>
      <c r="AA420" s="226" t="s">
        <v>1106</v>
      </c>
      <c r="AB420" s="226"/>
      <c r="AC420" s="226"/>
      <c r="AD420" s="226" t="s">
        <v>1872</v>
      </c>
      <c r="AE420" s="226" t="s">
        <v>1500</v>
      </c>
    </row>
    <row r="421" spans="1:31">
      <c r="A421" s="226" t="s">
        <v>1864</v>
      </c>
      <c r="B421" s="226" t="s">
        <v>1093</v>
      </c>
      <c r="C421" s="226" t="s">
        <v>1486</v>
      </c>
      <c r="D421" s="226" t="s">
        <v>1865</v>
      </c>
      <c r="E421" s="226">
        <v>4349307</v>
      </c>
      <c r="F421" s="226">
        <v>4392716</v>
      </c>
      <c r="G421" s="226" t="s">
        <v>407</v>
      </c>
      <c r="H421" s="226" t="s">
        <v>229</v>
      </c>
      <c r="I421" s="226" t="s">
        <v>1867</v>
      </c>
      <c r="J421" s="226" t="s">
        <v>1868</v>
      </c>
      <c r="K421" s="227">
        <v>46095.104166666664</v>
      </c>
      <c r="L421" s="227">
        <v>46095.083333333336</v>
      </c>
      <c r="M421" s="227">
        <v>46098.229166666664</v>
      </c>
      <c r="N421" s="227"/>
      <c r="O421" s="226" t="s">
        <v>1874</v>
      </c>
      <c r="P421" s="227">
        <v>46109.229166666664</v>
      </c>
      <c r="Q421" s="226">
        <v>8</v>
      </c>
      <c r="R421" s="226"/>
      <c r="S421" s="226">
        <v>2</v>
      </c>
      <c r="T421" s="226"/>
      <c r="U421" s="226" t="s">
        <v>1</v>
      </c>
      <c r="V421" s="226" t="s">
        <v>1</v>
      </c>
      <c r="W421" s="226" t="s">
        <v>1601</v>
      </c>
      <c r="X421" s="227">
        <v>46078.970833333333</v>
      </c>
      <c r="Y421" s="226" t="s">
        <v>1870</v>
      </c>
      <c r="Z421" s="226" t="s">
        <v>1871</v>
      </c>
      <c r="AA421" s="226" t="s">
        <v>1106</v>
      </c>
      <c r="AB421" s="226"/>
      <c r="AC421" s="226"/>
      <c r="AD421" s="226" t="s">
        <v>1872</v>
      </c>
      <c r="AE421" s="226" t="s">
        <v>1500</v>
      </c>
    </row>
    <row r="422" spans="1:31">
      <c r="A422" s="226" t="s">
        <v>1122</v>
      </c>
      <c r="B422" s="226" t="s">
        <v>1123</v>
      </c>
      <c r="C422" s="226" t="s">
        <v>1124</v>
      </c>
      <c r="D422" s="226" t="s">
        <v>1887</v>
      </c>
      <c r="E422" s="226">
        <v>4384974</v>
      </c>
      <c r="F422" s="226">
        <v>4387669</v>
      </c>
      <c r="G422" s="226" t="s">
        <v>487</v>
      </c>
      <c r="H422" s="226" t="s">
        <v>218</v>
      </c>
      <c r="I422" s="226" t="s">
        <v>1867</v>
      </c>
      <c r="J422" s="226" t="s">
        <v>1127</v>
      </c>
      <c r="K422" s="227">
        <v>46093.104166666664</v>
      </c>
      <c r="L422" s="227">
        <v>46092.229166666664</v>
      </c>
      <c r="M422" s="227">
        <v>46097.229166666664</v>
      </c>
      <c r="N422" s="227">
        <v>46097.894444444442</v>
      </c>
      <c r="O422" s="226" t="s">
        <v>1214</v>
      </c>
      <c r="P422" s="227">
        <v>46109.229166666664</v>
      </c>
      <c r="Q422" s="226">
        <v>2</v>
      </c>
      <c r="R422" s="226"/>
      <c r="S422" s="226">
        <v>2</v>
      </c>
      <c r="T422" s="226"/>
      <c r="U422" s="226" t="s">
        <v>1</v>
      </c>
      <c r="V422" s="226" t="s">
        <v>1</v>
      </c>
      <c r="W422" s="226" t="s">
        <v>1129</v>
      </c>
      <c r="X422" s="227">
        <v>46076.770138888889</v>
      </c>
      <c r="Y422" s="226"/>
      <c r="Z422" s="226" t="s">
        <v>1871</v>
      </c>
      <c r="AA422" s="226" t="s">
        <v>1106</v>
      </c>
      <c r="AB422" s="226"/>
      <c r="AC422" s="226"/>
      <c r="AD422" s="226" t="s">
        <v>1887</v>
      </c>
      <c r="AE422" s="226" t="s">
        <v>1500</v>
      </c>
    </row>
    <row r="423" spans="1:31">
      <c r="A423" s="226" t="s">
        <v>1536</v>
      </c>
      <c r="B423" s="226" t="s">
        <v>1093</v>
      </c>
      <c r="C423" s="226" t="s">
        <v>1293</v>
      </c>
      <c r="D423" s="226" t="s">
        <v>1385</v>
      </c>
      <c r="E423" s="226">
        <v>4371607</v>
      </c>
      <c r="F423" s="226">
        <v>4385961</v>
      </c>
      <c r="G423" s="226" t="s">
        <v>978</v>
      </c>
      <c r="H423" s="226" t="s">
        <v>218</v>
      </c>
      <c r="I423" s="226" t="s">
        <v>1888</v>
      </c>
      <c r="J423" s="226" t="s">
        <v>1229</v>
      </c>
      <c r="K423" s="227">
        <v>46092.229166666664</v>
      </c>
      <c r="L423" s="227">
        <v>46086.786805555559</v>
      </c>
      <c r="M423" s="227">
        <v>46098.229166666664</v>
      </c>
      <c r="N423" s="227">
        <v>46098.887499999997</v>
      </c>
      <c r="O423" s="226" t="s">
        <v>1296</v>
      </c>
      <c r="P423" s="227">
        <v>46109.229166666664</v>
      </c>
      <c r="Q423" s="226">
        <v>5</v>
      </c>
      <c r="R423" s="226"/>
      <c r="S423" s="226">
        <v>2</v>
      </c>
      <c r="T423" s="226"/>
      <c r="U423" s="226" t="s">
        <v>1</v>
      </c>
      <c r="V423" s="226" t="s">
        <v>1</v>
      </c>
      <c r="W423" s="226" t="s">
        <v>1297</v>
      </c>
      <c r="X423" s="227">
        <v>46073.681250000001</v>
      </c>
      <c r="Y423" s="226"/>
      <c r="Z423" s="226" t="s">
        <v>1889</v>
      </c>
      <c r="AA423" s="226" t="s">
        <v>1890</v>
      </c>
      <c r="AB423" s="226"/>
      <c r="AC423" s="226"/>
      <c r="AD423" s="226" t="s">
        <v>1385</v>
      </c>
      <c r="AE423" s="226" t="s">
        <v>1383</v>
      </c>
    </row>
    <row r="424" spans="1:31">
      <c r="A424" s="226" t="s">
        <v>1277</v>
      </c>
      <c r="B424" s="226" t="s">
        <v>1123</v>
      </c>
      <c r="C424" s="226" t="s">
        <v>1149</v>
      </c>
      <c r="D424" s="226" t="s">
        <v>1278</v>
      </c>
      <c r="E424" s="226">
        <v>4386527</v>
      </c>
      <c r="F424" s="226">
        <v>4393222</v>
      </c>
      <c r="G424" s="226" t="s">
        <v>1891</v>
      </c>
      <c r="H424" s="226" t="s">
        <v>218</v>
      </c>
      <c r="I424" s="226" t="s">
        <v>1892</v>
      </c>
      <c r="J424" s="226" t="s">
        <v>1152</v>
      </c>
      <c r="K424" s="227">
        <v>46090.229166666664</v>
      </c>
      <c r="L424" s="227">
        <v>46093.799305555556</v>
      </c>
      <c r="M424" s="227">
        <v>46094.229166666664</v>
      </c>
      <c r="N424" s="227">
        <v>46095.092361111114</v>
      </c>
      <c r="O424" s="226" t="s">
        <v>1214</v>
      </c>
      <c r="P424" s="227">
        <v>46109.229166666664</v>
      </c>
      <c r="Q424" s="226">
        <v>4</v>
      </c>
      <c r="R424" s="226"/>
      <c r="S424" s="226">
        <v>2</v>
      </c>
      <c r="T424" s="226"/>
      <c r="U424" s="226" t="s">
        <v>1</v>
      </c>
      <c r="V424" s="226" t="s">
        <v>1</v>
      </c>
      <c r="W424" s="226" t="s">
        <v>1280</v>
      </c>
      <c r="X424" s="227">
        <v>46079.568749999999</v>
      </c>
      <c r="Y424" s="226" t="s">
        <v>1364</v>
      </c>
      <c r="Z424" s="226" t="s">
        <v>1893</v>
      </c>
      <c r="AA424" s="226" t="s">
        <v>1156</v>
      </c>
      <c r="AB424" s="226"/>
      <c r="AC424" s="226"/>
      <c r="AD424" s="226" t="s">
        <v>1281</v>
      </c>
      <c r="AE424" s="226" t="s">
        <v>1894</v>
      </c>
    </row>
    <row r="425" spans="1:31">
      <c r="A425" s="226" t="s">
        <v>1242</v>
      </c>
      <c r="B425" s="226" t="s">
        <v>1123</v>
      </c>
      <c r="C425" s="226" t="s">
        <v>1195</v>
      </c>
      <c r="D425" s="226" t="s">
        <v>1243</v>
      </c>
      <c r="E425" s="226">
        <v>4317244</v>
      </c>
      <c r="F425" s="226">
        <v>4399219</v>
      </c>
      <c r="G425" s="226" t="s">
        <v>1023</v>
      </c>
      <c r="H425" s="226" t="s">
        <v>218</v>
      </c>
      <c r="I425" s="226" t="s">
        <v>1892</v>
      </c>
      <c r="J425" s="226" t="s">
        <v>1127</v>
      </c>
      <c r="K425" s="227">
        <v>46090.979166666664</v>
      </c>
      <c r="L425" s="227">
        <v>46093.750694444447</v>
      </c>
      <c r="M425" s="227">
        <v>46093.229166666664</v>
      </c>
      <c r="N425" s="227">
        <v>46097.709722222222</v>
      </c>
      <c r="O425" s="226" t="s">
        <v>1214</v>
      </c>
      <c r="P425" s="227">
        <v>46109.229166666664</v>
      </c>
      <c r="Q425" s="226">
        <v>4</v>
      </c>
      <c r="R425" s="226"/>
      <c r="S425" s="226">
        <v>2</v>
      </c>
      <c r="T425" s="226"/>
      <c r="U425" s="226" t="s">
        <v>1</v>
      </c>
      <c r="V425" s="226" t="s">
        <v>1</v>
      </c>
      <c r="W425" s="226" t="s">
        <v>1198</v>
      </c>
      <c r="X425" s="227">
        <v>46083.710416666669</v>
      </c>
      <c r="Y425" s="226" t="s">
        <v>1364</v>
      </c>
      <c r="Z425" s="226" t="s">
        <v>1893</v>
      </c>
      <c r="AA425" s="226" t="s">
        <v>1156</v>
      </c>
      <c r="AB425" s="226"/>
      <c r="AC425" s="226"/>
      <c r="AD425" s="226" t="s">
        <v>1245</v>
      </c>
      <c r="AE425" s="226" t="s">
        <v>1894</v>
      </c>
    </row>
    <row r="426" spans="1:31">
      <c r="A426" s="226" t="s">
        <v>1204</v>
      </c>
      <c r="B426" s="226" t="s">
        <v>1194</v>
      </c>
      <c r="C426" s="226" t="s">
        <v>1194</v>
      </c>
      <c r="D426" s="226" t="s">
        <v>1205</v>
      </c>
      <c r="E426" s="226">
        <v>4330994</v>
      </c>
      <c r="F426" s="226">
        <v>4400201</v>
      </c>
      <c r="G426" s="226" t="s">
        <v>1895</v>
      </c>
      <c r="H426" s="226" t="s">
        <v>866</v>
      </c>
      <c r="I426" s="226" t="s">
        <v>1892</v>
      </c>
      <c r="J426" s="226" t="s">
        <v>1152</v>
      </c>
      <c r="K426" s="227">
        <v>46090.979166666664</v>
      </c>
      <c r="L426" s="227">
        <v>46092.229166666664</v>
      </c>
      <c r="M426" s="227">
        <v>46094.229166666664</v>
      </c>
      <c r="N426" s="227">
        <v>46095.092361111114</v>
      </c>
      <c r="O426" s="226" t="s">
        <v>1208</v>
      </c>
      <c r="P426" s="227">
        <v>46109.229166666664</v>
      </c>
      <c r="Q426" s="226">
        <v>5</v>
      </c>
      <c r="R426" s="226"/>
      <c r="S426" s="226">
        <v>2</v>
      </c>
      <c r="T426" s="226"/>
      <c r="U426" s="226" t="s">
        <v>1</v>
      </c>
      <c r="V426" s="226" t="s">
        <v>1</v>
      </c>
      <c r="W426" s="226" t="s">
        <v>1198</v>
      </c>
      <c r="X426" s="227">
        <v>46083.774305555555</v>
      </c>
      <c r="Y426" s="226" t="s">
        <v>1364</v>
      </c>
      <c r="Z426" s="226" t="s">
        <v>1893</v>
      </c>
      <c r="AA426" s="226" t="s">
        <v>1156</v>
      </c>
      <c r="AB426" s="226"/>
      <c r="AC426" s="226"/>
      <c r="AD426" s="226" t="s">
        <v>1211</v>
      </c>
      <c r="AE426" s="226" t="s">
        <v>1894</v>
      </c>
    </row>
    <row r="427" spans="1:31">
      <c r="A427" s="226" t="s">
        <v>1524</v>
      </c>
      <c r="B427" s="226" t="s">
        <v>1093</v>
      </c>
      <c r="C427" s="226" t="s">
        <v>1149</v>
      </c>
      <c r="D427" s="226" t="s">
        <v>1526</v>
      </c>
      <c r="E427" s="226">
        <v>4278081</v>
      </c>
      <c r="F427" s="226">
        <v>4359586</v>
      </c>
      <c r="G427" s="226" t="s">
        <v>1896</v>
      </c>
      <c r="H427" s="226" t="s">
        <v>218</v>
      </c>
      <c r="I427" s="226" t="s">
        <v>1892</v>
      </c>
      <c r="J427" s="226" t="s">
        <v>1152</v>
      </c>
      <c r="K427" s="227">
        <v>46090.229166666664</v>
      </c>
      <c r="L427" s="227">
        <v>46092.229166666664</v>
      </c>
      <c r="M427" s="227">
        <v>46094.229166666664</v>
      </c>
      <c r="N427" s="227">
        <v>46094.229166666664</v>
      </c>
      <c r="O427" s="226" t="s">
        <v>1214</v>
      </c>
      <c r="P427" s="227">
        <v>46109.229166666664</v>
      </c>
      <c r="Q427" s="226">
        <v>7</v>
      </c>
      <c r="R427" s="226"/>
      <c r="S427" s="226">
        <v>2</v>
      </c>
      <c r="T427" s="226"/>
      <c r="U427" s="226" t="s">
        <v>1</v>
      </c>
      <c r="V427" s="226" t="s">
        <v>1</v>
      </c>
      <c r="W427" s="226" t="s">
        <v>1497</v>
      </c>
      <c r="X427" s="227">
        <v>46063.558333333334</v>
      </c>
      <c r="Y427" s="226" t="s">
        <v>1606</v>
      </c>
      <c r="Z427" s="226" t="s">
        <v>1893</v>
      </c>
      <c r="AA427" s="226" t="s">
        <v>1499</v>
      </c>
      <c r="AB427" s="226"/>
      <c r="AC427" s="226"/>
      <c r="AD427" s="226" t="s">
        <v>1526</v>
      </c>
      <c r="AE427" s="226" t="s">
        <v>1894</v>
      </c>
    </row>
    <row r="428" spans="1:31">
      <c r="A428" s="226" t="s">
        <v>1524</v>
      </c>
      <c r="B428" s="226" t="s">
        <v>1123</v>
      </c>
      <c r="C428" s="226" t="s">
        <v>1149</v>
      </c>
      <c r="D428" s="226" t="s">
        <v>1526</v>
      </c>
      <c r="E428" s="226">
        <v>4278081</v>
      </c>
      <c r="F428" s="226">
        <v>4359566</v>
      </c>
      <c r="G428" s="226" t="s">
        <v>352</v>
      </c>
      <c r="H428" s="226" t="s">
        <v>218</v>
      </c>
      <c r="I428" s="226" t="s">
        <v>1892</v>
      </c>
      <c r="J428" s="226" t="s">
        <v>1152</v>
      </c>
      <c r="K428" s="227">
        <v>46087.229166666664</v>
      </c>
      <c r="L428" s="227">
        <v>46091.004166666666</v>
      </c>
      <c r="M428" s="227">
        <v>46093.229166666664</v>
      </c>
      <c r="N428" s="227">
        <v>46095.054166666669</v>
      </c>
      <c r="O428" s="226" t="s">
        <v>1214</v>
      </c>
      <c r="P428" s="227">
        <v>46109.229166666664</v>
      </c>
      <c r="Q428" s="226">
        <v>5</v>
      </c>
      <c r="R428" s="226"/>
      <c r="S428" s="226">
        <v>2</v>
      </c>
      <c r="T428" s="226"/>
      <c r="U428" s="226" t="s">
        <v>1</v>
      </c>
      <c r="V428" s="226" t="s">
        <v>1</v>
      </c>
      <c r="W428" s="226" t="s">
        <v>1497</v>
      </c>
      <c r="X428" s="227">
        <v>46063.558333333334</v>
      </c>
      <c r="Y428" s="226" t="s">
        <v>1606</v>
      </c>
      <c r="Z428" s="226" t="s">
        <v>1893</v>
      </c>
      <c r="AA428" s="226" t="s">
        <v>1499</v>
      </c>
      <c r="AB428" s="226"/>
      <c r="AC428" s="226"/>
      <c r="AD428" s="226" t="s">
        <v>1526</v>
      </c>
      <c r="AE428" s="226" t="s">
        <v>1894</v>
      </c>
    </row>
    <row r="429" spans="1:31">
      <c r="A429" s="226" t="s">
        <v>1524</v>
      </c>
      <c r="B429" s="226" t="s">
        <v>1123</v>
      </c>
      <c r="C429" s="226" t="s">
        <v>1149</v>
      </c>
      <c r="D429" s="226" t="s">
        <v>1526</v>
      </c>
      <c r="E429" s="226">
        <v>4278081</v>
      </c>
      <c r="F429" s="226">
        <v>4359567</v>
      </c>
      <c r="G429" s="226" t="s">
        <v>354</v>
      </c>
      <c r="H429" s="226" t="s">
        <v>218</v>
      </c>
      <c r="I429" s="226" t="s">
        <v>1892</v>
      </c>
      <c r="J429" s="226" t="s">
        <v>1152</v>
      </c>
      <c r="K429" s="227">
        <v>46087.229166666664</v>
      </c>
      <c r="L429" s="227">
        <v>46091.004861111112</v>
      </c>
      <c r="M429" s="227">
        <v>46093.229166666664</v>
      </c>
      <c r="N429" s="227">
        <v>46094.017361111109</v>
      </c>
      <c r="O429" s="226" t="s">
        <v>1214</v>
      </c>
      <c r="P429" s="227">
        <v>46109.229166666664</v>
      </c>
      <c r="Q429" s="226">
        <v>6</v>
      </c>
      <c r="R429" s="226"/>
      <c r="S429" s="226">
        <v>2</v>
      </c>
      <c r="T429" s="226"/>
      <c r="U429" s="226" t="s">
        <v>1</v>
      </c>
      <c r="V429" s="226" t="s">
        <v>1</v>
      </c>
      <c r="W429" s="226" t="s">
        <v>1497</v>
      </c>
      <c r="X429" s="227">
        <v>46063.558333333334</v>
      </c>
      <c r="Y429" s="226" t="s">
        <v>1606</v>
      </c>
      <c r="Z429" s="226" t="s">
        <v>1893</v>
      </c>
      <c r="AA429" s="226" t="s">
        <v>1499</v>
      </c>
      <c r="AB429" s="226"/>
      <c r="AC429" s="226"/>
      <c r="AD429" s="226" t="s">
        <v>1526</v>
      </c>
      <c r="AE429" s="226" t="s">
        <v>1894</v>
      </c>
    </row>
    <row r="430" spans="1:31">
      <c r="A430" s="226" t="s">
        <v>1524</v>
      </c>
      <c r="B430" s="226" t="s">
        <v>1123</v>
      </c>
      <c r="C430" s="226" t="s">
        <v>1149</v>
      </c>
      <c r="D430" s="226" t="s">
        <v>1526</v>
      </c>
      <c r="E430" s="226">
        <v>4278081</v>
      </c>
      <c r="F430" s="226">
        <v>4359568</v>
      </c>
      <c r="G430" s="226" t="s">
        <v>355</v>
      </c>
      <c r="H430" s="226" t="s">
        <v>218</v>
      </c>
      <c r="I430" s="226" t="s">
        <v>1892</v>
      </c>
      <c r="J430" s="226" t="s">
        <v>1152</v>
      </c>
      <c r="K430" s="227">
        <v>46090.229166666664</v>
      </c>
      <c r="L430" s="227">
        <v>46092.229166666664</v>
      </c>
      <c r="M430" s="227">
        <v>46094.229166666664</v>
      </c>
      <c r="N430" s="227">
        <v>46094.229166666664</v>
      </c>
      <c r="O430" s="226" t="s">
        <v>1214</v>
      </c>
      <c r="P430" s="227">
        <v>46109.229166666664</v>
      </c>
      <c r="Q430" s="226">
        <v>6</v>
      </c>
      <c r="R430" s="226"/>
      <c r="S430" s="226">
        <v>2</v>
      </c>
      <c r="T430" s="226"/>
      <c r="U430" s="226" t="s">
        <v>1</v>
      </c>
      <c r="V430" s="226" t="s">
        <v>1</v>
      </c>
      <c r="W430" s="226" t="s">
        <v>1497</v>
      </c>
      <c r="X430" s="227">
        <v>46063.558333333334</v>
      </c>
      <c r="Y430" s="226" t="s">
        <v>1606</v>
      </c>
      <c r="Z430" s="226" t="s">
        <v>1893</v>
      </c>
      <c r="AA430" s="226" t="s">
        <v>1499</v>
      </c>
      <c r="AB430" s="226"/>
      <c r="AC430" s="226"/>
      <c r="AD430" s="226" t="s">
        <v>1526</v>
      </c>
      <c r="AE430" s="226" t="s">
        <v>1894</v>
      </c>
    </row>
    <row r="431" spans="1:31">
      <c r="A431" s="226" t="s">
        <v>1524</v>
      </c>
      <c r="B431" s="226" t="s">
        <v>1123</v>
      </c>
      <c r="C431" s="226" t="s">
        <v>1149</v>
      </c>
      <c r="D431" s="226" t="s">
        <v>1526</v>
      </c>
      <c r="E431" s="226">
        <v>4278081</v>
      </c>
      <c r="F431" s="226">
        <v>4359569</v>
      </c>
      <c r="G431" s="226" t="s">
        <v>358</v>
      </c>
      <c r="H431" s="226" t="s">
        <v>218</v>
      </c>
      <c r="I431" s="226" t="s">
        <v>1892</v>
      </c>
      <c r="J431" s="226" t="s">
        <v>1152</v>
      </c>
      <c r="K431" s="227">
        <v>46090.229166666664</v>
      </c>
      <c r="L431" s="227">
        <v>46091.005555555559</v>
      </c>
      <c r="M431" s="227">
        <v>46094.229166666664</v>
      </c>
      <c r="N431" s="227">
        <v>46094.229166666664</v>
      </c>
      <c r="O431" s="226" t="s">
        <v>1214</v>
      </c>
      <c r="P431" s="227">
        <v>46109.229166666664</v>
      </c>
      <c r="Q431" s="226">
        <v>6</v>
      </c>
      <c r="R431" s="226"/>
      <c r="S431" s="226">
        <v>2</v>
      </c>
      <c r="T431" s="226"/>
      <c r="U431" s="226" t="s">
        <v>1</v>
      </c>
      <c r="V431" s="226" t="s">
        <v>1</v>
      </c>
      <c r="W431" s="226" t="s">
        <v>1497</v>
      </c>
      <c r="X431" s="227">
        <v>46063.558333333334</v>
      </c>
      <c r="Y431" s="226" t="s">
        <v>1606</v>
      </c>
      <c r="Z431" s="226" t="s">
        <v>1893</v>
      </c>
      <c r="AA431" s="226" t="s">
        <v>1499</v>
      </c>
      <c r="AB431" s="226"/>
      <c r="AC431" s="226"/>
      <c r="AD431" s="226" t="s">
        <v>1526</v>
      </c>
      <c r="AE431" s="226" t="s">
        <v>1894</v>
      </c>
    </row>
    <row r="432" spans="1:31">
      <c r="A432" s="226" t="s">
        <v>1524</v>
      </c>
      <c r="B432" s="226" t="s">
        <v>1123</v>
      </c>
      <c r="C432" s="226" t="s">
        <v>1149</v>
      </c>
      <c r="D432" s="226" t="s">
        <v>1526</v>
      </c>
      <c r="E432" s="226">
        <v>4278081</v>
      </c>
      <c r="F432" s="226">
        <v>4359570</v>
      </c>
      <c r="G432" s="226" t="s">
        <v>360</v>
      </c>
      <c r="H432" s="226" t="s">
        <v>218</v>
      </c>
      <c r="I432" s="226" t="s">
        <v>1892</v>
      </c>
      <c r="J432" s="226" t="s">
        <v>1152</v>
      </c>
      <c r="K432" s="227">
        <v>46087.229166666664</v>
      </c>
      <c r="L432" s="227">
        <v>46091.003472222219</v>
      </c>
      <c r="M432" s="227">
        <v>46093.229166666664</v>
      </c>
      <c r="N432" s="227">
        <v>46094.229166666664</v>
      </c>
      <c r="O432" s="226" t="s">
        <v>1214</v>
      </c>
      <c r="P432" s="227">
        <v>46109.229166666664</v>
      </c>
      <c r="Q432" s="226">
        <v>5</v>
      </c>
      <c r="R432" s="226"/>
      <c r="S432" s="226">
        <v>2</v>
      </c>
      <c r="T432" s="226"/>
      <c r="U432" s="226" t="s">
        <v>1</v>
      </c>
      <c r="V432" s="226" t="s">
        <v>1</v>
      </c>
      <c r="W432" s="226" t="s">
        <v>1497</v>
      </c>
      <c r="X432" s="227">
        <v>46063.558333333334</v>
      </c>
      <c r="Y432" s="226" t="s">
        <v>1606</v>
      </c>
      <c r="Z432" s="226" t="s">
        <v>1893</v>
      </c>
      <c r="AA432" s="226" t="s">
        <v>1499</v>
      </c>
      <c r="AB432" s="226"/>
      <c r="AC432" s="226"/>
      <c r="AD432" s="226" t="s">
        <v>1526</v>
      </c>
      <c r="AE432" s="226" t="s">
        <v>1894</v>
      </c>
    </row>
    <row r="433" spans="1:31">
      <c r="A433" s="226" t="s">
        <v>1524</v>
      </c>
      <c r="B433" s="226" t="s">
        <v>1093</v>
      </c>
      <c r="C433" s="226" t="s">
        <v>1149</v>
      </c>
      <c r="D433" s="226" t="s">
        <v>1526</v>
      </c>
      <c r="E433" s="226">
        <v>4278081</v>
      </c>
      <c r="F433" s="226">
        <v>4359571</v>
      </c>
      <c r="G433" s="226" t="s">
        <v>362</v>
      </c>
      <c r="H433" s="226" t="s">
        <v>218</v>
      </c>
      <c r="I433" s="226" t="s">
        <v>1892</v>
      </c>
      <c r="J433" s="226" t="s">
        <v>1152</v>
      </c>
      <c r="K433" s="227">
        <v>46090.229166666664</v>
      </c>
      <c r="L433" s="227">
        <v>46091.829861111109</v>
      </c>
      <c r="M433" s="227">
        <v>46094.229166666664</v>
      </c>
      <c r="N433" s="227">
        <v>46094.229166666664</v>
      </c>
      <c r="O433" s="226" t="s">
        <v>1214</v>
      </c>
      <c r="P433" s="227">
        <v>46109.229166666664</v>
      </c>
      <c r="Q433" s="226">
        <v>8</v>
      </c>
      <c r="R433" s="226"/>
      <c r="S433" s="226">
        <v>2</v>
      </c>
      <c r="T433" s="226"/>
      <c r="U433" s="226" t="s">
        <v>1</v>
      </c>
      <c r="V433" s="226" t="s">
        <v>1</v>
      </c>
      <c r="W433" s="226" t="s">
        <v>1497</v>
      </c>
      <c r="X433" s="227">
        <v>46063.558333333334</v>
      </c>
      <c r="Y433" s="226" t="s">
        <v>1606</v>
      </c>
      <c r="Z433" s="226" t="s">
        <v>1893</v>
      </c>
      <c r="AA433" s="226" t="s">
        <v>1499</v>
      </c>
      <c r="AB433" s="226"/>
      <c r="AC433" s="226"/>
      <c r="AD433" s="226" t="s">
        <v>1526</v>
      </c>
      <c r="AE433" s="226" t="s">
        <v>1894</v>
      </c>
    </row>
    <row r="434" spans="1:31">
      <c r="A434" s="226" t="s">
        <v>1524</v>
      </c>
      <c r="B434" s="226" t="s">
        <v>1123</v>
      </c>
      <c r="C434" s="226" t="s">
        <v>1149</v>
      </c>
      <c r="D434" s="226" t="s">
        <v>1526</v>
      </c>
      <c r="E434" s="226">
        <v>4278081</v>
      </c>
      <c r="F434" s="226">
        <v>4359572</v>
      </c>
      <c r="G434" s="226" t="s">
        <v>365</v>
      </c>
      <c r="H434" s="226" t="s">
        <v>218</v>
      </c>
      <c r="I434" s="226" t="s">
        <v>1892</v>
      </c>
      <c r="J434" s="226" t="s">
        <v>1152</v>
      </c>
      <c r="K434" s="227">
        <v>46090.229166666664</v>
      </c>
      <c r="L434" s="227">
        <v>46092.229166666664</v>
      </c>
      <c r="M434" s="227">
        <v>46094.229166666664</v>
      </c>
      <c r="N434" s="227">
        <v>46094.229166666664</v>
      </c>
      <c r="O434" s="226" t="s">
        <v>1214</v>
      </c>
      <c r="P434" s="227">
        <v>46109.229166666664</v>
      </c>
      <c r="Q434" s="226">
        <v>6</v>
      </c>
      <c r="R434" s="226"/>
      <c r="S434" s="226">
        <v>2</v>
      </c>
      <c r="T434" s="226"/>
      <c r="U434" s="226" t="s">
        <v>1</v>
      </c>
      <c r="V434" s="226" t="s">
        <v>1</v>
      </c>
      <c r="W434" s="226" t="s">
        <v>1497</v>
      </c>
      <c r="X434" s="227">
        <v>46063.558333333334</v>
      </c>
      <c r="Y434" s="226" t="s">
        <v>1606</v>
      </c>
      <c r="Z434" s="226" t="s">
        <v>1893</v>
      </c>
      <c r="AA434" s="226" t="s">
        <v>1499</v>
      </c>
      <c r="AB434" s="226"/>
      <c r="AC434" s="226"/>
      <c r="AD434" s="226" t="s">
        <v>1526</v>
      </c>
      <c r="AE434" s="226" t="s">
        <v>1894</v>
      </c>
    </row>
    <row r="435" spans="1:31">
      <c r="A435" s="226" t="s">
        <v>1524</v>
      </c>
      <c r="B435" s="226" t="s">
        <v>1123</v>
      </c>
      <c r="C435" s="226" t="s">
        <v>1149</v>
      </c>
      <c r="D435" s="226" t="s">
        <v>1526</v>
      </c>
      <c r="E435" s="226">
        <v>4278081</v>
      </c>
      <c r="F435" s="226">
        <v>4367415</v>
      </c>
      <c r="G435" s="226" t="s">
        <v>386</v>
      </c>
      <c r="H435" s="226" t="s">
        <v>218</v>
      </c>
      <c r="I435" s="226" t="s">
        <v>1892</v>
      </c>
      <c r="J435" s="226" t="s">
        <v>1152</v>
      </c>
      <c r="K435" s="227">
        <v>46090.229166666664</v>
      </c>
      <c r="L435" s="227">
        <v>46092.229166666664</v>
      </c>
      <c r="M435" s="227">
        <v>46094.229166666664</v>
      </c>
      <c r="N435" s="227">
        <v>46094.229166666664</v>
      </c>
      <c r="O435" s="226" t="s">
        <v>1214</v>
      </c>
      <c r="P435" s="227">
        <v>46109.229166666664</v>
      </c>
      <c r="Q435" s="226">
        <v>4</v>
      </c>
      <c r="R435" s="226"/>
      <c r="S435" s="226">
        <v>2</v>
      </c>
      <c r="T435" s="226"/>
      <c r="U435" s="226" t="s">
        <v>1</v>
      </c>
      <c r="V435" s="226" t="s">
        <v>1</v>
      </c>
      <c r="W435" s="226" t="s">
        <v>1497</v>
      </c>
      <c r="X435" s="227">
        <v>46066.615972222222</v>
      </c>
      <c r="Y435" s="226" t="s">
        <v>1606</v>
      </c>
      <c r="Z435" s="226" t="s">
        <v>1893</v>
      </c>
      <c r="AA435" s="226" t="s">
        <v>1499</v>
      </c>
      <c r="AB435" s="226"/>
      <c r="AC435" s="226"/>
      <c r="AD435" s="226" t="s">
        <v>1526</v>
      </c>
      <c r="AE435" s="226" t="s">
        <v>1894</v>
      </c>
    </row>
    <row r="436" spans="1:31">
      <c r="A436" s="226" t="s">
        <v>1524</v>
      </c>
      <c r="B436" s="226" t="s">
        <v>1123</v>
      </c>
      <c r="C436" s="226" t="s">
        <v>1149</v>
      </c>
      <c r="D436" s="226" t="s">
        <v>1526</v>
      </c>
      <c r="E436" s="226">
        <v>4278081</v>
      </c>
      <c r="F436" s="226">
        <v>4367420</v>
      </c>
      <c r="G436" s="226" t="s">
        <v>387</v>
      </c>
      <c r="H436" s="226" t="s">
        <v>218</v>
      </c>
      <c r="I436" s="226" t="s">
        <v>1892</v>
      </c>
      <c r="J436" s="226" t="s">
        <v>1152</v>
      </c>
      <c r="K436" s="227">
        <v>46090.229166666664</v>
      </c>
      <c r="L436" s="227">
        <v>46092.229166666664</v>
      </c>
      <c r="M436" s="227">
        <v>46094.229166666664</v>
      </c>
      <c r="N436" s="227">
        <v>46094.229166666664</v>
      </c>
      <c r="O436" s="226" t="s">
        <v>1214</v>
      </c>
      <c r="P436" s="227">
        <v>46109.229166666664</v>
      </c>
      <c r="Q436" s="226">
        <v>5</v>
      </c>
      <c r="R436" s="226"/>
      <c r="S436" s="226">
        <v>2</v>
      </c>
      <c r="T436" s="226"/>
      <c r="U436" s="226" t="s">
        <v>1</v>
      </c>
      <c r="V436" s="226" t="s">
        <v>1</v>
      </c>
      <c r="W436" s="226" t="s">
        <v>1497</v>
      </c>
      <c r="X436" s="227">
        <v>46066.620833333334</v>
      </c>
      <c r="Y436" s="226" t="s">
        <v>1606</v>
      </c>
      <c r="Z436" s="226" t="s">
        <v>1893</v>
      </c>
      <c r="AA436" s="226" t="s">
        <v>1499</v>
      </c>
      <c r="AB436" s="226"/>
      <c r="AC436" s="226"/>
      <c r="AD436" s="226" t="s">
        <v>1526</v>
      </c>
      <c r="AE436" s="226" t="s">
        <v>1894</v>
      </c>
    </row>
    <row r="437" spans="1:31">
      <c r="A437" s="226" t="s">
        <v>1524</v>
      </c>
      <c r="B437" s="226" t="s">
        <v>1123</v>
      </c>
      <c r="C437" s="226" t="s">
        <v>1149</v>
      </c>
      <c r="D437" s="226" t="s">
        <v>1526</v>
      </c>
      <c r="E437" s="226">
        <v>4278081</v>
      </c>
      <c r="F437" s="226">
        <v>4370079</v>
      </c>
      <c r="G437" s="226" t="s">
        <v>392</v>
      </c>
      <c r="H437" s="226" t="s">
        <v>218</v>
      </c>
      <c r="I437" s="226" t="s">
        <v>1892</v>
      </c>
      <c r="J437" s="226" t="s">
        <v>1152</v>
      </c>
      <c r="K437" s="227">
        <v>46090.229166666664</v>
      </c>
      <c r="L437" s="227">
        <v>46093.79791666667</v>
      </c>
      <c r="M437" s="227">
        <v>46094.229166666664</v>
      </c>
      <c r="N437" s="227">
        <v>46094.229166666664</v>
      </c>
      <c r="O437" s="226" t="s">
        <v>1214</v>
      </c>
      <c r="P437" s="227">
        <v>46109.229166666664</v>
      </c>
      <c r="Q437" s="226">
        <v>5</v>
      </c>
      <c r="R437" s="226"/>
      <c r="S437" s="226">
        <v>2</v>
      </c>
      <c r="T437" s="226"/>
      <c r="U437" s="226" t="s">
        <v>1</v>
      </c>
      <c r="V437" s="226" t="s">
        <v>1</v>
      </c>
      <c r="W437" s="226" t="s">
        <v>1497</v>
      </c>
      <c r="X437" s="227">
        <v>46069.745833333334</v>
      </c>
      <c r="Y437" s="226" t="s">
        <v>1528</v>
      </c>
      <c r="Z437" s="226" t="s">
        <v>1893</v>
      </c>
      <c r="AA437" s="226" t="s">
        <v>1499</v>
      </c>
      <c r="AB437" s="226"/>
      <c r="AC437" s="226"/>
      <c r="AD437" s="226" t="s">
        <v>1526</v>
      </c>
      <c r="AE437" s="226" t="s">
        <v>1894</v>
      </c>
    </row>
    <row r="438" spans="1:31">
      <c r="A438" s="226" t="s">
        <v>1524</v>
      </c>
      <c r="B438" s="226" t="s">
        <v>1093</v>
      </c>
      <c r="C438" s="226" t="s">
        <v>1149</v>
      </c>
      <c r="D438" s="226" t="s">
        <v>1526</v>
      </c>
      <c r="E438" s="226">
        <v>4278081</v>
      </c>
      <c r="F438" s="226">
        <v>4355886</v>
      </c>
      <c r="G438" s="226" t="s">
        <v>346</v>
      </c>
      <c r="H438" s="226" t="s">
        <v>218</v>
      </c>
      <c r="I438" s="226" t="s">
        <v>1892</v>
      </c>
      <c r="J438" s="226" t="s">
        <v>1152</v>
      </c>
      <c r="K438" s="227">
        <v>46090.229166666664</v>
      </c>
      <c r="L438" s="227">
        <v>46092.229166666664</v>
      </c>
      <c r="M438" s="227">
        <v>46095.009027777778</v>
      </c>
      <c r="N438" s="227">
        <v>46095.009027777778</v>
      </c>
      <c r="O438" s="226" t="s">
        <v>1214</v>
      </c>
      <c r="P438" s="227">
        <v>46109.229166666664</v>
      </c>
      <c r="Q438" s="226">
        <v>6</v>
      </c>
      <c r="R438" s="226"/>
      <c r="S438" s="226">
        <v>2</v>
      </c>
      <c r="T438" s="226"/>
      <c r="U438" s="226" t="s">
        <v>1</v>
      </c>
      <c r="V438" s="226" t="s">
        <v>1</v>
      </c>
      <c r="W438" s="226" t="s">
        <v>1497</v>
      </c>
      <c r="X438" s="227">
        <v>46058.47152777778</v>
      </c>
      <c r="Y438" s="226" t="s">
        <v>1606</v>
      </c>
      <c r="Z438" s="226" t="s">
        <v>1893</v>
      </c>
      <c r="AA438" s="226" t="s">
        <v>1499</v>
      </c>
      <c r="AB438" s="226"/>
      <c r="AC438" s="226"/>
      <c r="AD438" s="226" t="s">
        <v>1526</v>
      </c>
      <c r="AE438" s="226" t="s">
        <v>1894</v>
      </c>
    </row>
    <row r="439" spans="1:31">
      <c r="A439" s="226" t="s">
        <v>1524</v>
      </c>
      <c r="B439" s="226" t="s">
        <v>1093</v>
      </c>
      <c r="C439" s="226" t="s">
        <v>1149</v>
      </c>
      <c r="D439" s="226" t="s">
        <v>1526</v>
      </c>
      <c r="E439" s="226">
        <v>4278081</v>
      </c>
      <c r="F439" s="226">
        <v>4341403</v>
      </c>
      <c r="G439" s="226" t="s">
        <v>1897</v>
      </c>
      <c r="H439" s="226" t="s">
        <v>218</v>
      </c>
      <c r="I439" s="226" t="s">
        <v>1892</v>
      </c>
      <c r="J439" s="226" t="s">
        <v>1152</v>
      </c>
      <c r="K439" s="227">
        <v>46090.229166666664</v>
      </c>
      <c r="L439" s="227">
        <v>46092.229166666664</v>
      </c>
      <c r="M439" s="227">
        <v>46094.229166666664</v>
      </c>
      <c r="N439" s="227">
        <v>46095.164583333331</v>
      </c>
      <c r="O439" s="226" t="s">
        <v>1214</v>
      </c>
      <c r="P439" s="227">
        <v>46109.229166666664</v>
      </c>
      <c r="Q439" s="226">
        <v>6</v>
      </c>
      <c r="R439" s="226"/>
      <c r="S439" s="226">
        <v>2</v>
      </c>
      <c r="T439" s="226"/>
      <c r="U439" s="226" t="s">
        <v>1</v>
      </c>
      <c r="V439" s="226" t="s">
        <v>1</v>
      </c>
      <c r="W439" s="226" t="s">
        <v>1497</v>
      </c>
      <c r="X439" s="227">
        <v>46050.613194444442</v>
      </c>
      <c r="Y439" s="226" t="s">
        <v>1606</v>
      </c>
      <c r="Z439" s="226" t="s">
        <v>1893</v>
      </c>
      <c r="AA439" s="226" t="s">
        <v>1499</v>
      </c>
      <c r="AB439" s="226"/>
      <c r="AC439" s="226"/>
      <c r="AD439" s="226" t="s">
        <v>1526</v>
      </c>
      <c r="AE439" s="226" t="s">
        <v>1894</v>
      </c>
    </row>
    <row r="440" spans="1:31">
      <c r="A440" s="226" t="s">
        <v>1524</v>
      </c>
      <c r="B440" s="226" t="s">
        <v>1123</v>
      </c>
      <c r="C440" s="226" t="s">
        <v>1149</v>
      </c>
      <c r="D440" s="226" t="s">
        <v>1526</v>
      </c>
      <c r="E440" s="226">
        <v>4278081</v>
      </c>
      <c r="F440" s="226">
        <v>4278129</v>
      </c>
      <c r="G440" s="226" t="s">
        <v>333</v>
      </c>
      <c r="H440" s="226" t="s">
        <v>218</v>
      </c>
      <c r="I440" s="226" t="s">
        <v>1892</v>
      </c>
      <c r="J440" s="226" t="s">
        <v>1152</v>
      </c>
      <c r="K440" s="227">
        <v>46090.229166666664</v>
      </c>
      <c r="L440" s="227">
        <v>46092.229166666664</v>
      </c>
      <c r="M440" s="227">
        <v>46094.229166666664</v>
      </c>
      <c r="N440" s="227">
        <v>46095.081944444442</v>
      </c>
      <c r="O440" s="226" t="s">
        <v>1214</v>
      </c>
      <c r="P440" s="227">
        <v>46109.229166666664</v>
      </c>
      <c r="Q440" s="226">
        <v>5</v>
      </c>
      <c r="R440" s="226"/>
      <c r="S440" s="226">
        <v>2</v>
      </c>
      <c r="T440" s="226"/>
      <c r="U440" s="226" t="s">
        <v>1</v>
      </c>
      <c r="V440" s="226" t="s">
        <v>1</v>
      </c>
      <c r="W440" s="226" t="s">
        <v>1497</v>
      </c>
      <c r="X440" s="227">
        <v>46006.472916666666</v>
      </c>
      <c r="Y440" s="226" t="s">
        <v>1606</v>
      </c>
      <c r="Z440" s="226" t="s">
        <v>1893</v>
      </c>
      <c r="AA440" s="226" t="s">
        <v>1499</v>
      </c>
      <c r="AB440" s="226"/>
      <c r="AC440" s="226"/>
      <c r="AD440" s="226" t="s">
        <v>1526</v>
      </c>
      <c r="AE440" s="226" t="s">
        <v>1894</v>
      </c>
    </row>
    <row r="441" spans="1:31">
      <c r="A441" s="226" t="s">
        <v>1524</v>
      </c>
      <c r="B441" s="226" t="s">
        <v>1123</v>
      </c>
      <c r="C441" s="226" t="s">
        <v>1149</v>
      </c>
      <c r="D441" s="226" t="s">
        <v>1526</v>
      </c>
      <c r="E441" s="226">
        <v>4278081</v>
      </c>
      <c r="F441" s="226">
        <v>4281629</v>
      </c>
      <c r="G441" s="226" t="s">
        <v>337</v>
      </c>
      <c r="H441" s="226" t="s">
        <v>218</v>
      </c>
      <c r="I441" s="226" t="s">
        <v>1892</v>
      </c>
      <c r="J441" s="226" t="s">
        <v>1152</v>
      </c>
      <c r="K441" s="227">
        <v>46090.229166666664</v>
      </c>
      <c r="L441" s="227">
        <v>46093.786111111112</v>
      </c>
      <c r="M441" s="227">
        <v>46094.229166666664</v>
      </c>
      <c r="N441" s="227">
        <v>46095.779166666667</v>
      </c>
      <c r="O441" s="226" t="s">
        <v>1214</v>
      </c>
      <c r="P441" s="227">
        <v>46109.229166666664</v>
      </c>
      <c r="Q441" s="226">
        <v>8</v>
      </c>
      <c r="R441" s="226"/>
      <c r="S441" s="226">
        <v>2</v>
      </c>
      <c r="T441" s="226"/>
      <c r="U441" s="226" t="s">
        <v>1</v>
      </c>
      <c r="V441" s="226" t="s">
        <v>1</v>
      </c>
      <c r="W441" s="226" t="s">
        <v>1497</v>
      </c>
      <c r="X441" s="227">
        <v>46008.597916666666</v>
      </c>
      <c r="Y441" s="226" t="s">
        <v>1606</v>
      </c>
      <c r="Z441" s="226" t="s">
        <v>1893</v>
      </c>
      <c r="AA441" s="226" t="s">
        <v>1499</v>
      </c>
      <c r="AB441" s="226"/>
      <c r="AC441" s="226"/>
      <c r="AD441" s="226" t="s">
        <v>1526</v>
      </c>
      <c r="AE441" s="226" t="s">
        <v>1894</v>
      </c>
    </row>
    <row r="442" spans="1:31">
      <c r="A442" s="226" t="s">
        <v>1898</v>
      </c>
      <c r="B442" s="226" t="s">
        <v>1093</v>
      </c>
      <c r="C442" s="226" t="s">
        <v>1486</v>
      </c>
      <c r="D442" s="226" t="s">
        <v>1486</v>
      </c>
      <c r="E442" s="226">
        <v>4316104</v>
      </c>
      <c r="F442" s="226">
        <v>4163203</v>
      </c>
      <c r="G442" s="226" t="s">
        <v>1899</v>
      </c>
      <c r="H442" s="226" t="s">
        <v>866</v>
      </c>
      <c r="I442" s="226" t="s">
        <v>1900</v>
      </c>
      <c r="J442" s="226" t="s">
        <v>1868</v>
      </c>
      <c r="K442" s="227">
        <v>46093.020833333336</v>
      </c>
      <c r="L442" s="227">
        <v>46093.020833333336</v>
      </c>
      <c r="M442" s="227">
        <v>46098.229166666664</v>
      </c>
      <c r="N442" s="227">
        <v>46101.71875</v>
      </c>
      <c r="O442" s="226" t="s">
        <v>1869</v>
      </c>
      <c r="P442" s="227">
        <v>46109.229166666664</v>
      </c>
      <c r="Q442" s="226">
        <v>8</v>
      </c>
      <c r="R442" s="226"/>
      <c r="S442" s="226">
        <v>2</v>
      </c>
      <c r="T442" s="226"/>
      <c r="U442" s="226" t="s">
        <v>1</v>
      </c>
      <c r="V442" s="226" t="s">
        <v>1</v>
      </c>
      <c r="W442" s="226" t="s">
        <v>1601</v>
      </c>
      <c r="X442" s="227">
        <v>45937.554166666669</v>
      </c>
      <c r="Y442" s="226" t="s">
        <v>1901</v>
      </c>
      <c r="Z442" s="226" t="s">
        <v>1902</v>
      </c>
      <c r="AA442" s="226" t="s">
        <v>1903</v>
      </c>
      <c r="AB442" s="226"/>
      <c r="AC442" s="226"/>
      <c r="AD442" s="226" t="s">
        <v>1904</v>
      </c>
      <c r="AE442" s="226" t="s">
        <v>1434</v>
      </c>
    </row>
    <row r="443" spans="1:31">
      <c r="A443" s="226" t="s">
        <v>1905</v>
      </c>
      <c r="B443" s="226" t="s">
        <v>1093</v>
      </c>
      <c r="C443" s="226" t="s">
        <v>1486</v>
      </c>
      <c r="D443" s="226" t="s">
        <v>1906</v>
      </c>
      <c r="E443" s="226">
        <v>4135829</v>
      </c>
      <c r="F443" s="226">
        <v>4167987</v>
      </c>
      <c r="G443" s="226" t="s">
        <v>1907</v>
      </c>
      <c r="H443" s="226" t="s">
        <v>866</v>
      </c>
      <c r="I443" s="226" t="s">
        <v>1900</v>
      </c>
      <c r="J443" s="226" t="s">
        <v>1868</v>
      </c>
      <c r="K443" s="227">
        <v>46092.979166666664</v>
      </c>
      <c r="L443" s="227">
        <v>46091.930555555555</v>
      </c>
      <c r="M443" s="227">
        <v>46098.229166666664</v>
      </c>
      <c r="N443" s="227">
        <v>46100.925000000003</v>
      </c>
      <c r="O443" s="226" t="s">
        <v>1874</v>
      </c>
      <c r="P443" s="227">
        <v>46109.229166666664</v>
      </c>
      <c r="Q443" s="226">
        <v>5</v>
      </c>
      <c r="R443" s="226"/>
      <c r="S443" s="226">
        <v>2</v>
      </c>
      <c r="T443" s="226"/>
      <c r="U443" s="226" t="s">
        <v>1</v>
      </c>
      <c r="V443" s="226" t="s">
        <v>1</v>
      </c>
      <c r="W443" s="226" t="s">
        <v>1601</v>
      </c>
      <c r="X443" s="227">
        <v>45940.771527777775</v>
      </c>
      <c r="Y443" s="226" t="s">
        <v>1602</v>
      </c>
      <c r="Z443" s="226" t="s">
        <v>1902</v>
      </c>
      <c r="AA443" s="226" t="s">
        <v>1908</v>
      </c>
      <c r="AB443" s="226"/>
      <c r="AC443" s="226"/>
      <c r="AD443" s="226" t="s">
        <v>1909</v>
      </c>
      <c r="AE443" s="226" t="s">
        <v>1434</v>
      </c>
    </row>
    <row r="444" spans="1:31">
      <c r="A444" s="226" t="s">
        <v>1898</v>
      </c>
      <c r="B444" s="226" t="s">
        <v>1093</v>
      </c>
      <c r="C444" s="226" t="s">
        <v>1486</v>
      </c>
      <c r="D444" s="226" t="s">
        <v>1910</v>
      </c>
      <c r="E444" s="226">
        <v>4316104</v>
      </c>
      <c r="F444" s="226">
        <v>4315742</v>
      </c>
      <c r="G444" s="226" t="s">
        <v>1911</v>
      </c>
      <c r="H444" s="226" t="s">
        <v>866</v>
      </c>
      <c r="I444" s="226" t="s">
        <v>1900</v>
      </c>
      <c r="J444" s="226" t="s">
        <v>1868</v>
      </c>
      <c r="K444" s="227">
        <v>46092.604166666664</v>
      </c>
      <c r="L444" s="227">
        <v>46092.979166666664</v>
      </c>
      <c r="M444" s="227">
        <v>46098.229166666664</v>
      </c>
      <c r="N444" s="227">
        <v>46100.924305555556</v>
      </c>
      <c r="O444" s="226" t="s">
        <v>1874</v>
      </c>
      <c r="P444" s="227">
        <v>46109.229166666664</v>
      </c>
      <c r="Q444" s="226">
        <v>4</v>
      </c>
      <c r="R444" s="226"/>
      <c r="S444" s="226">
        <v>2</v>
      </c>
      <c r="T444" s="226"/>
      <c r="U444" s="226" t="s">
        <v>1</v>
      </c>
      <c r="V444" s="226" t="s">
        <v>1</v>
      </c>
      <c r="W444" s="226" t="s">
        <v>1601</v>
      </c>
      <c r="X444" s="227">
        <v>46028.870138888888</v>
      </c>
      <c r="Y444" s="226" t="s">
        <v>1912</v>
      </c>
      <c r="Z444" s="226" t="s">
        <v>1902</v>
      </c>
      <c r="AA444" s="226" t="s">
        <v>1903</v>
      </c>
      <c r="AB444" s="226"/>
      <c r="AC444" s="226"/>
      <c r="AD444" s="226" t="s">
        <v>1904</v>
      </c>
      <c r="AE444" s="226" t="s">
        <v>1434</v>
      </c>
    </row>
    <row r="445" spans="1:31">
      <c r="A445" s="226" t="s">
        <v>1864</v>
      </c>
      <c r="B445" s="226" t="s">
        <v>1093</v>
      </c>
      <c r="C445" s="226" t="s">
        <v>1486</v>
      </c>
      <c r="D445" s="226" t="s">
        <v>1865</v>
      </c>
      <c r="E445" s="226">
        <v>4349307</v>
      </c>
      <c r="F445" s="226">
        <v>4355655</v>
      </c>
      <c r="G445" s="226" t="s">
        <v>428</v>
      </c>
      <c r="H445" s="226" t="s">
        <v>866</v>
      </c>
      <c r="I445" s="226" t="s">
        <v>1900</v>
      </c>
      <c r="J445" s="226" t="s">
        <v>1868</v>
      </c>
      <c r="K445" s="227">
        <v>46092.020833333336</v>
      </c>
      <c r="L445" s="227">
        <v>46091.979166666664</v>
      </c>
      <c r="M445" s="227">
        <v>46098.229166666664</v>
      </c>
      <c r="N445" s="227">
        <v>46105.962500000001</v>
      </c>
      <c r="O445" s="226" t="s">
        <v>1913</v>
      </c>
      <c r="P445" s="227">
        <v>46109.229166666664</v>
      </c>
      <c r="Q445" s="226">
        <v>6</v>
      </c>
      <c r="R445" s="226"/>
      <c r="S445" s="226">
        <v>2</v>
      </c>
      <c r="T445" s="226"/>
      <c r="U445" s="226" t="s">
        <v>1</v>
      </c>
      <c r="V445" s="226" t="s">
        <v>1</v>
      </c>
      <c r="W445" s="226" t="s">
        <v>1601</v>
      </c>
      <c r="X445" s="227">
        <v>46058.402083333334</v>
      </c>
      <c r="Y445" s="226" t="s">
        <v>1137</v>
      </c>
      <c r="Z445" s="226" t="s">
        <v>1902</v>
      </c>
      <c r="AA445" s="226" t="s">
        <v>1106</v>
      </c>
      <c r="AB445" s="226"/>
      <c r="AC445" s="226"/>
      <c r="AD445" s="226" t="s">
        <v>1872</v>
      </c>
      <c r="AE445" s="226" t="s">
        <v>1434</v>
      </c>
    </row>
    <row r="446" spans="1:31">
      <c r="A446" s="226" t="s">
        <v>1864</v>
      </c>
      <c r="B446" s="226" t="s">
        <v>1093</v>
      </c>
      <c r="C446" s="226" t="s">
        <v>1486</v>
      </c>
      <c r="D446" s="226" t="s">
        <v>1865</v>
      </c>
      <c r="E446" s="226">
        <v>4349307</v>
      </c>
      <c r="F446" s="226">
        <v>4371407</v>
      </c>
      <c r="G446" s="226" t="s">
        <v>1914</v>
      </c>
      <c r="H446" s="226" t="s">
        <v>229</v>
      </c>
      <c r="I446" s="226" t="s">
        <v>1900</v>
      </c>
      <c r="J446" s="226" t="s">
        <v>1868</v>
      </c>
      <c r="K446" s="227">
        <v>46092.979166666664</v>
      </c>
      <c r="L446" s="227">
        <v>46093.020833333336</v>
      </c>
      <c r="M446" s="227">
        <v>46098.229166666664</v>
      </c>
      <c r="N446" s="227"/>
      <c r="O446" s="226" t="s">
        <v>1869</v>
      </c>
      <c r="P446" s="227">
        <v>46109.229166666664</v>
      </c>
      <c r="Q446" s="226">
        <v>5</v>
      </c>
      <c r="R446" s="226"/>
      <c r="S446" s="226">
        <v>2</v>
      </c>
      <c r="T446" s="226"/>
      <c r="U446" s="226" t="s">
        <v>1</v>
      </c>
      <c r="V446" s="226" t="s">
        <v>1</v>
      </c>
      <c r="W446" s="226" t="s">
        <v>1601</v>
      </c>
      <c r="X446" s="227">
        <v>46070.491666666669</v>
      </c>
      <c r="Y446" s="226" t="s">
        <v>1137</v>
      </c>
      <c r="Z446" s="226" t="s">
        <v>1902</v>
      </c>
      <c r="AA446" s="226" t="s">
        <v>1106</v>
      </c>
      <c r="AB446" s="226"/>
      <c r="AC446" s="226"/>
      <c r="AD446" s="226" t="s">
        <v>1872</v>
      </c>
      <c r="AE446" s="226" t="s">
        <v>1434</v>
      </c>
    </row>
    <row r="447" spans="1:31">
      <c r="A447" s="226" t="s">
        <v>1212</v>
      </c>
      <c r="B447" s="226" t="s">
        <v>1123</v>
      </c>
      <c r="C447" s="226" t="s">
        <v>1149</v>
      </c>
      <c r="D447" s="226" t="s">
        <v>1217</v>
      </c>
      <c r="E447" s="226">
        <v>4365826</v>
      </c>
      <c r="F447" s="226">
        <v>4391372</v>
      </c>
      <c r="G447" s="226" t="s">
        <v>416</v>
      </c>
      <c r="H447" s="226" t="s">
        <v>218</v>
      </c>
      <c r="I447" s="226" t="s">
        <v>1900</v>
      </c>
      <c r="J447" s="226" t="s">
        <v>1868</v>
      </c>
      <c r="K447" s="227">
        <v>46091.020833333336</v>
      </c>
      <c r="L447" s="227">
        <v>46090.229166666664</v>
      </c>
      <c r="M447" s="227">
        <v>46097.229166666664</v>
      </c>
      <c r="N447" s="227">
        <v>46097.857638888891</v>
      </c>
      <c r="O447" s="226" t="s">
        <v>1915</v>
      </c>
      <c r="P447" s="227">
        <v>46109.229166666664</v>
      </c>
      <c r="Q447" s="226">
        <v>1</v>
      </c>
      <c r="R447" s="226"/>
      <c r="S447" s="226">
        <v>2</v>
      </c>
      <c r="T447" s="226"/>
      <c r="U447" s="226" t="s">
        <v>18</v>
      </c>
      <c r="V447" s="226" t="s">
        <v>18</v>
      </c>
      <c r="W447" s="226" t="s">
        <v>1189</v>
      </c>
      <c r="X447" s="227">
        <v>46078.515277777777</v>
      </c>
      <c r="Y447" s="226" t="s">
        <v>1215</v>
      </c>
      <c r="Z447" s="226" t="s">
        <v>1902</v>
      </c>
      <c r="AA447" s="226" t="s">
        <v>1156</v>
      </c>
      <c r="AB447" s="226"/>
      <c r="AC447" s="226"/>
      <c r="AD447" s="226" t="s">
        <v>1916</v>
      </c>
      <c r="AE447" s="226" t="s">
        <v>1434</v>
      </c>
    </row>
    <row r="448" spans="1:31">
      <c r="A448" s="226" t="s">
        <v>1917</v>
      </c>
      <c r="B448" s="226" t="s">
        <v>1123</v>
      </c>
      <c r="C448" s="226" t="s">
        <v>1486</v>
      </c>
      <c r="D448" s="226" t="s">
        <v>1906</v>
      </c>
      <c r="E448" s="226">
        <v>4392317</v>
      </c>
      <c r="F448" s="226">
        <v>4392685</v>
      </c>
      <c r="G448" s="226" t="s">
        <v>415</v>
      </c>
      <c r="H448" s="226" t="s">
        <v>866</v>
      </c>
      <c r="I448" s="226" t="s">
        <v>1900</v>
      </c>
      <c r="J448" s="226" t="s">
        <v>1868</v>
      </c>
      <c r="K448" s="227">
        <v>46092.729166666664</v>
      </c>
      <c r="L448" s="227">
        <v>46093.673611111109</v>
      </c>
      <c r="M448" s="227">
        <v>46098.229166666664</v>
      </c>
      <c r="N448" s="227">
        <v>46100.692361111112</v>
      </c>
      <c r="O448" s="226" t="s">
        <v>1869</v>
      </c>
      <c r="P448" s="227">
        <v>46109.229166666664</v>
      </c>
      <c r="Q448" s="226">
        <v>4</v>
      </c>
      <c r="R448" s="226"/>
      <c r="S448" s="226">
        <v>2</v>
      </c>
      <c r="T448" s="226"/>
      <c r="U448" s="226" t="s">
        <v>1</v>
      </c>
      <c r="V448" s="226" t="s">
        <v>1</v>
      </c>
      <c r="W448" s="226" t="s">
        <v>1601</v>
      </c>
      <c r="X448" s="227">
        <v>46078.960416666669</v>
      </c>
      <c r="Y448" s="226" t="s">
        <v>1918</v>
      </c>
      <c r="Z448" s="226" t="s">
        <v>1902</v>
      </c>
      <c r="AA448" s="226" t="s">
        <v>1492</v>
      </c>
      <c r="AB448" s="226"/>
      <c r="AC448" s="226"/>
      <c r="AD448" s="226" t="s">
        <v>1919</v>
      </c>
      <c r="AE448" s="226" t="s">
        <v>1434</v>
      </c>
    </row>
    <row r="449" spans="1:31">
      <c r="A449" s="226" t="s">
        <v>1917</v>
      </c>
      <c r="B449" s="226" t="s">
        <v>1123</v>
      </c>
      <c r="C449" s="226" t="s">
        <v>1486</v>
      </c>
      <c r="D449" s="226" t="s">
        <v>1906</v>
      </c>
      <c r="E449" s="226">
        <v>4392317</v>
      </c>
      <c r="F449" s="226">
        <v>4392316</v>
      </c>
      <c r="G449" s="226" t="s">
        <v>417</v>
      </c>
      <c r="H449" s="226" t="s">
        <v>866</v>
      </c>
      <c r="I449" s="226" t="s">
        <v>1900</v>
      </c>
      <c r="J449" s="226" t="s">
        <v>1868</v>
      </c>
      <c r="K449" s="227">
        <v>46092.020833333336</v>
      </c>
      <c r="L449" s="227">
        <v>46086.770138888889</v>
      </c>
      <c r="M449" s="227">
        <v>46098.229166666664</v>
      </c>
      <c r="N449" s="227">
        <v>46100.693055555559</v>
      </c>
      <c r="O449" s="226" t="s">
        <v>1874</v>
      </c>
      <c r="P449" s="227">
        <v>46109.229166666664</v>
      </c>
      <c r="Q449" s="226">
        <v>4</v>
      </c>
      <c r="R449" s="226"/>
      <c r="S449" s="226">
        <v>2</v>
      </c>
      <c r="T449" s="226"/>
      <c r="U449" s="226" t="s">
        <v>1</v>
      </c>
      <c r="V449" s="226" t="s">
        <v>1</v>
      </c>
      <c r="W449" s="226" t="s">
        <v>1601</v>
      </c>
      <c r="X449" s="227">
        <v>46078.834722222222</v>
      </c>
      <c r="Y449" s="226" t="s">
        <v>1920</v>
      </c>
      <c r="Z449" s="226" t="s">
        <v>1902</v>
      </c>
      <c r="AA449" s="226" t="s">
        <v>1492</v>
      </c>
      <c r="AB449" s="226"/>
      <c r="AC449" s="226"/>
      <c r="AD449" s="226" t="s">
        <v>1919</v>
      </c>
      <c r="AE449" s="226" t="s">
        <v>1434</v>
      </c>
    </row>
    <row r="450" spans="1:31">
      <c r="A450" s="226" t="s">
        <v>1485</v>
      </c>
      <c r="B450" s="226" t="s">
        <v>1123</v>
      </c>
      <c r="C450" s="226" t="s">
        <v>1094</v>
      </c>
      <c r="D450" s="226" t="s">
        <v>1486</v>
      </c>
      <c r="E450" s="226">
        <v>4368954</v>
      </c>
      <c r="F450" s="226">
        <v>4373916</v>
      </c>
      <c r="G450" s="226" t="s">
        <v>411</v>
      </c>
      <c r="H450" s="226" t="s">
        <v>218</v>
      </c>
      <c r="I450" s="226" t="s">
        <v>1900</v>
      </c>
      <c r="J450" s="226" t="s">
        <v>1868</v>
      </c>
      <c r="K450" s="227">
        <v>46092.979166666664</v>
      </c>
      <c r="L450" s="227">
        <v>46093.020833333336</v>
      </c>
      <c r="M450" s="227">
        <v>46094.229166666664</v>
      </c>
      <c r="N450" s="227">
        <v>46094.777083333334</v>
      </c>
      <c r="O450" s="226" t="s">
        <v>1171</v>
      </c>
      <c r="P450" s="227">
        <v>46109.229166666664</v>
      </c>
      <c r="Q450" s="226">
        <v>3</v>
      </c>
      <c r="R450" s="226"/>
      <c r="S450" s="226">
        <v>2</v>
      </c>
      <c r="T450" s="226"/>
      <c r="U450" s="226" t="s">
        <v>1</v>
      </c>
      <c r="V450" s="226" t="s">
        <v>1</v>
      </c>
      <c r="W450" s="226" t="s">
        <v>1489</v>
      </c>
      <c r="X450" s="227">
        <v>46072.46875</v>
      </c>
      <c r="Y450" s="226" t="s">
        <v>1490</v>
      </c>
      <c r="Z450" s="226" t="s">
        <v>1902</v>
      </c>
      <c r="AA450" s="226" t="s">
        <v>1492</v>
      </c>
      <c r="AB450" s="226"/>
      <c r="AC450" s="226"/>
      <c r="AD450" s="226" t="s">
        <v>1493</v>
      </c>
      <c r="AE450" s="226" t="s">
        <v>1434</v>
      </c>
    </row>
    <row r="451" spans="1:31">
      <c r="A451" s="226" t="s">
        <v>1485</v>
      </c>
      <c r="B451" s="226" t="s">
        <v>1123</v>
      </c>
      <c r="C451" s="226" t="s">
        <v>1094</v>
      </c>
      <c r="D451" s="226" t="s">
        <v>1486</v>
      </c>
      <c r="E451" s="226">
        <v>4368954</v>
      </c>
      <c r="F451" s="226">
        <v>4373918</v>
      </c>
      <c r="G451" s="226" t="s">
        <v>412</v>
      </c>
      <c r="H451" s="226" t="s">
        <v>218</v>
      </c>
      <c r="I451" s="226" t="s">
        <v>1900</v>
      </c>
      <c r="J451" s="226" t="s">
        <v>1868</v>
      </c>
      <c r="K451" s="227">
        <v>46092.979166666664</v>
      </c>
      <c r="L451" s="227">
        <v>46092.229166666664</v>
      </c>
      <c r="M451" s="227">
        <v>46098.229166666664</v>
      </c>
      <c r="N451" s="227">
        <v>46098.732638888891</v>
      </c>
      <c r="O451" s="226" t="s">
        <v>1171</v>
      </c>
      <c r="P451" s="227">
        <v>46109.229166666664</v>
      </c>
      <c r="Q451" s="226">
        <v>3</v>
      </c>
      <c r="R451" s="226"/>
      <c r="S451" s="226">
        <v>2</v>
      </c>
      <c r="T451" s="226"/>
      <c r="U451" s="226" t="s">
        <v>1</v>
      </c>
      <c r="V451" s="226" t="s">
        <v>1</v>
      </c>
      <c r="W451" s="226" t="s">
        <v>1489</v>
      </c>
      <c r="X451" s="227">
        <v>46072.470138888886</v>
      </c>
      <c r="Y451" s="226" t="s">
        <v>1490</v>
      </c>
      <c r="Z451" s="226" t="s">
        <v>1902</v>
      </c>
      <c r="AA451" s="226" t="s">
        <v>1492</v>
      </c>
      <c r="AB451" s="226"/>
      <c r="AC451" s="226"/>
      <c r="AD451" s="226" t="s">
        <v>1493</v>
      </c>
      <c r="AE451" s="226" t="s">
        <v>1434</v>
      </c>
    </row>
    <row r="452" spans="1:31">
      <c r="A452" s="226" t="s">
        <v>1485</v>
      </c>
      <c r="B452" s="226" t="s">
        <v>1123</v>
      </c>
      <c r="C452" s="226" t="s">
        <v>1094</v>
      </c>
      <c r="D452" s="226" t="s">
        <v>1486</v>
      </c>
      <c r="E452" s="226">
        <v>4368954</v>
      </c>
      <c r="F452" s="226">
        <v>4373922</v>
      </c>
      <c r="G452" s="226" t="s">
        <v>413</v>
      </c>
      <c r="H452" s="226" t="s">
        <v>218</v>
      </c>
      <c r="I452" s="226" t="s">
        <v>1900</v>
      </c>
      <c r="J452" s="226" t="s">
        <v>1868</v>
      </c>
      <c r="K452" s="227">
        <v>46092.979166666664</v>
      </c>
      <c r="L452" s="227">
        <v>46092.854166666664</v>
      </c>
      <c r="M452" s="227">
        <v>46098.229166666664</v>
      </c>
      <c r="N452" s="227">
        <v>46098.730555555558</v>
      </c>
      <c r="O452" s="226" t="s">
        <v>1171</v>
      </c>
      <c r="P452" s="227">
        <v>46109.229166666664</v>
      </c>
      <c r="Q452" s="226">
        <v>3</v>
      </c>
      <c r="R452" s="226"/>
      <c r="S452" s="226">
        <v>2</v>
      </c>
      <c r="T452" s="226"/>
      <c r="U452" s="226" t="s">
        <v>1</v>
      </c>
      <c r="V452" s="226" t="s">
        <v>1</v>
      </c>
      <c r="W452" s="226" t="s">
        <v>1489</v>
      </c>
      <c r="X452" s="227">
        <v>46072.47152777778</v>
      </c>
      <c r="Y452" s="226" t="s">
        <v>1490</v>
      </c>
      <c r="Z452" s="226" t="s">
        <v>1902</v>
      </c>
      <c r="AA452" s="226" t="s">
        <v>1492</v>
      </c>
      <c r="AB452" s="226"/>
      <c r="AC452" s="226"/>
      <c r="AD452" s="226" t="s">
        <v>1493</v>
      </c>
      <c r="AE452" s="226" t="s">
        <v>1434</v>
      </c>
    </row>
    <row r="453" spans="1:31">
      <c r="A453" s="226" t="s">
        <v>1277</v>
      </c>
      <c r="B453" s="226" t="s">
        <v>1123</v>
      </c>
      <c r="C453" s="226" t="s">
        <v>1149</v>
      </c>
      <c r="D453" s="226" t="s">
        <v>1278</v>
      </c>
      <c r="E453" s="226">
        <v>4386527</v>
      </c>
      <c r="F453" s="226">
        <v>4381766</v>
      </c>
      <c r="G453" s="226" t="s">
        <v>1921</v>
      </c>
      <c r="H453" s="226" t="s">
        <v>218</v>
      </c>
      <c r="I453" s="226" t="s">
        <v>1900</v>
      </c>
      <c r="J453" s="226" t="s">
        <v>1127</v>
      </c>
      <c r="K453" s="227">
        <v>46093.020833333336</v>
      </c>
      <c r="L453" s="227">
        <v>46093.768750000003</v>
      </c>
      <c r="M453" s="227">
        <v>46097.229166666664</v>
      </c>
      <c r="N453" s="227">
        <v>46101.92291666667</v>
      </c>
      <c r="O453" s="226" t="s">
        <v>1214</v>
      </c>
      <c r="P453" s="227">
        <v>46109.229166666664</v>
      </c>
      <c r="Q453" s="226">
        <v>1</v>
      </c>
      <c r="R453" s="226"/>
      <c r="S453" s="226">
        <v>2</v>
      </c>
      <c r="T453" s="226"/>
      <c r="U453" s="226" t="s">
        <v>1</v>
      </c>
      <c r="V453" s="226" t="s">
        <v>1</v>
      </c>
      <c r="W453" s="226" t="s">
        <v>1280</v>
      </c>
      <c r="X453" s="227">
        <v>46073.537499999999</v>
      </c>
      <c r="Y453" s="226" t="s">
        <v>1244</v>
      </c>
      <c r="Z453" s="226" t="s">
        <v>1902</v>
      </c>
      <c r="AA453" s="226" t="s">
        <v>1156</v>
      </c>
      <c r="AB453" s="226"/>
      <c r="AC453" s="226"/>
      <c r="AD453" s="226" t="s">
        <v>1281</v>
      </c>
      <c r="AE453" s="226" t="s">
        <v>1434</v>
      </c>
    </row>
    <row r="454" spans="1:31">
      <c r="A454" s="226" t="s">
        <v>1166</v>
      </c>
      <c r="B454" s="226" t="s">
        <v>1123</v>
      </c>
      <c r="C454" s="226" t="s">
        <v>1159</v>
      </c>
      <c r="D454" s="226" t="s">
        <v>1150</v>
      </c>
      <c r="E454" s="226">
        <v>4378908</v>
      </c>
      <c r="F454" s="226">
        <v>4378418</v>
      </c>
      <c r="G454" s="226" t="s">
        <v>1922</v>
      </c>
      <c r="H454" s="226" t="s">
        <v>866</v>
      </c>
      <c r="I454" s="226" t="s">
        <v>1923</v>
      </c>
      <c r="J454" s="226" t="s">
        <v>1152</v>
      </c>
      <c r="K454" s="227">
        <v>46092.104166666664</v>
      </c>
      <c r="L454" s="227">
        <v>46087.229166666664</v>
      </c>
      <c r="M454" s="227">
        <v>46094.229166666664</v>
      </c>
      <c r="N454" s="227">
        <v>46094.229166666664</v>
      </c>
      <c r="O454" s="226" t="s">
        <v>1098</v>
      </c>
      <c r="P454" s="227">
        <v>46109.229166666664</v>
      </c>
      <c r="Q454" s="226">
        <v>2</v>
      </c>
      <c r="R454" s="226"/>
      <c r="S454" s="226">
        <v>2</v>
      </c>
      <c r="T454" s="226"/>
      <c r="U454" s="226" t="s">
        <v>1</v>
      </c>
      <c r="V454" s="226" t="s">
        <v>1</v>
      </c>
      <c r="W454" s="226" t="s">
        <v>1223</v>
      </c>
      <c r="X454" s="227">
        <v>46072.676388888889</v>
      </c>
      <c r="Y454" s="226" t="s">
        <v>1274</v>
      </c>
      <c r="Z454" s="226" t="s">
        <v>1924</v>
      </c>
      <c r="AA454" s="226" t="s">
        <v>1275</v>
      </c>
      <c r="AB454" s="226"/>
      <c r="AC454" s="226"/>
      <c r="AD454" s="226" t="s">
        <v>1276</v>
      </c>
      <c r="AE454" s="226" t="s">
        <v>1500</v>
      </c>
    </row>
    <row r="455" spans="1:31">
      <c r="A455" s="226" t="s">
        <v>1277</v>
      </c>
      <c r="B455" s="226" t="s">
        <v>1123</v>
      </c>
      <c r="C455" s="226" t="s">
        <v>1149</v>
      </c>
      <c r="D455" s="226" t="s">
        <v>1278</v>
      </c>
      <c r="E455" s="226">
        <v>4386527</v>
      </c>
      <c r="F455" s="226">
        <v>4373070</v>
      </c>
      <c r="G455" s="226" t="s">
        <v>1925</v>
      </c>
      <c r="H455" s="226" t="s">
        <v>218</v>
      </c>
      <c r="I455" s="226" t="s">
        <v>1923</v>
      </c>
      <c r="J455" s="226" t="s">
        <v>1207</v>
      </c>
      <c r="K455" s="227">
        <v>46093.104166666664</v>
      </c>
      <c r="L455" s="227">
        <v>46092.965277777781</v>
      </c>
      <c r="M455" s="227">
        <v>46097.979166666664</v>
      </c>
      <c r="N455" s="227">
        <v>46098.655555555553</v>
      </c>
      <c r="O455" s="226" t="s">
        <v>1214</v>
      </c>
      <c r="P455" s="227">
        <v>46109.229166666664</v>
      </c>
      <c r="Q455" s="226">
        <v>3</v>
      </c>
      <c r="R455" s="226"/>
      <c r="S455" s="226">
        <v>2</v>
      </c>
      <c r="T455" s="226"/>
      <c r="U455" s="226" t="s">
        <v>1</v>
      </c>
      <c r="V455" s="226" t="s">
        <v>1</v>
      </c>
      <c r="W455" s="226" t="s">
        <v>1280</v>
      </c>
      <c r="X455" s="227">
        <v>46071.706250000003</v>
      </c>
      <c r="Y455" s="226"/>
      <c r="Z455" s="226" t="s">
        <v>1924</v>
      </c>
      <c r="AA455" s="226" t="s">
        <v>1156</v>
      </c>
      <c r="AB455" s="226"/>
      <c r="AC455" s="226"/>
      <c r="AD455" s="226" t="s">
        <v>1281</v>
      </c>
      <c r="AE455" s="226" t="s">
        <v>1500</v>
      </c>
    </row>
    <row r="456" spans="1:31">
      <c r="A456" s="226" t="s">
        <v>1212</v>
      </c>
      <c r="B456" s="226" t="s">
        <v>1123</v>
      </c>
      <c r="C456" s="226" t="s">
        <v>1149</v>
      </c>
      <c r="D456" s="226" t="s">
        <v>1217</v>
      </c>
      <c r="E456" s="226">
        <v>4365826</v>
      </c>
      <c r="F456" s="226">
        <v>4391289</v>
      </c>
      <c r="G456" s="226" t="s">
        <v>308</v>
      </c>
      <c r="H456" s="226" t="s">
        <v>218</v>
      </c>
      <c r="I456" s="226" t="s">
        <v>1923</v>
      </c>
      <c r="J456" s="226" t="s">
        <v>1207</v>
      </c>
      <c r="K456" s="227">
        <v>46095.104166666664</v>
      </c>
      <c r="L456" s="227">
        <v>46097.229166666664</v>
      </c>
      <c r="M456" s="227">
        <v>46098.229166666664</v>
      </c>
      <c r="N456" s="227">
        <v>46098.904861111114</v>
      </c>
      <c r="O456" s="226" t="s">
        <v>1214</v>
      </c>
      <c r="P456" s="227">
        <v>46109.229166666664</v>
      </c>
      <c r="Q456" s="226">
        <v>5</v>
      </c>
      <c r="R456" s="226"/>
      <c r="S456" s="226">
        <v>2</v>
      </c>
      <c r="T456" s="226"/>
      <c r="U456" s="226" t="s">
        <v>1</v>
      </c>
      <c r="V456" s="226" t="s">
        <v>1</v>
      </c>
      <c r="W456" s="226" t="s">
        <v>1189</v>
      </c>
      <c r="X456" s="227">
        <v>46078.493055555555</v>
      </c>
      <c r="Y456" s="226" t="s">
        <v>1215</v>
      </c>
      <c r="Z456" s="226" t="s">
        <v>1924</v>
      </c>
      <c r="AA456" s="226" t="s">
        <v>1156</v>
      </c>
      <c r="AB456" s="226"/>
      <c r="AC456" s="226"/>
      <c r="AD456" s="226" t="s">
        <v>1617</v>
      </c>
      <c r="AE456" s="226" t="s">
        <v>1500</v>
      </c>
    </row>
    <row r="457" spans="1:31">
      <c r="A457" s="226" t="s">
        <v>1277</v>
      </c>
      <c r="B457" s="226" t="s">
        <v>1123</v>
      </c>
      <c r="C457" s="226" t="s">
        <v>1149</v>
      </c>
      <c r="D457" s="226" t="s">
        <v>1278</v>
      </c>
      <c r="E457" s="226">
        <v>4386527</v>
      </c>
      <c r="F457" s="226">
        <v>4373007</v>
      </c>
      <c r="G457" s="226" t="s">
        <v>1926</v>
      </c>
      <c r="H457" s="226" t="s">
        <v>218</v>
      </c>
      <c r="I457" s="226" t="s">
        <v>1923</v>
      </c>
      <c r="J457" s="226" t="s">
        <v>1207</v>
      </c>
      <c r="K457" s="227">
        <v>46093.104166666664</v>
      </c>
      <c r="L457" s="227">
        <v>46092.965277777781</v>
      </c>
      <c r="M457" s="227">
        <v>46097.979166666664</v>
      </c>
      <c r="N457" s="227">
        <v>46097.691666666666</v>
      </c>
      <c r="O457" s="226" t="s">
        <v>1214</v>
      </c>
      <c r="P457" s="227">
        <v>46109.229166666664</v>
      </c>
      <c r="Q457" s="226">
        <v>3</v>
      </c>
      <c r="R457" s="226"/>
      <c r="S457" s="226">
        <v>2</v>
      </c>
      <c r="T457" s="226"/>
      <c r="U457" s="226" t="s">
        <v>1</v>
      </c>
      <c r="V457" s="226" t="s">
        <v>1</v>
      </c>
      <c r="W457" s="226" t="s">
        <v>1280</v>
      </c>
      <c r="X457" s="227">
        <v>46071.663888888892</v>
      </c>
      <c r="Y457" s="226"/>
      <c r="Z457" s="226" t="s">
        <v>1924</v>
      </c>
      <c r="AA457" s="226" t="s">
        <v>1156</v>
      </c>
      <c r="AB457" s="226"/>
      <c r="AC457" s="226"/>
      <c r="AD457" s="226" t="s">
        <v>1281</v>
      </c>
      <c r="AE457" s="226" t="s">
        <v>1500</v>
      </c>
    </row>
    <row r="458" spans="1:31">
      <c r="A458" s="226" t="s">
        <v>1524</v>
      </c>
      <c r="B458" s="226" t="s">
        <v>1123</v>
      </c>
      <c r="C458" s="226" t="s">
        <v>1149</v>
      </c>
      <c r="D458" s="226" t="s">
        <v>1526</v>
      </c>
      <c r="E458" s="226">
        <v>4278081</v>
      </c>
      <c r="F458" s="226">
        <v>4359573</v>
      </c>
      <c r="G458" s="226" t="s">
        <v>368</v>
      </c>
      <c r="H458" s="226" t="s">
        <v>218</v>
      </c>
      <c r="I458" s="226" t="s">
        <v>1923</v>
      </c>
      <c r="J458" s="226" t="s">
        <v>1152</v>
      </c>
      <c r="K458" s="227">
        <v>46088.104166666664</v>
      </c>
      <c r="L458" s="227">
        <v>46087.229166666664</v>
      </c>
      <c r="M458" s="227">
        <v>46093.229166666664</v>
      </c>
      <c r="N458" s="227">
        <v>46095.006249999999</v>
      </c>
      <c r="O458" s="226" t="s">
        <v>1214</v>
      </c>
      <c r="P458" s="227">
        <v>46109.229166666664</v>
      </c>
      <c r="Q458" s="226">
        <v>2</v>
      </c>
      <c r="R458" s="226"/>
      <c r="S458" s="226">
        <v>2</v>
      </c>
      <c r="T458" s="226"/>
      <c r="U458" s="226" t="s">
        <v>1</v>
      </c>
      <c r="V458" s="226" t="s">
        <v>1</v>
      </c>
      <c r="W458" s="226" t="s">
        <v>1497</v>
      </c>
      <c r="X458" s="227">
        <v>46063.558333333334</v>
      </c>
      <c r="Y458" s="226" t="s">
        <v>1606</v>
      </c>
      <c r="Z458" s="226" t="s">
        <v>1924</v>
      </c>
      <c r="AA458" s="226" t="s">
        <v>1499</v>
      </c>
      <c r="AB458" s="226"/>
      <c r="AC458" s="226"/>
      <c r="AD458" s="226" t="s">
        <v>1526</v>
      </c>
      <c r="AE458" s="226" t="s">
        <v>1500</v>
      </c>
    </row>
    <row r="459" spans="1:31">
      <c r="A459" s="226" t="s">
        <v>1524</v>
      </c>
      <c r="B459" s="226" t="s">
        <v>1123</v>
      </c>
      <c r="C459" s="226" t="s">
        <v>1149</v>
      </c>
      <c r="D459" s="226" t="s">
        <v>1526</v>
      </c>
      <c r="E459" s="226">
        <v>4278081</v>
      </c>
      <c r="F459" s="226">
        <v>4359574</v>
      </c>
      <c r="G459" s="226" t="s">
        <v>371</v>
      </c>
      <c r="H459" s="226" t="s">
        <v>218</v>
      </c>
      <c r="I459" s="226" t="s">
        <v>1923</v>
      </c>
      <c r="J459" s="226" t="s">
        <v>1152</v>
      </c>
      <c r="K459" s="227">
        <v>46088.104166666664</v>
      </c>
      <c r="L459" s="227">
        <v>46087.74722222222</v>
      </c>
      <c r="M459" s="227">
        <v>46093.229166666664</v>
      </c>
      <c r="N459" s="227">
        <v>46095.006944444445</v>
      </c>
      <c r="O459" s="226" t="s">
        <v>1214</v>
      </c>
      <c r="P459" s="227">
        <v>46109.229166666664</v>
      </c>
      <c r="Q459" s="226">
        <v>2</v>
      </c>
      <c r="R459" s="226"/>
      <c r="S459" s="226">
        <v>2</v>
      </c>
      <c r="T459" s="226"/>
      <c r="U459" s="226" t="s">
        <v>1</v>
      </c>
      <c r="V459" s="226" t="s">
        <v>1</v>
      </c>
      <c r="W459" s="226" t="s">
        <v>1497</v>
      </c>
      <c r="X459" s="227">
        <v>46063.558333333334</v>
      </c>
      <c r="Y459" s="226" t="s">
        <v>1606</v>
      </c>
      <c r="Z459" s="226" t="s">
        <v>1924</v>
      </c>
      <c r="AA459" s="226" t="s">
        <v>1499</v>
      </c>
      <c r="AB459" s="226"/>
      <c r="AC459" s="226"/>
      <c r="AD459" s="226" t="s">
        <v>1526</v>
      </c>
      <c r="AE459" s="226" t="s">
        <v>1500</v>
      </c>
    </row>
    <row r="460" spans="1:31">
      <c r="A460" s="226" t="s">
        <v>1524</v>
      </c>
      <c r="B460" s="226" t="s">
        <v>1123</v>
      </c>
      <c r="C460" s="226" t="s">
        <v>1149</v>
      </c>
      <c r="D460" s="226" t="s">
        <v>1526</v>
      </c>
      <c r="E460" s="226">
        <v>4278081</v>
      </c>
      <c r="F460" s="226">
        <v>4359575</v>
      </c>
      <c r="G460" s="226" t="s">
        <v>372</v>
      </c>
      <c r="H460" s="226" t="s">
        <v>218</v>
      </c>
      <c r="I460" s="226" t="s">
        <v>1923</v>
      </c>
      <c r="J460" s="226" t="s">
        <v>1152</v>
      </c>
      <c r="K460" s="227">
        <v>46088.104166666664</v>
      </c>
      <c r="L460" s="227">
        <v>46087.229166666664</v>
      </c>
      <c r="M460" s="227">
        <v>46093.229166666664</v>
      </c>
      <c r="N460" s="227">
        <v>46095.007638888892</v>
      </c>
      <c r="O460" s="226" t="s">
        <v>1214</v>
      </c>
      <c r="P460" s="227">
        <v>46109.229166666664</v>
      </c>
      <c r="Q460" s="226">
        <v>2</v>
      </c>
      <c r="R460" s="226"/>
      <c r="S460" s="226">
        <v>2</v>
      </c>
      <c r="T460" s="226"/>
      <c r="U460" s="226" t="s">
        <v>1</v>
      </c>
      <c r="V460" s="226" t="s">
        <v>1</v>
      </c>
      <c r="W460" s="226" t="s">
        <v>1497</v>
      </c>
      <c r="X460" s="227">
        <v>46063.558333333334</v>
      </c>
      <c r="Y460" s="226" t="s">
        <v>1606</v>
      </c>
      <c r="Z460" s="226" t="s">
        <v>1924</v>
      </c>
      <c r="AA460" s="226" t="s">
        <v>1499</v>
      </c>
      <c r="AB460" s="226"/>
      <c r="AC460" s="226"/>
      <c r="AD460" s="226" t="s">
        <v>1526</v>
      </c>
      <c r="AE460" s="226" t="s">
        <v>1500</v>
      </c>
    </row>
    <row r="461" spans="1:31">
      <c r="A461" s="226" t="s">
        <v>1524</v>
      </c>
      <c r="B461" s="226" t="s">
        <v>1123</v>
      </c>
      <c r="C461" s="226" t="s">
        <v>1149</v>
      </c>
      <c r="D461" s="226" t="s">
        <v>1526</v>
      </c>
      <c r="E461" s="226">
        <v>4278081</v>
      </c>
      <c r="F461" s="226">
        <v>4359576</v>
      </c>
      <c r="G461" s="226" t="s">
        <v>373</v>
      </c>
      <c r="H461" s="226" t="s">
        <v>218</v>
      </c>
      <c r="I461" s="226" t="s">
        <v>1923</v>
      </c>
      <c r="J461" s="226" t="s">
        <v>1152</v>
      </c>
      <c r="K461" s="227">
        <v>46088.104166666664</v>
      </c>
      <c r="L461" s="227">
        <v>46087.229166666664</v>
      </c>
      <c r="M461" s="227">
        <v>46093.229166666664</v>
      </c>
      <c r="N461" s="227">
        <v>46095.010416666664</v>
      </c>
      <c r="O461" s="226" t="s">
        <v>1214</v>
      </c>
      <c r="P461" s="227">
        <v>46109.229166666664</v>
      </c>
      <c r="Q461" s="226">
        <v>2</v>
      </c>
      <c r="R461" s="226"/>
      <c r="S461" s="226">
        <v>2</v>
      </c>
      <c r="T461" s="226"/>
      <c r="U461" s="226" t="s">
        <v>1</v>
      </c>
      <c r="V461" s="226" t="s">
        <v>1</v>
      </c>
      <c r="W461" s="226" t="s">
        <v>1497</v>
      </c>
      <c r="X461" s="227">
        <v>46063.558333333334</v>
      </c>
      <c r="Y461" s="226" t="s">
        <v>1606</v>
      </c>
      <c r="Z461" s="226" t="s">
        <v>1924</v>
      </c>
      <c r="AA461" s="226" t="s">
        <v>1499</v>
      </c>
      <c r="AB461" s="226"/>
      <c r="AC461" s="226"/>
      <c r="AD461" s="226" t="s">
        <v>1526</v>
      </c>
      <c r="AE461" s="226" t="s">
        <v>1500</v>
      </c>
    </row>
    <row r="462" spans="1:31">
      <c r="A462" s="226" t="s">
        <v>1524</v>
      </c>
      <c r="B462" s="226" t="s">
        <v>1123</v>
      </c>
      <c r="C462" s="226" t="s">
        <v>1149</v>
      </c>
      <c r="D462" s="226" t="s">
        <v>1526</v>
      </c>
      <c r="E462" s="226">
        <v>4278081</v>
      </c>
      <c r="F462" s="226">
        <v>4359580</v>
      </c>
      <c r="G462" s="226" t="s">
        <v>377</v>
      </c>
      <c r="H462" s="226" t="s">
        <v>218</v>
      </c>
      <c r="I462" s="226" t="s">
        <v>1923</v>
      </c>
      <c r="J462" s="226" t="s">
        <v>1152</v>
      </c>
      <c r="K462" s="227">
        <v>46088.104166666664</v>
      </c>
      <c r="L462" s="227">
        <v>46087.229166666664</v>
      </c>
      <c r="M462" s="227">
        <v>46093.229166666664</v>
      </c>
      <c r="N462" s="227">
        <v>46097.663888888892</v>
      </c>
      <c r="O462" s="226" t="s">
        <v>1214</v>
      </c>
      <c r="P462" s="227">
        <v>46109.229166666664</v>
      </c>
      <c r="Q462" s="226">
        <v>2</v>
      </c>
      <c r="R462" s="226"/>
      <c r="S462" s="226">
        <v>2</v>
      </c>
      <c r="T462" s="226"/>
      <c r="U462" s="226" t="s">
        <v>1</v>
      </c>
      <c r="V462" s="226" t="s">
        <v>1</v>
      </c>
      <c r="W462" s="226" t="s">
        <v>1497</v>
      </c>
      <c r="X462" s="227">
        <v>46063.558333333334</v>
      </c>
      <c r="Y462" s="226" t="s">
        <v>1528</v>
      </c>
      <c r="Z462" s="226" t="s">
        <v>1924</v>
      </c>
      <c r="AA462" s="226" t="s">
        <v>1499</v>
      </c>
      <c r="AB462" s="226"/>
      <c r="AC462" s="226"/>
      <c r="AD462" s="226" t="s">
        <v>1526</v>
      </c>
      <c r="AE462" s="226" t="s">
        <v>1500</v>
      </c>
    </row>
    <row r="463" spans="1:31">
      <c r="A463" s="226" t="s">
        <v>1524</v>
      </c>
      <c r="B463" s="226" t="s">
        <v>1123</v>
      </c>
      <c r="C463" s="226" t="s">
        <v>1149</v>
      </c>
      <c r="D463" s="226" t="s">
        <v>1526</v>
      </c>
      <c r="E463" s="226">
        <v>4278081</v>
      </c>
      <c r="F463" s="226">
        <v>4359578</v>
      </c>
      <c r="G463" s="226" t="s">
        <v>375</v>
      </c>
      <c r="H463" s="226" t="s">
        <v>218</v>
      </c>
      <c r="I463" s="226" t="s">
        <v>1923</v>
      </c>
      <c r="J463" s="226" t="s">
        <v>1152</v>
      </c>
      <c r="K463" s="227">
        <v>46088.104166666664</v>
      </c>
      <c r="L463" s="227">
        <v>46087.229166666664</v>
      </c>
      <c r="M463" s="227">
        <v>46093.229166666664</v>
      </c>
      <c r="N463" s="227">
        <v>46097.664583333331</v>
      </c>
      <c r="O463" s="226" t="s">
        <v>1214</v>
      </c>
      <c r="P463" s="227">
        <v>46109.229166666664</v>
      </c>
      <c r="Q463" s="226">
        <v>2</v>
      </c>
      <c r="R463" s="226"/>
      <c r="S463" s="226">
        <v>2</v>
      </c>
      <c r="T463" s="226"/>
      <c r="U463" s="226" t="s">
        <v>1</v>
      </c>
      <c r="V463" s="226" t="s">
        <v>1</v>
      </c>
      <c r="W463" s="226" t="s">
        <v>1497</v>
      </c>
      <c r="X463" s="227">
        <v>46063.558333333334</v>
      </c>
      <c r="Y463" s="226" t="s">
        <v>1528</v>
      </c>
      <c r="Z463" s="226" t="s">
        <v>1924</v>
      </c>
      <c r="AA463" s="226" t="s">
        <v>1499</v>
      </c>
      <c r="AB463" s="226"/>
      <c r="AC463" s="226"/>
      <c r="AD463" s="226" t="s">
        <v>1526</v>
      </c>
      <c r="AE463" s="226" t="s">
        <v>1500</v>
      </c>
    </row>
    <row r="464" spans="1:31">
      <c r="A464" s="226" t="s">
        <v>1242</v>
      </c>
      <c r="B464" s="226" t="s">
        <v>1123</v>
      </c>
      <c r="C464" s="226" t="s">
        <v>1195</v>
      </c>
      <c r="D464" s="226" t="s">
        <v>1243</v>
      </c>
      <c r="E464" s="226">
        <v>4317244</v>
      </c>
      <c r="F464" s="226">
        <v>4361795</v>
      </c>
      <c r="G464" s="226" t="s">
        <v>1927</v>
      </c>
      <c r="H464" s="226" t="s">
        <v>218</v>
      </c>
      <c r="I464" s="226" t="s">
        <v>1923</v>
      </c>
      <c r="J464" s="226" t="s">
        <v>1127</v>
      </c>
      <c r="K464" s="227">
        <v>46093.104166666664</v>
      </c>
      <c r="L464" s="227">
        <v>46092.8125</v>
      </c>
      <c r="M464" s="227">
        <v>46097.229166666664</v>
      </c>
      <c r="N464" s="227">
        <v>46097.9</v>
      </c>
      <c r="O464" s="226" t="s">
        <v>1214</v>
      </c>
      <c r="P464" s="227">
        <v>46109.229166666664</v>
      </c>
      <c r="Q464" s="226">
        <v>2</v>
      </c>
      <c r="R464" s="226"/>
      <c r="S464" s="226">
        <v>2</v>
      </c>
      <c r="T464" s="226"/>
      <c r="U464" s="226" t="s">
        <v>1</v>
      </c>
      <c r="V464" s="226" t="s">
        <v>1</v>
      </c>
      <c r="W464" s="226" t="s">
        <v>1198</v>
      </c>
      <c r="X464" s="227">
        <v>46063.98541666667</v>
      </c>
      <c r="Y464" s="226"/>
      <c r="Z464" s="226" t="s">
        <v>1924</v>
      </c>
      <c r="AA464" s="226" t="s">
        <v>1156</v>
      </c>
      <c r="AB464" s="226"/>
      <c r="AC464" s="226"/>
      <c r="AD464" s="226" t="s">
        <v>1245</v>
      </c>
      <c r="AE464" s="226" t="s">
        <v>1500</v>
      </c>
    </row>
    <row r="465" spans="1:31">
      <c r="A465" s="226" t="s">
        <v>1204</v>
      </c>
      <c r="B465" s="226" t="s">
        <v>1194</v>
      </c>
      <c r="C465" s="226" t="s">
        <v>1194</v>
      </c>
      <c r="D465" s="226" t="s">
        <v>1205</v>
      </c>
      <c r="E465" s="226">
        <v>4330994</v>
      </c>
      <c r="F465" s="226">
        <v>4364567</v>
      </c>
      <c r="G465" s="226" t="s">
        <v>1928</v>
      </c>
      <c r="H465" s="226" t="s">
        <v>866</v>
      </c>
      <c r="I465" s="226" t="s">
        <v>1923</v>
      </c>
      <c r="J465" s="226" t="s">
        <v>1207</v>
      </c>
      <c r="K465" s="227">
        <v>46093.104166666664</v>
      </c>
      <c r="L465" s="227">
        <v>46092.961111111108</v>
      </c>
      <c r="M465" s="227">
        <v>46097.979166666664</v>
      </c>
      <c r="N465" s="227">
        <v>46098.65625</v>
      </c>
      <c r="O465" s="226" t="s">
        <v>1208</v>
      </c>
      <c r="P465" s="227">
        <v>46109.229166666664</v>
      </c>
      <c r="Q465" s="226">
        <v>2</v>
      </c>
      <c r="R465" s="226"/>
      <c r="S465" s="226">
        <v>2</v>
      </c>
      <c r="T465" s="226"/>
      <c r="U465" s="226" t="s">
        <v>1</v>
      </c>
      <c r="V465" s="226" t="s">
        <v>1</v>
      </c>
      <c r="W465" s="226" t="s">
        <v>1209</v>
      </c>
      <c r="X465" s="227">
        <v>46065.504166666666</v>
      </c>
      <c r="Y465" s="226"/>
      <c r="Z465" s="226" t="s">
        <v>1924</v>
      </c>
      <c r="AA465" s="226" t="s">
        <v>1156</v>
      </c>
      <c r="AB465" s="226"/>
      <c r="AC465" s="226"/>
      <c r="AD465" s="226" t="s">
        <v>1211</v>
      </c>
      <c r="AE465" s="226" t="s">
        <v>1500</v>
      </c>
    </row>
    <row r="466" spans="1:31">
      <c r="A466" s="226" t="s">
        <v>1204</v>
      </c>
      <c r="B466" s="226" t="s">
        <v>1194</v>
      </c>
      <c r="C466" s="226" t="s">
        <v>1194</v>
      </c>
      <c r="D466" s="226" t="s">
        <v>1205</v>
      </c>
      <c r="E466" s="226">
        <v>4330994</v>
      </c>
      <c r="F466" s="226">
        <v>4364563</v>
      </c>
      <c r="G466" s="226" t="s">
        <v>1929</v>
      </c>
      <c r="H466" s="226" t="s">
        <v>866</v>
      </c>
      <c r="I466" s="226" t="s">
        <v>1923</v>
      </c>
      <c r="J466" s="226" t="s">
        <v>1287</v>
      </c>
      <c r="K466" s="227">
        <v>46093.104166666664</v>
      </c>
      <c r="L466" s="227">
        <v>46093.664583333331</v>
      </c>
      <c r="M466" s="227">
        <v>46098.0625</v>
      </c>
      <c r="N466" s="227">
        <v>46098.652083333334</v>
      </c>
      <c r="O466" s="226" t="s">
        <v>1208</v>
      </c>
      <c r="P466" s="227">
        <v>46109.229166666664</v>
      </c>
      <c r="Q466" s="226">
        <v>2</v>
      </c>
      <c r="R466" s="226"/>
      <c r="S466" s="226">
        <v>2</v>
      </c>
      <c r="T466" s="226"/>
      <c r="U466" s="226" t="s">
        <v>1</v>
      </c>
      <c r="V466" s="226" t="s">
        <v>1</v>
      </c>
      <c r="W466" s="226" t="s">
        <v>1209</v>
      </c>
      <c r="X466" s="227">
        <v>46065.50277777778</v>
      </c>
      <c r="Y466" s="226" t="s">
        <v>1244</v>
      </c>
      <c r="Z466" s="226" t="s">
        <v>1924</v>
      </c>
      <c r="AA466" s="226" t="s">
        <v>1156</v>
      </c>
      <c r="AB466" s="226"/>
      <c r="AC466" s="226"/>
      <c r="AD466" s="226" t="s">
        <v>1211</v>
      </c>
      <c r="AE466" s="226" t="s">
        <v>1500</v>
      </c>
    </row>
    <row r="467" spans="1:31">
      <c r="A467" s="226" t="s">
        <v>1204</v>
      </c>
      <c r="B467" s="226" t="s">
        <v>1194</v>
      </c>
      <c r="C467" s="226" t="s">
        <v>1194</v>
      </c>
      <c r="D467" s="226" t="s">
        <v>1205</v>
      </c>
      <c r="E467" s="226">
        <v>4330994</v>
      </c>
      <c r="F467" s="226">
        <v>4364536</v>
      </c>
      <c r="G467" s="226" t="s">
        <v>1930</v>
      </c>
      <c r="H467" s="226" t="s">
        <v>866</v>
      </c>
      <c r="I467" s="226" t="s">
        <v>1923</v>
      </c>
      <c r="J467" s="226" t="s">
        <v>1207</v>
      </c>
      <c r="K467" s="227">
        <v>46093.104166666664</v>
      </c>
      <c r="L467" s="227">
        <v>46092.852083333331</v>
      </c>
      <c r="M467" s="227">
        <v>46097.979166666664</v>
      </c>
      <c r="N467" s="227">
        <v>46097.85</v>
      </c>
      <c r="O467" s="226" t="s">
        <v>1208</v>
      </c>
      <c r="P467" s="227">
        <v>46109.229166666664</v>
      </c>
      <c r="Q467" s="226">
        <v>2</v>
      </c>
      <c r="R467" s="226"/>
      <c r="S467" s="226">
        <v>2</v>
      </c>
      <c r="T467" s="226"/>
      <c r="U467" s="226" t="s">
        <v>1</v>
      </c>
      <c r="V467" s="226" t="s">
        <v>1</v>
      </c>
      <c r="W467" s="226" t="s">
        <v>1209</v>
      </c>
      <c r="X467" s="227">
        <v>46065.494444444441</v>
      </c>
      <c r="Y467" s="226"/>
      <c r="Z467" s="226" t="s">
        <v>1924</v>
      </c>
      <c r="AA467" s="226" t="s">
        <v>1156</v>
      </c>
      <c r="AB467" s="226"/>
      <c r="AC467" s="226"/>
      <c r="AD467" s="226" t="s">
        <v>1211</v>
      </c>
      <c r="AE467" s="226" t="s">
        <v>1500</v>
      </c>
    </row>
    <row r="468" spans="1:31">
      <c r="A468" s="226" t="s">
        <v>1242</v>
      </c>
      <c r="B468" s="226" t="s">
        <v>1123</v>
      </c>
      <c r="C468" s="226" t="s">
        <v>1195</v>
      </c>
      <c r="D468" s="226" t="s">
        <v>1243</v>
      </c>
      <c r="E468" s="226">
        <v>4317244</v>
      </c>
      <c r="F468" s="226">
        <v>4361808</v>
      </c>
      <c r="G468" s="226" t="s">
        <v>460</v>
      </c>
      <c r="H468" s="226" t="s">
        <v>218</v>
      </c>
      <c r="I468" s="226" t="s">
        <v>1923</v>
      </c>
      <c r="J468" s="226" t="s">
        <v>1127</v>
      </c>
      <c r="K468" s="227">
        <v>46093.104166666664</v>
      </c>
      <c r="L468" s="227">
        <v>46092.84652777778</v>
      </c>
      <c r="M468" s="227">
        <v>46097.229166666664</v>
      </c>
      <c r="N468" s="227">
        <v>46097.739583333336</v>
      </c>
      <c r="O468" s="226" t="s">
        <v>1214</v>
      </c>
      <c r="P468" s="227">
        <v>46109.229166666664</v>
      </c>
      <c r="Q468" s="226">
        <v>2</v>
      </c>
      <c r="R468" s="226"/>
      <c r="S468" s="226">
        <v>2</v>
      </c>
      <c r="T468" s="226"/>
      <c r="U468" s="226" t="s">
        <v>1</v>
      </c>
      <c r="V468" s="226" t="s">
        <v>1</v>
      </c>
      <c r="W468" s="226" t="s">
        <v>1198</v>
      </c>
      <c r="X468" s="227">
        <v>46064.017361111109</v>
      </c>
      <c r="Y468" s="226"/>
      <c r="Z468" s="226" t="s">
        <v>1924</v>
      </c>
      <c r="AA468" s="226" t="s">
        <v>1156</v>
      </c>
      <c r="AB468" s="226"/>
      <c r="AC468" s="226"/>
      <c r="AD468" s="226" t="s">
        <v>1245</v>
      </c>
      <c r="AE468" s="226" t="s">
        <v>1500</v>
      </c>
    </row>
    <row r="469" spans="1:31">
      <c r="A469" s="226" t="s">
        <v>1242</v>
      </c>
      <c r="B469" s="226" t="s">
        <v>1123</v>
      </c>
      <c r="C469" s="226" t="s">
        <v>1195</v>
      </c>
      <c r="D469" s="226" t="s">
        <v>1243</v>
      </c>
      <c r="E469" s="226">
        <v>4317244</v>
      </c>
      <c r="F469" s="226">
        <v>4361806</v>
      </c>
      <c r="G469" s="226" t="s">
        <v>458</v>
      </c>
      <c r="H469" s="226" t="s">
        <v>218</v>
      </c>
      <c r="I469" s="226" t="s">
        <v>1923</v>
      </c>
      <c r="J469" s="226" t="s">
        <v>1127</v>
      </c>
      <c r="K469" s="227">
        <v>46093.104166666664</v>
      </c>
      <c r="L469" s="227">
        <v>46092.820833333331</v>
      </c>
      <c r="M469" s="227">
        <v>46097.229166666664</v>
      </c>
      <c r="N469" s="227">
        <v>46099.030555555553</v>
      </c>
      <c r="O469" s="226" t="s">
        <v>1214</v>
      </c>
      <c r="P469" s="227">
        <v>46109.229166666664</v>
      </c>
      <c r="Q469" s="226">
        <v>2</v>
      </c>
      <c r="R469" s="226"/>
      <c r="S469" s="226">
        <v>2</v>
      </c>
      <c r="T469" s="226"/>
      <c r="U469" s="226" t="s">
        <v>1</v>
      </c>
      <c r="V469" s="226" t="s">
        <v>1</v>
      </c>
      <c r="W469" s="226" t="s">
        <v>1198</v>
      </c>
      <c r="X469" s="227">
        <v>46064.01666666667</v>
      </c>
      <c r="Y469" s="226"/>
      <c r="Z469" s="226" t="s">
        <v>1924</v>
      </c>
      <c r="AA469" s="226" t="s">
        <v>1156</v>
      </c>
      <c r="AB469" s="226"/>
      <c r="AC469" s="226"/>
      <c r="AD469" s="226" t="s">
        <v>1245</v>
      </c>
      <c r="AE469" s="226" t="s">
        <v>1500</v>
      </c>
    </row>
    <row r="470" spans="1:31">
      <c r="A470" s="226" t="s">
        <v>1931</v>
      </c>
      <c r="B470" s="226" t="s">
        <v>1093</v>
      </c>
      <c r="C470" s="226" t="s">
        <v>1486</v>
      </c>
      <c r="D470" s="226" t="s">
        <v>1486</v>
      </c>
      <c r="E470" s="226">
        <v>4349735</v>
      </c>
      <c r="F470" s="226">
        <v>4358329</v>
      </c>
      <c r="G470" s="226" t="s">
        <v>419</v>
      </c>
      <c r="H470" s="226" t="s">
        <v>866</v>
      </c>
      <c r="I470" s="226" t="s">
        <v>1923</v>
      </c>
      <c r="J470" s="226" t="s">
        <v>1868</v>
      </c>
      <c r="K470" s="227">
        <v>46092.104166666664</v>
      </c>
      <c r="L470" s="227">
        <v>46091.930555555555</v>
      </c>
      <c r="M470" s="227">
        <v>46098.229166666664</v>
      </c>
      <c r="N470" s="227">
        <v>46100.70416666667</v>
      </c>
      <c r="O470" s="226" t="s">
        <v>1932</v>
      </c>
      <c r="P470" s="227">
        <v>46109.229166666664</v>
      </c>
      <c r="Q470" s="226">
        <v>3</v>
      </c>
      <c r="R470" s="226"/>
      <c r="S470" s="226">
        <v>2</v>
      </c>
      <c r="T470" s="226"/>
      <c r="U470" s="226" t="s">
        <v>1</v>
      </c>
      <c r="V470" s="226" t="s">
        <v>1</v>
      </c>
      <c r="W470" s="226" t="s">
        <v>1601</v>
      </c>
      <c r="X470" s="227">
        <v>46062.681944444441</v>
      </c>
      <c r="Y470" s="226" t="s">
        <v>1918</v>
      </c>
      <c r="Z470" s="226" t="s">
        <v>1924</v>
      </c>
      <c r="AA470" s="226" t="s">
        <v>1933</v>
      </c>
      <c r="AB470" s="226"/>
      <c r="AC470" s="226"/>
      <c r="AD470" s="226" t="s">
        <v>1934</v>
      </c>
      <c r="AE470" s="226" t="s">
        <v>1500</v>
      </c>
    </row>
    <row r="471" spans="1:31">
      <c r="A471" s="226" t="s">
        <v>1935</v>
      </c>
      <c r="B471" s="226" t="s">
        <v>1123</v>
      </c>
      <c r="C471" s="226" t="s">
        <v>1195</v>
      </c>
      <c r="D471" s="226" t="s">
        <v>1936</v>
      </c>
      <c r="E471" s="226">
        <v>4174547</v>
      </c>
      <c r="F471" s="226">
        <v>4174533</v>
      </c>
      <c r="G471" s="226" t="s">
        <v>184</v>
      </c>
      <c r="H471" s="226" t="s">
        <v>866</v>
      </c>
      <c r="I471" s="226" t="s">
        <v>1923</v>
      </c>
      <c r="J471" s="226" t="s">
        <v>1287</v>
      </c>
      <c r="K471" s="227">
        <v>46095.104166666664</v>
      </c>
      <c r="L471" s="227">
        <v>46094.9375</v>
      </c>
      <c r="M471" s="227"/>
      <c r="N471" s="227"/>
      <c r="O471" s="226" t="s">
        <v>1339</v>
      </c>
      <c r="P471" s="227">
        <v>46109.229166666664</v>
      </c>
      <c r="Q471" s="226">
        <v>5</v>
      </c>
      <c r="R471" s="226"/>
      <c r="S471" s="226">
        <v>2</v>
      </c>
      <c r="T471" s="226"/>
      <c r="U471" s="226" t="s">
        <v>1</v>
      </c>
      <c r="V471" s="226" t="s">
        <v>1</v>
      </c>
      <c r="W471" s="226" t="s">
        <v>1268</v>
      </c>
      <c r="X471" s="227">
        <v>45947.536111111112</v>
      </c>
      <c r="Y471" s="226" t="s">
        <v>1137</v>
      </c>
      <c r="Z471" s="226" t="s">
        <v>1924</v>
      </c>
      <c r="AA471" s="226" t="s">
        <v>1156</v>
      </c>
      <c r="AB471" s="226"/>
      <c r="AC471" s="226"/>
      <c r="AD471" s="226" t="s">
        <v>1936</v>
      </c>
      <c r="AE471" s="226" t="s">
        <v>1500</v>
      </c>
    </row>
    <row r="472" spans="1:31">
      <c r="A472" s="226" t="s">
        <v>1937</v>
      </c>
      <c r="B472" s="226" t="s">
        <v>1093</v>
      </c>
      <c r="C472" s="226" t="s">
        <v>1375</v>
      </c>
      <c r="D472" s="226" t="s">
        <v>1526</v>
      </c>
      <c r="E472" s="226">
        <v>4275381</v>
      </c>
      <c r="F472" s="226">
        <v>4275371</v>
      </c>
      <c r="G472" s="226" t="s">
        <v>330</v>
      </c>
      <c r="H472" s="226" t="s">
        <v>218</v>
      </c>
      <c r="I472" s="226" t="s">
        <v>1938</v>
      </c>
      <c r="J472" s="226" t="s">
        <v>1152</v>
      </c>
      <c r="K472" s="227">
        <v>46092.229166666664</v>
      </c>
      <c r="L472" s="227">
        <v>46087.229166666664</v>
      </c>
      <c r="M472" s="227">
        <v>46097.229166666664</v>
      </c>
      <c r="N472" s="227">
        <v>46098.823611111111</v>
      </c>
      <c r="O472" s="226" t="s">
        <v>1214</v>
      </c>
      <c r="P472" s="227">
        <v>46109.229166666664</v>
      </c>
      <c r="Q472" s="226">
        <v>5</v>
      </c>
      <c r="R472" s="226"/>
      <c r="S472" s="226">
        <v>2</v>
      </c>
      <c r="T472" s="226"/>
      <c r="U472" s="226" t="s">
        <v>1</v>
      </c>
      <c r="V472" s="226" t="s">
        <v>1</v>
      </c>
      <c r="W472" s="226" t="s">
        <v>1379</v>
      </c>
      <c r="X472" s="227">
        <v>46000.793055555558</v>
      </c>
      <c r="Y472" s="226" t="s">
        <v>1939</v>
      </c>
      <c r="Z472" s="226" t="s">
        <v>1940</v>
      </c>
      <c r="AA472" s="226" t="s">
        <v>1667</v>
      </c>
      <c r="AB472" s="226"/>
      <c r="AC472" s="226"/>
      <c r="AD472" s="226" t="s">
        <v>1941</v>
      </c>
      <c r="AE472" s="226" t="s">
        <v>1383</v>
      </c>
    </row>
    <row r="473" spans="1:31">
      <c r="A473" s="226" t="s">
        <v>1942</v>
      </c>
      <c r="B473" s="226" t="s">
        <v>1194</v>
      </c>
      <c r="C473" s="226" t="s">
        <v>1195</v>
      </c>
      <c r="D473" s="226" t="s">
        <v>1195</v>
      </c>
      <c r="E473" s="226">
        <v>4331001</v>
      </c>
      <c r="F473" s="226">
        <v>4328732</v>
      </c>
      <c r="G473" s="226" t="s">
        <v>1943</v>
      </c>
      <c r="H473" s="226" t="s">
        <v>866</v>
      </c>
      <c r="I473" s="226" t="s">
        <v>1944</v>
      </c>
      <c r="J473" s="226" t="s">
        <v>1287</v>
      </c>
      <c r="K473" s="227">
        <v>46092.020833333336</v>
      </c>
      <c r="L473" s="227">
        <v>46092.658333333333</v>
      </c>
      <c r="M473" s="227"/>
      <c r="N473" s="226"/>
      <c r="O473" s="226" t="s">
        <v>1339</v>
      </c>
      <c r="P473" s="227">
        <v>46109.229166666664</v>
      </c>
      <c r="Q473" s="226">
        <v>8</v>
      </c>
      <c r="R473" s="226"/>
      <c r="S473" s="226">
        <v>2</v>
      </c>
      <c r="T473" s="226"/>
      <c r="U473" s="226" t="s">
        <v>1</v>
      </c>
      <c r="V473" s="226" t="s">
        <v>1</v>
      </c>
      <c r="W473" s="226" t="s">
        <v>1198</v>
      </c>
      <c r="X473" s="227">
        <v>46041.058333333334</v>
      </c>
      <c r="Y473" s="226" t="s">
        <v>1137</v>
      </c>
      <c r="Z473" s="226" t="s">
        <v>1945</v>
      </c>
      <c r="AA473" s="226" t="s">
        <v>1156</v>
      </c>
      <c r="AB473" s="226"/>
      <c r="AC473" s="226"/>
      <c r="AD473" s="226" t="s">
        <v>1946</v>
      </c>
      <c r="AE473" s="226" t="s">
        <v>1202</v>
      </c>
    </row>
    <row r="474" spans="1:31">
      <c r="A474" s="226" t="s">
        <v>1942</v>
      </c>
      <c r="B474" s="226" t="s">
        <v>1194</v>
      </c>
      <c r="C474" s="226" t="s">
        <v>1195</v>
      </c>
      <c r="D474" s="226" t="s">
        <v>1947</v>
      </c>
      <c r="E474" s="226">
        <v>4331001</v>
      </c>
      <c r="F474" s="226">
        <v>4372603</v>
      </c>
      <c r="G474" s="226" t="s">
        <v>1948</v>
      </c>
      <c r="H474" s="226" t="s">
        <v>866</v>
      </c>
      <c r="I474" s="226" t="s">
        <v>1944</v>
      </c>
      <c r="J474" s="226" t="s">
        <v>1287</v>
      </c>
      <c r="K474" s="227">
        <v>46092.020833333336</v>
      </c>
      <c r="L474" s="227">
        <v>46091.0625</v>
      </c>
      <c r="M474" s="227"/>
      <c r="N474" s="227"/>
      <c r="O474" s="226" t="s">
        <v>1949</v>
      </c>
      <c r="P474" s="227">
        <v>46109.229166666664</v>
      </c>
      <c r="Q474" s="226">
        <v>8</v>
      </c>
      <c r="R474" s="226"/>
      <c r="S474" s="226">
        <v>2</v>
      </c>
      <c r="T474" s="226"/>
      <c r="U474" s="226" t="s">
        <v>1</v>
      </c>
      <c r="V474" s="226" t="s">
        <v>1</v>
      </c>
      <c r="W474" s="226" t="s">
        <v>1198</v>
      </c>
      <c r="X474" s="227">
        <v>46071.538888888892</v>
      </c>
      <c r="Y474" s="226" t="s">
        <v>1137</v>
      </c>
      <c r="Z474" s="226" t="s">
        <v>1945</v>
      </c>
      <c r="AA474" s="226" t="s">
        <v>1156</v>
      </c>
      <c r="AB474" s="226"/>
      <c r="AC474" s="226"/>
      <c r="AD474" s="226" t="s">
        <v>1950</v>
      </c>
      <c r="AE474" s="226" t="s">
        <v>1202</v>
      </c>
    </row>
    <row r="475" spans="1:31">
      <c r="A475" s="102"/>
      <c r="B475" s="102"/>
      <c r="C475" s="102"/>
      <c r="D475" s="102"/>
      <c r="E475" s="102"/>
      <c r="F475" s="102"/>
      <c r="G475" s="102"/>
      <c r="H475" s="102"/>
      <c r="I475" s="102"/>
      <c r="J475" s="102"/>
      <c r="K475" s="103"/>
      <c r="L475" s="103"/>
      <c r="M475" s="103"/>
      <c r="N475" s="102"/>
      <c r="O475" s="102"/>
      <c r="P475" s="103"/>
      <c r="Q475" s="102"/>
      <c r="R475" s="102"/>
      <c r="S475" s="102"/>
      <c r="T475" s="102"/>
      <c r="U475" s="102"/>
      <c r="V475" s="102"/>
      <c r="W475" s="102"/>
      <c r="X475" s="103"/>
      <c r="Y475" s="102"/>
      <c r="Z475" s="102"/>
      <c r="AA475" s="102"/>
      <c r="AB475" s="102"/>
      <c r="AC475" s="102"/>
      <c r="AD475" s="102"/>
      <c r="AE475" s="102"/>
    </row>
    <row r="476" spans="1:31">
      <c r="A476" s="102"/>
      <c r="B476" s="102"/>
      <c r="C476" s="102"/>
      <c r="D476" s="102"/>
      <c r="E476" s="102"/>
      <c r="F476" s="102"/>
      <c r="G476" s="102"/>
      <c r="H476" s="102"/>
      <c r="I476" s="102"/>
      <c r="J476" s="102"/>
      <c r="K476" s="103"/>
      <c r="L476" s="102"/>
      <c r="M476" s="103"/>
      <c r="N476" s="102"/>
      <c r="O476" s="102"/>
      <c r="P476" s="103"/>
      <c r="Q476" s="102"/>
      <c r="R476" s="102"/>
      <c r="S476" s="102"/>
      <c r="T476" s="102"/>
      <c r="U476" s="102"/>
      <c r="V476" s="102"/>
      <c r="W476" s="102"/>
      <c r="X476" s="103"/>
      <c r="Y476" s="102"/>
      <c r="Z476" s="102"/>
      <c r="AA476" s="102"/>
      <c r="AB476" s="102"/>
      <c r="AC476" s="102"/>
      <c r="AD476" s="102"/>
      <c r="AE476" s="102"/>
    </row>
    <row r="477" spans="1:31">
      <c r="A477" s="102"/>
      <c r="B477" s="102"/>
      <c r="C477" s="102"/>
      <c r="D477" s="102"/>
      <c r="E477" s="102"/>
      <c r="F477" s="102"/>
      <c r="G477" s="102"/>
      <c r="H477" s="102"/>
      <c r="I477" s="102"/>
      <c r="J477" s="102"/>
      <c r="K477" s="103"/>
      <c r="L477" s="102"/>
      <c r="M477" s="103"/>
      <c r="N477" s="102"/>
      <c r="O477" s="102"/>
      <c r="P477" s="103"/>
      <c r="Q477" s="102"/>
      <c r="R477" s="102"/>
      <c r="S477" s="102"/>
      <c r="T477" s="102"/>
      <c r="U477" s="102"/>
      <c r="V477" s="102"/>
      <c r="W477" s="102"/>
      <c r="X477" s="103"/>
      <c r="Y477" s="102"/>
      <c r="Z477" s="102"/>
      <c r="AA477" s="102"/>
      <c r="AB477" s="102"/>
      <c r="AC477" s="102"/>
      <c r="AD477" s="102"/>
      <c r="AE477" s="102"/>
    </row>
    <row r="478" spans="1:31">
      <c r="A478" s="102"/>
      <c r="B478" s="102"/>
      <c r="C478" s="102"/>
      <c r="D478" s="102"/>
      <c r="E478" s="102"/>
      <c r="F478" s="102"/>
      <c r="G478" s="102"/>
      <c r="H478" s="102"/>
      <c r="I478" s="102"/>
      <c r="J478" s="102"/>
      <c r="K478" s="103"/>
      <c r="L478" s="102"/>
      <c r="M478" s="102"/>
      <c r="N478" s="102"/>
      <c r="O478" s="102"/>
      <c r="P478" s="103"/>
      <c r="Q478" s="102"/>
      <c r="R478" s="102"/>
      <c r="S478" s="102"/>
      <c r="T478" s="102"/>
      <c r="U478" s="102"/>
      <c r="V478" s="102"/>
      <c r="W478" s="102"/>
      <c r="X478" s="103"/>
      <c r="Y478" s="102"/>
      <c r="Z478" s="102"/>
      <c r="AA478" s="102"/>
      <c r="AB478" s="102"/>
      <c r="AC478" s="102"/>
      <c r="AD478" s="102"/>
      <c r="AE478" s="102"/>
    </row>
    <row r="479" spans="1:31">
      <c r="A479" s="102"/>
      <c r="B479" s="102"/>
      <c r="C479" s="102"/>
      <c r="D479" s="102"/>
      <c r="E479" s="102"/>
      <c r="F479" s="102"/>
      <c r="G479" s="102"/>
      <c r="H479" s="102"/>
      <c r="I479" s="102"/>
      <c r="J479" s="102"/>
      <c r="K479" s="103"/>
      <c r="L479" s="102"/>
      <c r="M479" s="102"/>
      <c r="N479" s="102"/>
      <c r="O479" s="102"/>
      <c r="P479" s="103"/>
      <c r="Q479" s="102"/>
      <c r="R479" s="102"/>
      <c r="S479" s="102"/>
      <c r="T479" s="102"/>
      <c r="U479" s="102"/>
      <c r="V479" s="102"/>
      <c r="W479" s="102"/>
      <c r="X479" s="103"/>
      <c r="Y479" s="102"/>
      <c r="Z479" s="102"/>
      <c r="AA479" s="102"/>
      <c r="AB479" s="102"/>
      <c r="AC479" s="102"/>
      <c r="AD479" s="102"/>
      <c r="AE479" s="102"/>
    </row>
    <row r="480" spans="1:31">
      <c r="A480" s="102"/>
      <c r="B480" s="102"/>
      <c r="C480" s="102"/>
      <c r="D480" s="102"/>
      <c r="E480" s="102"/>
      <c r="F480" s="102"/>
      <c r="G480" s="102"/>
      <c r="H480" s="102"/>
      <c r="I480" s="102"/>
      <c r="J480" s="102"/>
      <c r="K480" s="103"/>
      <c r="L480" s="102"/>
      <c r="M480" s="103"/>
      <c r="N480" s="102"/>
      <c r="O480" s="102"/>
      <c r="P480" s="103"/>
      <c r="Q480" s="102"/>
      <c r="R480" s="102"/>
      <c r="S480" s="102"/>
      <c r="T480" s="102"/>
      <c r="U480" s="102"/>
      <c r="V480" s="102"/>
      <c r="W480" s="102"/>
      <c r="X480" s="103"/>
      <c r="Y480" s="102"/>
      <c r="Z480" s="102"/>
      <c r="AA480" s="102"/>
      <c r="AB480" s="102"/>
      <c r="AC480" s="102"/>
      <c r="AD480" s="102"/>
      <c r="AE480" s="102"/>
    </row>
    <row r="481" spans="1:31">
      <c r="A481" s="102"/>
      <c r="B481" s="102"/>
      <c r="C481" s="102"/>
      <c r="D481" s="102"/>
      <c r="E481" s="102"/>
      <c r="F481" s="102"/>
      <c r="G481" s="102"/>
      <c r="H481" s="102"/>
      <c r="I481" s="102"/>
      <c r="J481" s="102"/>
      <c r="K481" s="103"/>
      <c r="L481" s="102"/>
      <c r="M481" s="103"/>
      <c r="N481" s="102"/>
      <c r="O481" s="102"/>
      <c r="P481" s="103"/>
      <c r="Q481" s="102"/>
      <c r="R481" s="102"/>
      <c r="S481" s="102"/>
      <c r="T481" s="102"/>
      <c r="U481" s="102"/>
      <c r="V481" s="102"/>
      <c r="W481" s="102"/>
      <c r="X481" s="103"/>
      <c r="Y481" s="102"/>
      <c r="Z481" s="102"/>
      <c r="AA481" s="102"/>
      <c r="AB481" s="102"/>
      <c r="AC481" s="102"/>
      <c r="AD481" s="102"/>
      <c r="AE481" s="102"/>
    </row>
    <row r="482" spans="1:31">
      <c r="A482" s="102"/>
      <c r="B482" s="102"/>
      <c r="C482" s="102"/>
      <c r="D482" s="102"/>
      <c r="E482" s="102"/>
      <c r="F482" s="102"/>
      <c r="G482" s="102"/>
      <c r="H482" s="102"/>
      <c r="I482" s="102"/>
      <c r="J482" s="102"/>
      <c r="K482" s="103"/>
      <c r="L482" s="102"/>
      <c r="M482" s="103"/>
      <c r="N482" s="102"/>
      <c r="O482" s="102"/>
      <c r="P482" s="103"/>
      <c r="Q482" s="102"/>
      <c r="R482" s="102"/>
      <c r="S482" s="102"/>
      <c r="T482" s="102"/>
      <c r="U482" s="102"/>
      <c r="V482" s="102"/>
      <c r="W482" s="102"/>
      <c r="X482" s="103"/>
      <c r="Y482" s="102"/>
      <c r="Z482" s="102"/>
      <c r="AA482" s="102"/>
      <c r="AB482" s="102"/>
      <c r="AC482" s="102"/>
      <c r="AD482" s="102"/>
      <c r="AE482" s="102"/>
    </row>
    <row r="483" spans="1:31">
      <c r="A483" s="102"/>
      <c r="B483" s="102"/>
      <c r="C483" s="102"/>
      <c r="D483" s="102"/>
      <c r="E483" s="102"/>
      <c r="F483" s="102"/>
      <c r="G483" s="102"/>
      <c r="H483" s="102"/>
      <c r="I483" s="102"/>
      <c r="J483" s="102"/>
      <c r="K483" s="103"/>
      <c r="L483" s="102"/>
      <c r="M483" s="103"/>
      <c r="N483" s="102"/>
      <c r="O483" s="102"/>
      <c r="P483" s="103"/>
      <c r="Q483" s="102"/>
      <c r="R483" s="102"/>
      <c r="S483" s="102"/>
      <c r="T483" s="102"/>
      <c r="U483" s="102"/>
      <c r="V483" s="102"/>
      <c r="W483" s="102"/>
      <c r="X483" s="103"/>
      <c r="Y483" s="102"/>
      <c r="Z483" s="102"/>
      <c r="AA483" s="102"/>
      <c r="AB483" s="102"/>
      <c r="AC483" s="102"/>
      <c r="AD483" s="102"/>
      <c r="AE483" s="102"/>
    </row>
    <row r="484" spans="1:31">
      <c r="A484" s="102"/>
      <c r="B484" s="102"/>
      <c r="C484" s="102"/>
      <c r="D484" s="102"/>
      <c r="E484" s="102"/>
      <c r="F484" s="102"/>
      <c r="G484" s="102"/>
      <c r="H484" s="102"/>
      <c r="I484" s="102"/>
      <c r="J484" s="102"/>
      <c r="K484" s="103"/>
      <c r="L484" s="102"/>
      <c r="M484" s="102"/>
      <c r="N484" s="102"/>
      <c r="O484" s="102"/>
      <c r="P484" s="103"/>
      <c r="Q484" s="102"/>
      <c r="R484" s="102"/>
      <c r="S484" s="102"/>
      <c r="T484" s="102"/>
      <c r="U484" s="102"/>
      <c r="V484" s="102"/>
      <c r="W484" s="102"/>
      <c r="X484" s="103"/>
      <c r="Y484" s="102"/>
      <c r="Z484" s="102"/>
      <c r="AA484" s="102"/>
      <c r="AB484" s="102"/>
      <c r="AC484" s="102"/>
      <c r="AD484" s="102"/>
      <c r="AE484" s="102"/>
    </row>
    <row r="485" spans="1:31">
      <c r="A485" s="102"/>
      <c r="B485" s="102"/>
      <c r="C485" s="102"/>
      <c r="D485" s="102"/>
      <c r="E485" s="102"/>
      <c r="F485" s="102"/>
      <c r="G485" s="102"/>
      <c r="H485" s="102"/>
      <c r="I485" s="102"/>
      <c r="J485" s="102"/>
      <c r="K485" s="103"/>
      <c r="L485" s="102"/>
      <c r="M485" s="103"/>
      <c r="N485" s="102"/>
      <c r="O485" s="102"/>
      <c r="P485" s="103"/>
      <c r="Q485" s="102"/>
      <c r="R485" s="102"/>
      <c r="S485" s="102"/>
      <c r="T485" s="102"/>
      <c r="U485" s="102"/>
      <c r="V485" s="102"/>
      <c r="W485" s="102"/>
      <c r="X485" s="103"/>
      <c r="Y485" s="102"/>
      <c r="Z485" s="102"/>
      <c r="AA485" s="102"/>
      <c r="AB485" s="102"/>
      <c r="AC485" s="102"/>
      <c r="AD485" s="102"/>
      <c r="AE485" s="102"/>
    </row>
    <row r="486" spans="1:31">
      <c r="A486" s="102"/>
      <c r="B486" s="102"/>
      <c r="C486" s="102"/>
      <c r="D486" s="102"/>
      <c r="E486" s="102"/>
      <c r="F486" s="102"/>
      <c r="G486" s="102"/>
      <c r="H486" s="102"/>
      <c r="I486" s="102"/>
      <c r="J486" s="102"/>
      <c r="K486" s="103"/>
      <c r="L486" s="102"/>
      <c r="M486" s="103"/>
      <c r="N486" s="102"/>
      <c r="O486" s="102"/>
      <c r="P486" s="103"/>
      <c r="Q486" s="102"/>
      <c r="R486" s="102"/>
      <c r="S486" s="102"/>
      <c r="T486" s="102"/>
      <c r="U486" s="102"/>
      <c r="V486" s="102"/>
      <c r="W486" s="102"/>
      <c r="X486" s="103"/>
      <c r="Y486" s="102"/>
      <c r="Z486" s="102"/>
      <c r="AA486" s="102"/>
      <c r="AB486" s="102"/>
      <c r="AC486" s="102"/>
      <c r="AD486" s="102"/>
      <c r="AE486" s="102"/>
    </row>
    <row r="487" spans="1:31">
      <c r="A487" s="102"/>
      <c r="B487" s="102"/>
      <c r="C487" s="102"/>
      <c r="D487" s="102"/>
      <c r="E487" s="102"/>
      <c r="F487" s="102"/>
      <c r="G487" s="102"/>
      <c r="H487" s="102"/>
      <c r="I487" s="102"/>
      <c r="J487" s="102"/>
      <c r="K487" s="103"/>
      <c r="L487" s="102"/>
      <c r="M487" s="103"/>
      <c r="N487" s="102"/>
      <c r="O487" s="102"/>
      <c r="P487" s="103"/>
      <c r="Q487" s="102"/>
      <c r="R487" s="102"/>
      <c r="S487" s="102"/>
      <c r="T487" s="102"/>
      <c r="U487" s="102"/>
      <c r="V487" s="102"/>
      <c r="W487" s="102"/>
      <c r="X487" s="103"/>
      <c r="Y487" s="102"/>
      <c r="Z487" s="102"/>
      <c r="AA487" s="102"/>
      <c r="AB487" s="102"/>
      <c r="AC487" s="102"/>
      <c r="AD487" s="102"/>
      <c r="AE487" s="102"/>
    </row>
    <row r="488" spans="1:31">
      <c r="A488" s="102"/>
      <c r="B488" s="102"/>
      <c r="C488" s="102"/>
      <c r="D488" s="102"/>
      <c r="E488" s="102"/>
      <c r="F488" s="102"/>
      <c r="G488" s="102"/>
      <c r="H488" s="102"/>
      <c r="I488" s="102"/>
      <c r="J488" s="102"/>
      <c r="K488" s="103"/>
      <c r="L488" s="102"/>
      <c r="M488" s="103"/>
      <c r="N488" s="102"/>
      <c r="O488" s="102"/>
      <c r="P488" s="103"/>
      <c r="Q488" s="102"/>
      <c r="R488" s="102"/>
      <c r="S488" s="102"/>
      <c r="T488" s="102"/>
      <c r="U488" s="102"/>
      <c r="V488" s="102"/>
      <c r="W488" s="102"/>
      <c r="X488" s="103"/>
      <c r="Y488" s="102"/>
      <c r="Z488" s="102"/>
      <c r="AA488" s="102"/>
      <c r="AB488" s="102"/>
      <c r="AC488" s="102"/>
      <c r="AD488" s="102"/>
      <c r="AE488" s="102"/>
    </row>
    <row r="489" spans="1:31">
      <c r="A489" s="102"/>
      <c r="B489" s="102"/>
      <c r="C489" s="102"/>
      <c r="D489" s="102"/>
      <c r="E489" s="102"/>
      <c r="F489" s="102"/>
      <c r="G489" s="102"/>
      <c r="H489" s="102"/>
      <c r="I489" s="102"/>
      <c r="J489" s="102"/>
      <c r="K489" s="103"/>
      <c r="L489" s="102"/>
      <c r="M489" s="102"/>
      <c r="N489" s="102"/>
      <c r="O489" s="102"/>
      <c r="P489" s="103"/>
      <c r="Q489" s="102"/>
      <c r="R489" s="102"/>
      <c r="S489" s="102"/>
      <c r="T489" s="102"/>
      <c r="U489" s="102"/>
      <c r="V489" s="102"/>
      <c r="W489" s="102"/>
      <c r="X489" s="103"/>
      <c r="Y489" s="102"/>
      <c r="Z489" s="102"/>
      <c r="AA489" s="102"/>
      <c r="AB489" s="102"/>
      <c r="AC489" s="102"/>
      <c r="AD489" s="102"/>
      <c r="AE489" s="102"/>
    </row>
    <row r="490" spans="1:31">
      <c r="A490" s="102"/>
      <c r="B490" s="102"/>
      <c r="C490" s="102"/>
      <c r="D490" s="102"/>
      <c r="E490" s="102"/>
      <c r="F490" s="102"/>
      <c r="G490" s="102"/>
      <c r="H490" s="102"/>
      <c r="I490" s="102"/>
      <c r="J490" s="102"/>
      <c r="K490" s="103"/>
      <c r="L490" s="102"/>
      <c r="M490" s="103"/>
      <c r="N490" s="102"/>
      <c r="O490" s="102"/>
      <c r="P490" s="103"/>
      <c r="Q490" s="102"/>
      <c r="R490" s="102"/>
      <c r="S490" s="102"/>
      <c r="T490" s="102"/>
      <c r="U490" s="102"/>
      <c r="V490" s="102"/>
      <c r="W490" s="102"/>
      <c r="X490" s="103"/>
      <c r="Y490" s="102"/>
      <c r="Z490" s="102"/>
      <c r="AA490" s="102"/>
      <c r="AB490" s="102"/>
      <c r="AC490" s="102"/>
      <c r="AD490" s="102"/>
      <c r="AE490" s="102"/>
    </row>
    <row r="491" spans="1:31">
      <c r="A491" s="102"/>
      <c r="B491" s="102"/>
      <c r="C491" s="102"/>
      <c r="D491" s="102"/>
      <c r="E491" s="102"/>
      <c r="F491" s="102"/>
      <c r="G491" s="102"/>
      <c r="H491" s="102"/>
      <c r="I491" s="102"/>
      <c r="J491" s="102"/>
      <c r="K491" s="103"/>
      <c r="L491" s="102"/>
      <c r="M491" s="103"/>
      <c r="N491" s="102"/>
      <c r="O491" s="102"/>
      <c r="P491" s="103"/>
      <c r="Q491" s="102"/>
      <c r="R491" s="102"/>
      <c r="S491" s="102"/>
      <c r="T491" s="102"/>
      <c r="U491" s="102"/>
      <c r="V491" s="102"/>
      <c r="W491" s="102"/>
      <c r="X491" s="103"/>
      <c r="Y491" s="102"/>
      <c r="Z491" s="102"/>
      <c r="AA491" s="102"/>
      <c r="AB491" s="102"/>
      <c r="AC491" s="102"/>
      <c r="AD491" s="102"/>
      <c r="AE491" s="102"/>
    </row>
    <row r="492" spans="1:31">
      <c r="A492" s="102"/>
      <c r="B492" s="102"/>
      <c r="C492" s="102"/>
      <c r="D492" s="102"/>
      <c r="E492" s="102"/>
      <c r="F492" s="102"/>
      <c r="G492" s="102"/>
      <c r="H492" s="102"/>
      <c r="I492" s="102"/>
      <c r="J492" s="102"/>
      <c r="K492" s="103"/>
      <c r="L492" s="102"/>
      <c r="M492" s="103"/>
      <c r="N492" s="102"/>
      <c r="O492" s="102"/>
      <c r="P492" s="103"/>
      <c r="Q492" s="102"/>
      <c r="R492" s="102"/>
      <c r="S492" s="102"/>
      <c r="T492" s="102"/>
      <c r="U492" s="102"/>
      <c r="V492" s="102"/>
      <c r="W492" s="102"/>
      <c r="X492" s="103"/>
      <c r="Y492" s="102"/>
      <c r="Z492" s="102"/>
      <c r="AA492" s="102"/>
      <c r="AB492" s="102"/>
      <c r="AC492" s="102"/>
      <c r="AD492" s="102"/>
      <c r="AE492" s="102"/>
    </row>
    <row r="493" spans="1:31">
      <c r="A493" s="102"/>
      <c r="B493" s="102"/>
      <c r="C493" s="102"/>
      <c r="D493" s="102"/>
      <c r="E493" s="102"/>
      <c r="F493" s="102"/>
      <c r="G493" s="102"/>
      <c r="H493" s="102"/>
      <c r="I493" s="102"/>
      <c r="J493" s="102"/>
      <c r="K493" s="103"/>
      <c r="L493" s="102"/>
      <c r="M493" s="103"/>
      <c r="N493" s="102"/>
      <c r="O493" s="102"/>
      <c r="P493" s="103"/>
      <c r="Q493" s="102"/>
      <c r="R493" s="102"/>
      <c r="S493" s="102"/>
      <c r="T493" s="102"/>
      <c r="U493" s="102"/>
      <c r="V493" s="102"/>
      <c r="W493" s="102"/>
      <c r="X493" s="103"/>
      <c r="Y493" s="102"/>
      <c r="Z493" s="102"/>
      <c r="AA493" s="102"/>
      <c r="AB493" s="102"/>
      <c r="AC493" s="102"/>
      <c r="AD493" s="102"/>
      <c r="AE493" s="102"/>
    </row>
    <row r="494" spans="1:31">
      <c r="A494" s="102"/>
      <c r="B494" s="102"/>
      <c r="C494" s="102"/>
      <c r="D494" s="102"/>
      <c r="E494" s="102"/>
      <c r="F494" s="102"/>
      <c r="G494" s="102"/>
      <c r="H494" s="102"/>
      <c r="I494" s="102"/>
      <c r="J494" s="102"/>
      <c r="K494" s="103"/>
      <c r="L494" s="102"/>
      <c r="M494" s="103"/>
      <c r="N494" s="102"/>
      <c r="O494" s="102"/>
      <c r="P494" s="103"/>
      <c r="Q494" s="102"/>
      <c r="R494" s="102"/>
      <c r="S494" s="102"/>
      <c r="T494" s="102"/>
      <c r="U494" s="102"/>
      <c r="V494" s="102"/>
      <c r="W494" s="102"/>
      <c r="X494" s="103"/>
      <c r="Y494" s="102"/>
      <c r="Z494" s="102"/>
      <c r="AA494" s="102"/>
      <c r="AB494" s="102"/>
      <c r="AC494" s="102"/>
      <c r="AD494" s="102"/>
      <c r="AE494" s="102"/>
    </row>
    <row r="495" spans="1:31">
      <c r="A495" s="102"/>
      <c r="B495" s="102"/>
      <c r="C495" s="102"/>
      <c r="D495" s="102"/>
      <c r="E495" s="102"/>
      <c r="F495" s="102"/>
      <c r="G495" s="102"/>
      <c r="H495" s="102"/>
      <c r="I495" s="102"/>
      <c r="J495" s="102"/>
      <c r="K495" s="103"/>
      <c r="L495" s="102"/>
      <c r="M495" s="103"/>
      <c r="N495" s="102"/>
      <c r="O495" s="102"/>
      <c r="P495" s="103"/>
      <c r="Q495" s="102"/>
      <c r="R495" s="102"/>
      <c r="S495" s="102"/>
      <c r="T495" s="102"/>
      <c r="U495" s="102"/>
      <c r="V495" s="102"/>
      <c r="W495" s="102"/>
      <c r="X495" s="103"/>
      <c r="Y495" s="102"/>
      <c r="Z495" s="102"/>
      <c r="AA495" s="102"/>
      <c r="AB495" s="102"/>
      <c r="AC495" s="102"/>
      <c r="AD495" s="102"/>
      <c r="AE495" s="102"/>
    </row>
    <row r="496" spans="1:31">
      <c r="A496" s="102"/>
      <c r="B496" s="102"/>
      <c r="C496" s="102"/>
      <c r="D496" s="102"/>
      <c r="E496" s="102"/>
      <c r="F496" s="102"/>
      <c r="G496" s="102"/>
      <c r="H496" s="102"/>
      <c r="I496" s="102"/>
      <c r="J496" s="102"/>
      <c r="K496" s="103"/>
      <c r="L496" s="102"/>
      <c r="M496" s="103"/>
      <c r="N496" s="102"/>
      <c r="O496" s="102"/>
      <c r="P496" s="103"/>
      <c r="Q496" s="102"/>
      <c r="R496" s="102"/>
      <c r="S496" s="102"/>
      <c r="T496" s="102"/>
      <c r="U496" s="102"/>
      <c r="V496" s="102"/>
      <c r="W496" s="102"/>
      <c r="X496" s="103"/>
      <c r="Y496" s="102"/>
      <c r="Z496" s="102"/>
      <c r="AA496" s="102"/>
      <c r="AB496" s="102"/>
      <c r="AC496" s="102"/>
      <c r="AD496" s="102"/>
      <c r="AE496" s="102"/>
    </row>
    <row r="497" spans="1:31">
      <c r="A497" s="102"/>
      <c r="B497" s="102"/>
      <c r="C497" s="102"/>
      <c r="D497" s="102"/>
      <c r="E497" s="102"/>
      <c r="F497" s="102"/>
      <c r="G497" s="102"/>
      <c r="H497" s="102"/>
      <c r="I497" s="102"/>
      <c r="J497" s="102"/>
      <c r="K497" s="103"/>
      <c r="L497" s="102"/>
      <c r="M497" s="103"/>
      <c r="N497" s="102"/>
      <c r="O497" s="102"/>
      <c r="P497" s="103"/>
      <c r="Q497" s="102"/>
      <c r="R497" s="102"/>
      <c r="S497" s="102"/>
      <c r="T497" s="102"/>
      <c r="U497" s="102"/>
      <c r="V497" s="102"/>
      <c r="W497" s="102"/>
      <c r="X497" s="103"/>
      <c r="Y497" s="102"/>
      <c r="Z497" s="102"/>
      <c r="AA497" s="102"/>
      <c r="AB497" s="102"/>
      <c r="AC497" s="102"/>
      <c r="AD497" s="102"/>
      <c r="AE497" s="102"/>
    </row>
    <row r="498" spans="1:31">
      <c r="A498" s="102"/>
      <c r="B498" s="102"/>
      <c r="C498" s="102"/>
      <c r="D498" s="102"/>
      <c r="E498" s="102"/>
      <c r="F498" s="102"/>
      <c r="G498" s="102"/>
      <c r="H498" s="102"/>
      <c r="I498" s="102"/>
      <c r="J498" s="102"/>
      <c r="K498" s="103"/>
      <c r="L498" s="102"/>
      <c r="M498" s="103"/>
      <c r="N498" s="102"/>
      <c r="O498" s="102"/>
      <c r="P498" s="103"/>
      <c r="Q498" s="102"/>
      <c r="R498" s="102"/>
      <c r="S498" s="102"/>
      <c r="T498" s="102"/>
      <c r="U498" s="102"/>
      <c r="V498" s="102"/>
      <c r="W498" s="102"/>
      <c r="X498" s="103"/>
      <c r="Y498" s="102"/>
      <c r="Z498" s="102"/>
      <c r="AA498" s="102"/>
      <c r="AB498" s="102"/>
      <c r="AC498" s="102"/>
      <c r="AD498" s="102"/>
      <c r="AE498" s="102"/>
    </row>
    <row r="499" spans="1:31">
      <c r="A499" s="102"/>
      <c r="B499" s="102"/>
      <c r="C499" s="102"/>
      <c r="D499" s="102"/>
      <c r="E499" s="102"/>
      <c r="F499" s="102"/>
      <c r="G499" s="102"/>
      <c r="H499" s="102"/>
      <c r="I499" s="102"/>
      <c r="J499" s="102"/>
      <c r="K499" s="103"/>
      <c r="L499" s="102"/>
      <c r="M499" s="103"/>
      <c r="N499" s="102"/>
      <c r="O499" s="102"/>
      <c r="P499" s="103"/>
      <c r="Q499" s="102"/>
      <c r="R499" s="102"/>
      <c r="S499" s="102"/>
      <c r="T499" s="102"/>
      <c r="U499" s="102"/>
      <c r="V499" s="102"/>
      <c r="W499" s="102"/>
      <c r="X499" s="103"/>
      <c r="Y499" s="102"/>
      <c r="Z499" s="102"/>
      <c r="AA499" s="102"/>
      <c r="AB499" s="102"/>
      <c r="AC499" s="102"/>
      <c r="AD499" s="102"/>
      <c r="AE499" s="102"/>
    </row>
    <row r="500" spans="1:31">
      <c r="A500" s="102"/>
      <c r="B500" s="102"/>
      <c r="C500" s="102"/>
      <c r="D500" s="102"/>
      <c r="E500" s="102"/>
      <c r="F500" s="102"/>
      <c r="G500" s="102"/>
      <c r="H500" s="102"/>
      <c r="I500" s="102"/>
      <c r="J500" s="102"/>
      <c r="K500" s="103"/>
      <c r="L500" s="102"/>
      <c r="M500" s="103"/>
      <c r="N500" s="102"/>
      <c r="O500" s="102"/>
      <c r="P500" s="103"/>
      <c r="Q500" s="102"/>
      <c r="R500" s="102"/>
      <c r="S500" s="102"/>
      <c r="T500" s="102"/>
      <c r="U500" s="102"/>
      <c r="V500" s="102"/>
      <c r="W500" s="102"/>
      <c r="X500" s="103"/>
      <c r="Y500" s="102"/>
      <c r="Z500" s="102"/>
      <c r="AA500" s="102"/>
      <c r="AB500" s="102"/>
      <c r="AC500" s="102"/>
      <c r="AD500" s="102"/>
      <c r="AE500" s="102"/>
    </row>
    <row r="501" spans="1:31">
      <c r="A501" s="102"/>
      <c r="B501" s="102"/>
      <c r="C501" s="102"/>
      <c r="D501" s="102"/>
      <c r="E501" s="102"/>
      <c r="F501" s="102"/>
      <c r="G501" s="102"/>
      <c r="H501" s="102"/>
      <c r="I501" s="102"/>
      <c r="J501" s="102"/>
      <c r="K501" s="102"/>
      <c r="L501" s="102"/>
      <c r="M501" s="102"/>
      <c r="N501" s="102"/>
      <c r="O501" s="102"/>
      <c r="P501" s="103"/>
      <c r="Q501" s="102"/>
      <c r="R501" s="102"/>
      <c r="S501" s="102"/>
      <c r="T501" s="102"/>
      <c r="U501" s="102"/>
      <c r="V501" s="102"/>
      <c r="W501" s="102"/>
      <c r="X501" s="103"/>
      <c r="Y501" s="102"/>
      <c r="Z501" s="102"/>
      <c r="AA501" s="102"/>
      <c r="AB501" s="102"/>
      <c r="AC501" s="102"/>
      <c r="AD501" s="102"/>
      <c r="AE501" s="102"/>
    </row>
    <row r="502" spans="1:31">
      <c r="A502" s="102"/>
      <c r="B502" s="102"/>
      <c r="C502" s="102"/>
      <c r="D502" s="102"/>
      <c r="E502" s="102"/>
      <c r="F502" s="102"/>
      <c r="G502" s="102"/>
      <c r="H502" s="102"/>
      <c r="I502" s="102"/>
      <c r="J502" s="102"/>
      <c r="K502" s="102"/>
      <c r="L502" s="102"/>
      <c r="M502" s="102"/>
      <c r="N502" s="102"/>
      <c r="O502" s="102"/>
      <c r="P502" s="103"/>
      <c r="Q502" s="102"/>
      <c r="R502" s="102"/>
      <c r="S502" s="102"/>
      <c r="T502" s="102"/>
      <c r="U502" s="102"/>
      <c r="V502" s="102"/>
      <c r="W502" s="102"/>
      <c r="X502" s="103"/>
      <c r="Y502" s="102"/>
      <c r="Z502" s="102"/>
      <c r="AA502" s="102"/>
      <c r="AB502" s="102"/>
      <c r="AC502" s="102"/>
      <c r="AD502" s="102"/>
      <c r="AE502" s="102"/>
    </row>
    <row r="503" spans="1:31">
      <c r="A503" s="102"/>
      <c r="B503" s="102"/>
      <c r="C503" s="102"/>
      <c r="D503" s="102"/>
      <c r="E503" s="102"/>
      <c r="F503" s="102"/>
      <c r="G503" s="102"/>
      <c r="H503" s="102"/>
      <c r="I503" s="102"/>
      <c r="J503" s="102"/>
      <c r="K503" s="102"/>
      <c r="L503" s="102"/>
      <c r="M503" s="102"/>
      <c r="N503" s="102"/>
      <c r="O503" s="102"/>
      <c r="P503" s="103"/>
      <c r="Q503" s="102"/>
      <c r="R503" s="102"/>
      <c r="S503" s="102"/>
      <c r="T503" s="102"/>
      <c r="U503" s="102"/>
      <c r="V503" s="102"/>
      <c r="W503" s="102"/>
      <c r="X503" s="103"/>
      <c r="Y503" s="102"/>
      <c r="Z503" s="102"/>
      <c r="AA503" s="102"/>
      <c r="AB503" s="102"/>
      <c r="AC503" s="102"/>
      <c r="AD503" s="102"/>
      <c r="AE503" s="102"/>
    </row>
    <row r="504" spans="1:31">
      <c r="A504" s="102"/>
      <c r="B504" s="102"/>
      <c r="C504" s="102"/>
      <c r="D504" s="102"/>
      <c r="E504" s="102"/>
      <c r="F504" s="102"/>
      <c r="G504" s="102"/>
      <c r="H504" s="102"/>
      <c r="I504" s="102"/>
      <c r="J504" s="102"/>
      <c r="K504" s="103"/>
      <c r="L504" s="102"/>
      <c r="M504" s="103"/>
      <c r="N504" s="102"/>
      <c r="O504" s="102"/>
      <c r="P504" s="103"/>
      <c r="Q504" s="102"/>
      <c r="R504" s="102"/>
      <c r="S504" s="102"/>
      <c r="T504" s="102"/>
      <c r="U504" s="102"/>
      <c r="V504" s="102"/>
      <c r="W504" s="102"/>
      <c r="X504" s="103"/>
      <c r="Y504" s="102"/>
      <c r="Z504" s="102"/>
      <c r="AA504" s="102"/>
      <c r="AB504" s="102"/>
      <c r="AC504" s="102"/>
      <c r="AD504" s="102"/>
      <c r="AE504" s="102"/>
    </row>
    <row r="505" spans="1:31">
      <c r="A505" s="102"/>
      <c r="B505" s="102"/>
      <c r="C505" s="102"/>
      <c r="D505" s="102"/>
      <c r="E505" s="102"/>
      <c r="F505" s="102"/>
      <c r="G505" s="102"/>
      <c r="H505" s="102"/>
      <c r="I505" s="102"/>
      <c r="J505" s="102"/>
      <c r="K505" s="102"/>
      <c r="L505" s="102"/>
      <c r="M505" s="102"/>
      <c r="N505" s="102"/>
      <c r="O505" s="102"/>
      <c r="P505" s="103"/>
      <c r="Q505" s="102"/>
      <c r="R505" s="102"/>
      <c r="S505" s="102"/>
      <c r="T505" s="102"/>
      <c r="U505" s="102"/>
      <c r="V505" s="102"/>
      <c r="W505" s="102"/>
      <c r="X505" s="103"/>
      <c r="Y505" s="102"/>
      <c r="Z505" s="102"/>
      <c r="AA505" s="102"/>
      <c r="AB505" s="102"/>
      <c r="AC505" s="102"/>
      <c r="AD505" s="102"/>
      <c r="AE505" s="102"/>
    </row>
    <row r="506" spans="1:31">
      <c r="A506" s="102"/>
      <c r="B506" s="102"/>
      <c r="C506" s="102"/>
      <c r="D506" s="102"/>
      <c r="E506" s="102"/>
      <c r="F506" s="102"/>
      <c r="G506" s="102"/>
      <c r="H506" s="102"/>
      <c r="I506" s="102"/>
      <c r="J506" s="102"/>
      <c r="K506" s="102"/>
      <c r="L506" s="102"/>
      <c r="M506" s="102"/>
      <c r="N506" s="102"/>
      <c r="O506" s="102"/>
      <c r="P506" s="103"/>
      <c r="Q506" s="102"/>
      <c r="R506" s="102"/>
      <c r="S506" s="102"/>
      <c r="T506" s="102"/>
      <c r="U506" s="102"/>
      <c r="V506" s="102"/>
      <c r="W506" s="102"/>
      <c r="X506" s="103"/>
      <c r="Y506" s="102"/>
      <c r="Z506" s="102"/>
      <c r="AA506" s="102"/>
      <c r="AB506" s="102"/>
      <c r="AC506" s="102"/>
      <c r="AD506" s="102"/>
      <c r="AE506" s="102"/>
    </row>
    <row r="507" spans="1:31">
      <c r="A507" s="102"/>
      <c r="B507" s="102"/>
      <c r="C507" s="102"/>
      <c r="D507" s="102"/>
      <c r="E507" s="102"/>
      <c r="F507" s="102"/>
      <c r="G507" s="102"/>
      <c r="H507" s="102"/>
      <c r="I507" s="102"/>
      <c r="J507" s="102"/>
      <c r="K507" s="103"/>
      <c r="L507" s="102"/>
      <c r="M507" s="103"/>
      <c r="N507" s="102"/>
      <c r="O507" s="102"/>
      <c r="P507" s="103"/>
      <c r="Q507" s="102"/>
      <c r="R507" s="102"/>
      <c r="S507" s="102"/>
      <c r="T507" s="102"/>
      <c r="U507" s="102"/>
      <c r="V507" s="102"/>
      <c r="W507" s="102"/>
      <c r="X507" s="103"/>
      <c r="Y507" s="102"/>
      <c r="Z507" s="102"/>
      <c r="AA507" s="102"/>
      <c r="AB507" s="102"/>
      <c r="AC507" s="102"/>
      <c r="AD507" s="102"/>
      <c r="AE507" s="102"/>
    </row>
    <row r="508" spans="1:31">
      <c r="A508" s="102"/>
      <c r="B508" s="102"/>
      <c r="C508" s="102"/>
      <c r="D508" s="102"/>
      <c r="E508" s="102"/>
      <c r="F508" s="102"/>
      <c r="G508" s="102"/>
      <c r="H508" s="102"/>
      <c r="I508" s="102"/>
      <c r="J508" s="102"/>
      <c r="K508" s="103"/>
      <c r="L508" s="102"/>
      <c r="M508" s="103"/>
      <c r="N508" s="102"/>
      <c r="O508" s="102"/>
      <c r="P508" s="103"/>
      <c r="Q508" s="102"/>
      <c r="R508" s="102"/>
      <c r="S508" s="102"/>
      <c r="T508" s="102"/>
      <c r="U508" s="102"/>
      <c r="V508" s="102"/>
      <c r="W508" s="102"/>
      <c r="X508" s="103"/>
      <c r="Y508" s="102"/>
      <c r="Z508" s="102"/>
      <c r="AA508" s="102"/>
      <c r="AB508" s="102"/>
      <c r="AC508" s="102"/>
      <c r="AD508" s="102"/>
      <c r="AE508" s="102"/>
    </row>
    <row r="509" spans="1:31">
      <c r="A509" s="102"/>
      <c r="B509" s="102"/>
      <c r="C509" s="102"/>
      <c r="D509" s="102"/>
      <c r="E509" s="102"/>
      <c r="F509" s="102"/>
      <c r="G509" s="102"/>
      <c r="H509" s="102"/>
      <c r="I509" s="102"/>
      <c r="J509" s="102"/>
      <c r="K509" s="102"/>
      <c r="L509" s="102"/>
      <c r="M509" s="102"/>
      <c r="N509" s="102"/>
      <c r="O509" s="102"/>
      <c r="P509" s="103"/>
      <c r="Q509" s="102"/>
      <c r="R509" s="102"/>
      <c r="S509" s="102"/>
      <c r="T509" s="102"/>
      <c r="U509" s="102"/>
      <c r="V509" s="102"/>
      <c r="W509" s="102"/>
      <c r="X509" s="103"/>
      <c r="Y509" s="102"/>
      <c r="Z509" s="102"/>
      <c r="AA509" s="102"/>
      <c r="AB509" s="102"/>
      <c r="AC509" s="102"/>
      <c r="AD509" s="102"/>
      <c r="AE509" s="102"/>
    </row>
    <row r="510" spans="1:31">
      <c r="A510" s="102"/>
      <c r="B510" s="102"/>
      <c r="C510" s="102"/>
      <c r="D510" s="102"/>
      <c r="E510" s="102"/>
      <c r="F510" s="102"/>
      <c r="G510" s="102"/>
      <c r="H510" s="102"/>
      <c r="I510" s="102"/>
      <c r="J510" s="102"/>
      <c r="K510" s="102"/>
      <c r="L510" s="102"/>
      <c r="M510" s="102"/>
      <c r="N510" s="102"/>
      <c r="O510" s="102"/>
      <c r="P510" s="103"/>
      <c r="Q510" s="102"/>
      <c r="R510" s="102"/>
      <c r="S510" s="102"/>
      <c r="T510" s="102"/>
      <c r="U510" s="102"/>
      <c r="V510" s="102"/>
      <c r="W510" s="102"/>
      <c r="X510" s="103"/>
      <c r="Y510" s="102"/>
      <c r="Z510" s="102"/>
      <c r="AA510" s="102"/>
      <c r="AB510" s="102"/>
      <c r="AC510" s="102"/>
      <c r="AD510" s="102"/>
      <c r="AE510" s="102"/>
    </row>
    <row r="511" spans="1:31">
      <c r="A511" s="102"/>
      <c r="B511" s="102"/>
      <c r="C511" s="102"/>
      <c r="D511" s="102"/>
      <c r="E511" s="102"/>
      <c r="F511" s="102"/>
      <c r="G511" s="102"/>
      <c r="H511" s="102"/>
      <c r="I511" s="102"/>
      <c r="J511" s="102"/>
      <c r="K511" s="103"/>
      <c r="L511" s="102"/>
      <c r="M511" s="103"/>
      <c r="N511" s="102"/>
      <c r="O511" s="102"/>
      <c r="P511" s="103"/>
      <c r="Q511" s="102"/>
      <c r="R511" s="102"/>
      <c r="S511" s="102"/>
      <c r="T511" s="102"/>
      <c r="U511" s="102"/>
      <c r="V511" s="102"/>
      <c r="W511" s="102"/>
      <c r="X511" s="103"/>
      <c r="Y511" s="102"/>
      <c r="Z511" s="102"/>
      <c r="AA511" s="102"/>
      <c r="AB511" s="102"/>
      <c r="AC511" s="102"/>
      <c r="AD511" s="102"/>
      <c r="AE511" s="102"/>
    </row>
    <row r="512" spans="1:31">
      <c r="A512" s="102"/>
      <c r="B512" s="102"/>
      <c r="C512" s="102"/>
      <c r="D512" s="102"/>
      <c r="E512" s="102"/>
      <c r="F512" s="102"/>
      <c r="G512" s="102"/>
      <c r="H512" s="102"/>
      <c r="I512" s="102"/>
      <c r="J512" s="102"/>
      <c r="K512" s="103"/>
      <c r="L512" s="102"/>
      <c r="M512" s="103"/>
      <c r="N512" s="102"/>
      <c r="O512" s="102"/>
      <c r="P512" s="103"/>
      <c r="Q512" s="102"/>
      <c r="R512" s="102"/>
      <c r="S512" s="102"/>
      <c r="T512" s="102"/>
      <c r="U512" s="102"/>
      <c r="V512" s="102"/>
      <c r="W512" s="102"/>
      <c r="X512" s="103"/>
      <c r="Y512" s="102"/>
      <c r="Z512" s="102"/>
      <c r="AA512" s="102"/>
      <c r="AB512" s="102"/>
      <c r="AC512" s="102"/>
      <c r="AD512" s="102"/>
      <c r="AE512" s="102"/>
    </row>
    <row r="513" spans="1:31">
      <c r="A513" s="102"/>
      <c r="B513" s="102"/>
      <c r="C513" s="102"/>
      <c r="D513" s="102"/>
      <c r="E513" s="102"/>
      <c r="F513" s="102"/>
      <c r="G513" s="102"/>
      <c r="H513" s="102"/>
      <c r="I513" s="102"/>
      <c r="J513" s="102"/>
      <c r="K513" s="102"/>
      <c r="L513" s="102"/>
      <c r="M513" s="102"/>
      <c r="N513" s="102"/>
      <c r="O513" s="102"/>
      <c r="P513" s="103"/>
      <c r="Q513" s="102"/>
      <c r="R513" s="102"/>
      <c r="S513" s="102"/>
      <c r="T513" s="102"/>
      <c r="U513" s="102"/>
      <c r="V513" s="102"/>
      <c r="W513" s="102"/>
      <c r="X513" s="103"/>
      <c r="Y513" s="102"/>
      <c r="Z513" s="102"/>
      <c r="AA513" s="102"/>
      <c r="AB513" s="102"/>
      <c r="AC513" s="102"/>
      <c r="AD513" s="102"/>
      <c r="AE513" s="102"/>
    </row>
    <row r="514" spans="1:31">
      <c r="A514" s="102"/>
      <c r="B514" s="102"/>
      <c r="C514" s="102"/>
      <c r="D514" s="102"/>
      <c r="E514" s="102"/>
      <c r="F514" s="102"/>
      <c r="G514" s="102"/>
      <c r="H514" s="102"/>
      <c r="I514" s="102"/>
      <c r="J514" s="102"/>
      <c r="K514" s="103"/>
      <c r="L514" s="102"/>
      <c r="M514" s="103"/>
      <c r="N514" s="102"/>
      <c r="O514" s="102"/>
      <c r="P514" s="103"/>
      <c r="Q514" s="102"/>
      <c r="R514" s="102"/>
      <c r="S514" s="102"/>
      <c r="T514" s="102"/>
      <c r="U514" s="102"/>
      <c r="V514" s="102"/>
      <c r="W514" s="102"/>
      <c r="X514" s="103"/>
      <c r="Y514" s="102"/>
      <c r="Z514" s="102"/>
      <c r="AA514" s="102"/>
      <c r="AB514" s="102"/>
      <c r="AC514" s="102"/>
      <c r="AD514" s="102"/>
      <c r="AE514" s="102"/>
    </row>
    <row r="515" spans="1:31">
      <c r="A515" s="102"/>
      <c r="B515" s="102"/>
      <c r="C515" s="102"/>
      <c r="D515" s="102"/>
      <c r="E515" s="102"/>
      <c r="F515" s="102"/>
      <c r="G515" s="102"/>
      <c r="H515" s="102"/>
      <c r="I515" s="102"/>
      <c r="J515" s="102"/>
      <c r="K515" s="102"/>
      <c r="L515" s="102"/>
      <c r="M515" s="102"/>
      <c r="N515" s="102"/>
      <c r="O515" s="102"/>
      <c r="P515" s="103"/>
      <c r="Q515" s="102"/>
      <c r="R515" s="102"/>
      <c r="S515" s="102"/>
      <c r="T515" s="102"/>
      <c r="U515" s="102"/>
      <c r="V515" s="102"/>
      <c r="W515" s="102"/>
      <c r="X515" s="103"/>
      <c r="Y515" s="102"/>
      <c r="Z515" s="102"/>
      <c r="AA515" s="102"/>
      <c r="AB515" s="102"/>
      <c r="AC515" s="102"/>
      <c r="AD515" s="102"/>
      <c r="AE515" s="102"/>
    </row>
    <row r="516" spans="1:31">
      <c r="A516" s="102"/>
      <c r="B516" s="102"/>
      <c r="C516" s="102"/>
      <c r="D516" s="102"/>
      <c r="E516" s="102"/>
      <c r="F516" s="102"/>
      <c r="G516" s="102"/>
      <c r="H516" s="102"/>
      <c r="I516" s="102"/>
      <c r="J516" s="102"/>
      <c r="K516" s="102"/>
      <c r="L516" s="102"/>
      <c r="M516" s="102"/>
      <c r="N516" s="102"/>
      <c r="O516" s="102"/>
      <c r="P516" s="103"/>
      <c r="Q516" s="102"/>
      <c r="R516" s="102"/>
      <c r="S516" s="102"/>
      <c r="T516" s="102"/>
      <c r="U516" s="102"/>
      <c r="V516" s="102"/>
      <c r="W516" s="102"/>
      <c r="X516" s="103"/>
      <c r="Y516" s="102"/>
      <c r="Z516" s="102"/>
      <c r="AA516" s="102"/>
      <c r="AB516" s="102"/>
      <c r="AC516" s="102"/>
      <c r="AD516" s="102"/>
      <c r="AE516" s="102"/>
    </row>
    <row r="517" spans="1:31">
      <c r="A517" s="102"/>
      <c r="B517" s="102"/>
      <c r="C517" s="102"/>
      <c r="D517" s="102"/>
      <c r="E517" s="102"/>
      <c r="F517" s="102"/>
      <c r="G517" s="102"/>
      <c r="H517" s="102"/>
      <c r="I517" s="102"/>
      <c r="J517" s="102"/>
      <c r="K517" s="103"/>
      <c r="L517" s="102"/>
      <c r="M517" s="103"/>
      <c r="N517" s="102"/>
      <c r="O517" s="102"/>
      <c r="P517" s="103"/>
      <c r="Q517" s="102"/>
      <c r="R517" s="102"/>
      <c r="S517" s="102"/>
      <c r="T517" s="102"/>
      <c r="U517" s="102"/>
      <c r="V517" s="102"/>
      <c r="W517" s="102"/>
      <c r="X517" s="103"/>
      <c r="Y517" s="102"/>
      <c r="Z517" s="102"/>
      <c r="AA517" s="102"/>
      <c r="AB517" s="102"/>
      <c r="AC517" s="102"/>
      <c r="AD517" s="102"/>
      <c r="AE517" s="102"/>
    </row>
    <row r="518" spans="1:31">
      <c r="A518" s="102"/>
      <c r="B518" s="102"/>
      <c r="C518" s="102"/>
      <c r="D518" s="102"/>
      <c r="E518" s="102"/>
      <c r="F518" s="102"/>
      <c r="G518" s="102"/>
      <c r="H518" s="102"/>
      <c r="I518" s="102"/>
      <c r="J518" s="102"/>
      <c r="K518" s="103"/>
      <c r="L518" s="102"/>
      <c r="M518" s="103"/>
      <c r="N518" s="102"/>
      <c r="O518" s="102"/>
      <c r="P518" s="103"/>
      <c r="Q518" s="102"/>
      <c r="R518" s="102"/>
      <c r="S518" s="102"/>
      <c r="T518" s="102"/>
      <c r="U518" s="102"/>
      <c r="V518" s="102"/>
      <c r="W518" s="102"/>
      <c r="X518" s="103"/>
      <c r="Y518" s="102"/>
      <c r="Z518" s="102"/>
      <c r="AA518" s="102"/>
      <c r="AB518" s="102"/>
      <c r="AC518" s="102"/>
      <c r="AD518" s="102"/>
      <c r="AE518" s="102"/>
    </row>
    <row r="519" spans="1:31">
      <c r="A519" s="102"/>
      <c r="B519" s="102"/>
      <c r="C519" s="102"/>
      <c r="D519" s="102"/>
      <c r="E519" s="102"/>
      <c r="F519" s="102"/>
      <c r="G519" s="102"/>
      <c r="H519" s="102"/>
      <c r="I519" s="102"/>
      <c r="J519" s="102"/>
      <c r="K519" s="102"/>
      <c r="L519" s="102"/>
      <c r="M519" s="102"/>
      <c r="N519" s="102"/>
      <c r="O519" s="102"/>
      <c r="P519" s="103"/>
      <c r="Q519" s="102"/>
      <c r="R519" s="102"/>
      <c r="S519" s="102"/>
      <c r="T519" s="102"/>
      <c r="U519" s="102"/>
      <c r="V519" s="102"/>
      <c r="W519" s="102"/>
      <c r="X519" s="103"/>
      <c r="Y519" s="102"/>
      <c r="Z519" s="102"/>
      <c r="AA519" s="102"/>
      <c r="AB519" s="102"/>
      <c r="AC519" s="102"/>
      <c r="AD519" s="102"/>
      <c r="AE519" s="102"/>
    </row>
    <row r="520" spans="1:31">
      <c r="A520" s="102"/>
      <c r="B520" s="102"/>
      <c r="C520" s="102"/>
      <c r="D520" s="102"/>
      <c r="E520" s="102"/>
      <c r="F520" s="102"/>
      <c r="G520" s="102"/>
      <c r="H520" s="102"/>
      <c r="I520" s="102"/>
      <c r="J520" s="102"/>
      <c r="K520" s="102"/>
      <c r="L520" s="102"/>
      <c r="M520" s="102"/>
      <c r="N520" s="102"/>
      <c r="O520" s="102"/>
      <c r="P520" s="103"/>
      <c r="Q520" s="102"/>
      <c r="R520" s="102"/>
      <c r="S520" s="102"/>
      <c r="T520" s="102"/>
      <c r="U520" s="102"/>
      <c r="V520" s="102"/>
      <c r="W520" s="102"/>
      <c r="X520" s="103"/>
      <c r="Y520" s="102"/>
      <c r="Z520" s="102"/>
      <c r="AA520" s="102"/>
      <c r="AB520" s="102"/>
      <c r="AC520" s="102"/>
      <c r="AD520" s="102"/>
      <c r="AE520" s="102"/>
    </row>
    <row r="521" spans="1:31">
      <c r="A521" s="102"/>
      <c r="B521" s="102"/>
      <c r="C521" s="102"/>
      <c r="D521" s="102"/>
      <c r="E521" s="102"/>
      <c r="F521" s="102"/>
      <c r="G521" s="102"/>
      <c r="H521" s="102"/>
      <c r="I521" s="102"/>
      <c r="J521" s="102"/>
      <c r="K521" s="103"/>
      <c r="L521" s="102"/>
      <c r="M521" s="103"/>
      <c r="N521" s="102"/>
      <c r="O521" s="102"/>
      <c r="P521" s="103"/>
      <c r="Q521" s="102"/>
      <c r="R521" s="102"/>
      <c r="S521" s="102"/>
      <c r="T521" s="102"/>
      <c r="U521" s="102"/>
      <c r="V521" s="102"/>
      <c r="W521" s="102"/>
      <c r="X521" s="103"/>
      <c r="Y521" s="102"/>
      <c r="Z521" s="102"/>
      <c r="AA521" s="102"/>
      <c r="AB521" s="102"/>
      <c r="AC521" s="102"/>
      <c r="AD521" s="102"/>
      <c r="AE521" s="102"/>
    </row>
    <row r="522" spans="1:31">
      <c r="A522" s="102"/>
      <c r="B522" s="102"/>
      <c r="C522" s="102"/>
      <c r="D522" s="102"/>
      <c r="E522" s="102"/>
      <c r="F522" s="102"/>
      <c r="G522" s="102"/>
      <c r="H522" s="102"/>
      <c r="I522" s="102"/>
      <c r="J522" s="102"/>
      <c r="K522" s="103"/>
      <c r="L522" s="102"/>
      <c r="M522" s="103"/>
      <c r="N522" s="102"/>
      <c r="O522" s="102"/>
      <c r="P522" s="103"/>
      <c r="Q522" s="102"/>
      <c r="R522" s="102"/>
      <c r="S522" s="102"/>
      <c r="T522" s="102"/>
      <c r="U522" s="102"/>
      <c r="V522" s="102"/>
      <c r="W522" s="102"/>
      <c r="X522" s="103"/>
      <c r="Y522" s="102"/>
      <c r="Z522" s="102"/>
      <c r="AA522" s="102"/>
      <c r="AB522" s="102"/>
      <c r="AC522" s="102"/>
      <c r="AD522" s="102"/>
      <c r="AE522" s="102"/>
    </row>
    <row r="523" spans="1:31">
      <c r="A523" s="102"/>
      <c r="B523" s="102"/>
      <c r="C523" s="102"/>
      <c r="D523" s="102"/>
      <c r="E523" s="102"/>
      <c r="F523" s="102"/>
      <c r="G523" s="102"/>
      <c r="H523" s="102"/>
      <c r="I523" s="102"/>
      <c r="J523" s="102"/>
      <c r="K523" s="103"/>
      <c r="L523" s="102"/>
      <c r="M523" s="103"/>
      <c r="N523" s="102"/>
      <c r="O523" s="102"/>
      <c r="P523" s="103"/>
      <c r="Q523" s="102"/>
      <c r="R523" s="102"/>
      <c r="S523" s="102"/>
      <c r="T523" s="102"/>
      <c r="U523" s="102"/>
      <c r="V523" s="102"/>
      <c r="W523" s="102"/>
      <c r="X523" s="103"/>
      <c r="Y523" s="102"/>
      <c r="Z523" s="102"/>
      <c r="AA523" s="102"/>
      <c r="AB523" s="102"/>
      <c r="AC523" s="102"/>
      <c r="AD523" s="102"/>
      <c r="AE523" s="102"/>
    </row>
    <row r="524" spans="1:31">
      <c r="A524" s="102"/>
      <c r="B524" s="102"/>
      <c r="C524" s="102"/>
      <c r="D524" s="102"/>
      <c r="E524" s="102"/>
      <c r="F524" s="102"/>
      <c r="G524" s="102"/>
      <c r="H524" s="102"/>
      <c r="I524" s="102"/>
      <c r="J524" s="102"/>
      <c r="K524" s="103"/>
      <c r="L524" s="102"/>
      <c r="M524" s="103"/>
      <c r="N524" s="102"/>
      <c r="O524" s="102"/>
      <c r="P524" s="103"/>
      <c r="Q524" s="102"/>
      <c r="R524" s="102"/>
      <c r="S524" s="102"/>
      <c r="T524" s="102"/>
      <c r="U524" s="102"/>
      <c r="V524" s="102"/>
      <c r="W524" s="102"/>
      <c r="X524" s="103"/>
      <c r="Y524" s="102"/>
      <c r="Z524" s="102"/>
      <c r="AA524" s="102"/>
      <c r="AB524" s="102"/>
      <c r="AC524" s="102"/>
      <c r="AD524" s="102"/>
      <c r="AE524" s="102"/>
    </row>
    <row r="525" spans="1:31">
      <c r="A525" s="102"/>
      <c r="B525" s="102"/>
      <c r="C525" s="102"/>
      <c r="D525" s="102"/>
      <c r="E525" s="102"/>
      <c r="F525" s="102"/>
      <c r="G525" s="102"/>
      <c r="H525" s="102"/>
      <c r="I525" s="102"/>
      <c r="J525" s="102"/>
      <c r="K525" s="102"/>
      <c r="L525" s="102"/>
      <c r="M525" s="102"/>
      <c r="N525" s="102"/>
      <c r="O525" s="102"/>
      <c r="P525" s="103"/>
      <c r="Q525" s="102"/>
      <c r="R525" s="102"/>
      <c r="S525" s="102"/>
      <c r="T525" s="102"/>
      <c r="U525" s="102"/>
      <c r="V525" s="102"/>
      <c r="W525" s="102"/>
      <c r="X525" s="103"/>
      <c r="Y525" s="102"/>
      <c r="Z525" s="102"/>
      <c r="AA525" s="102"/>
      <c r="AB525" s="102"/>
      <c r="AC525" s="102"/>
      <c r="AD525" s="102"/>
      <c r="AE525" s="102"/>
    </row>
    <row r="526" spans="1:31">
      <c r="A526" s="102"/>
      <c r="B526" s="102"/>
      <c r="C526" s="102"/>
      <c r="D526" s="102"/>
      <c r="E526" s="102"/>
      <c r="F526" s="102"/>
      <c r="G526" s="102"/>
      <c r="H526" s="102"/>
      <c r="I526" s="102"/>
      <c r="J526" s="102"/>
      <c r="K526" s="102"/>
      <c r="L526" s="102"/>
      <c r="M526" s="102"/>
      <c r="N526" s="102"/>
      <c r="O526" s="102"/>
      <c r="P526" s="103"/>
      <c r="Q526" s="102"/>
      <c r="R526" s="102"/>
      <c r="S526" s="102"/>
      <c r="T526" s="102"/>
      <c r="U526" s="102"/>
      <c r="V526" s="102"/>
      <c r="W526" s="102"/>
      <c r="X526" s="103"/>
      <c r="Y526" s="102"/>
      <c r="Z526" s="102"/>
      <c r="AA526" s="102"/>
      <c r="AB526" s="102"/>
      <c r="AC526" s="102"/>
      <c r="AD526" s="102"/>
      <c r="AE526" s="102"/>
    </row>
    <row r="527" spans="1:31">
      <c r="A527" s="102"/>
      <c r="B527" s="102"/>
      <c r="C527" s="102"/>
      <c r="D527" s="102"/>
      <c r="E527" s="102"/>
      <c r="F527" s="102"/>
      <c r="G527" s="102"/>
      <c r="H527" s="102"/>
      <c r="I527" s="102"/>
      <c r="J527" s="102"/>
      <c r="K527" s="102"/>
      <c r="L527" s="102"/>
      <c r="M527" s="102"/>
      <c r="N527" s="102"/>
      <c r="O527" s="102"/>
      <c r="P527" s="103"/>
      <c r="Q527" s="102"/>
      <c r="R527" s="102"/>
      <c r="S527" s="102"/>
      <c r="T527" s="102"/>
      <c r="U527" s="102"/>
      <c r="V527" s="102"/>
      <c r="W527" s="102"/>
      <c r="X527" s="103"/>
      <c r="Y527" s="102"/>
      <c r="Z527" s="102"/>
      <c r="AA527" s="102"/>
      <c r="AB527" s="102"/>
      <c r="AC527" s="102"/>
      <c r="AD527" s="102"/>
      <c r="AE527" s="102"/>
    </row>
    <row r="528" spans="1:31">
      <c r="A528" s="102"/>
      <c r="B528" s="102"/>
      <c r="C528" s="102"/>
      <c r="D528" s="102"/>
      <c r="E528" s="102"/>
      <c r="F528" s="102"/>
      <c r="G528" s="102"/>
      <c r="H528" s="102"/>
      <c r="I528" s="102"/>
      <c r="J528" s="102"/>
      <c r="K528" s="102"/>
      <c r="L528" s="102"/>
      <c r="M528" s="102"/>
      <c r="N528" s="102"/>
      <c r="O528" s="102"/>
      <c r="P528" s="103"/>
      <c r="Q528" s="102"/>
      <c r="R528" s="102"/>
      <c r="S528" s="102"/>
      <c r="T528" s="102"/>
      <c r="U528" s="102"/>
      <c r="V528" s="102"/>
      <c r="W528" s="102"/>
      <c r="X528" s="103"/>
      <c r="Y528" s="102"/>
      <c r="Z528" s="102"/>
      <c r="AA528" s="102"/>
      <c r="AB528" s="102"/>
      <c r="AC528" s="102"/>
      <c r="AD528" s="102"/>
      <c r="AE528" s="102"/>
    </row>
    <row r="529" spans="1:31">
      <c r="A529" s="102"/>
      <c r="B529" s="102"/>
      <c r="C529" s="102"/>
      <c r="D529" s="102"/>
      <c r="E529" s="102"/>
      <c r="F529" s="102"/>
      <c r="G529" s="102"/>
      <c r="H529" s="102"/>
      <c r="I529" s="102"/>
      <c r="J529" s="102"/>
      <c r="K529" s="103"/>
      <c r="L529" s="102"/>
      <c r="M529" s="103"/>
      <c r="N529" s="102"/>
      <c r="O529" s="102"/>
      <c r="P529" s="103"/>
      <c r="Q529" s="102"/>
      <c r="R529" s="102"/>
      <c r="S529" s="102"/>
      <c r="T529" s="102"/>
      <c r="U529" s="102"/>
      <c r="V529" s="102"/>
      <c r="W529" s="102"/>
      <c r="X529" s="103"/>
      <c r="Y529" s="102"/>
      <c r="Z529" s="102"/>
      <c r="AA529" s="102"/>
      <c r="AB529" s="102"/>
      <c r="AC529" s="102"/>
      <c r="AD529" s="102"/>
      <c r="AE529" s="102"/>
    </row>
    <row r="530" spans="1:31">
      <c r="A530" s="102"/>
      <c r="B530" s="102"/>
      <c r="C530" s="102"/>
      <c r="D530" s="102"/>
      <c r="E530" s="102"/>
      <c r="F530" s="102"/>
      <c r="G530" s="102"/>
      <c r="H530" s="102"/>
      <c r="I530" s="102"/>
      <c r="J530" s="102"/>
      <c r="K530" s="103"/>
      <c r="L530" s="102"/>
      <c r="M530" s="103"/>
      <c r="N530" s="102"/>
      <c r="O530" s="102"/>
      <c r="P530" s="103"/>
      <c r="Q530" s="102"/>
      <c r="R530" s="102"/>
      <c r="S530" s="102"/>
      <c r="T530" s="102"/>
      <c r="U530" s="102"/>
      <c r="V530" s="102"/>
      <c r="W530" s="102"/>
      <c r="X530" s="103"/>
      <c r="Y530" s="102"/>
      <c r="Z530" s="102"/>
      <c r="AA530" s="102"/>
      <c r="AB530" s="102"/>
      <c r="AC530" s="102"/>
      <c r="AD530" s="102"/>
      <c r="AE530" s="102"/>
    </row>
    <row r="531" spans="1:31">
      <c r="A531" s="102"/>
      <c r="B531" s="102"/>
      <c r="C531" s="102"/>
      <c r="D531" s="102"/>
      <c r="E531" s="102"/>
      <c r="F531" s="102"/>
      <c r="G531" s="102"/>
      <c r="H531" s="102"/>
      <c r="I531" s="102"/>
      <c r="J531" s="102"/>
      <c r="K531" s="102"/>
      <c r="L531" s="102"/>
      <c r="M531" s="102"/>
      <c r="N531" s="102"/>
      <c r="O531" s="103"/>
      <c r="P531" s="102"/>
      <c r="Q531" s="102"/>
      <c r="R531" s="102"/>
      <c r="S531" s="102"/>
      <c r="T531" s="102"/>
      <c r="U531" s="102"/>
      <c r="V531" s="102"/>
      <c r="W531" s="103"/>
      <c r="X531" s="102"/>
      <c r="Y531" s="102"/>
      <c r="Z531" s="102"/>
      <c r="AA531" s="102"/>
      <c r="AB531" s="102"/>
      <c r="AC531" s="102"/>
      <c r="AD531" s="102"/>
    </row>
    <row r="532" spans="1:31">
      <c r="A532" s="102"/>
      <c r="B532" s="102"/>
      <c r="C532" s="102"/>
      <c r="D532" s="102"/>
      <c r="E532" s="102"/>
      <c r="F532" s="102"/>
      <c r="G532" s="102"/>
      <c r="H532" s="102"/>
      <c r="I532" s="102"/>
      <c r="J532" s="102"/>
      <c r="K532" s="102"/>
      <c r="L532" s="102"/>
      <c r="M532" s="102"/>
      <c r="N532" s="102"/>
      <c r="O532" s="103"/>
      <c r="P532" s="102"/>
      <c r="Q532" s="102"/>
      <c r="R532" s="102"/>
      <c r="S532" s="102"/>
      <c r="T532" s="102"/>
      <c r="U532" s="102"/>
      <c r="V532" s="102"/>
      <c r="W532" s="103"/>
      <c r="X532" s="102"/>
      <c r="Y532" s="102"/>
      <c r="Z532" s="102"/>
      <c r="AA532" s="102"/>
      <c r="AB532" s="102"/>
      <c r="AC532" s="102"/>
      <c r="AD532" s="102"/>
    </row>
    <row r="533" spans="1:31">
      <c r="A533" s="102"/>
      <c r="B533" s="102"/>
      <c r="C533" s="102"/>
      <c r="D533" s="102"/>
      <c r="E533" s="102"/>
      <c r="F533" s="102"/>
      <c r="G533" s="102"/>
      <c r="H533" s="102"/>
      <c r="I533" s="102"/>
      <c r="J533" s="102"/>
      <c r="K533" s="102"/>
      <c r="L533" s="102"/>
      <c r="M533" s="102"/>
      <c r="N533" s="102"/>
      <c r="O533" s="103"/>
      <c r="P533" s="102"/>
      <c r="Q533" s="102"/>
      <c r="R533" s="102"/>
      <c r="S533" s="102"/>
      <c r="T533" s="102"/>
      <c r="U533" s="102"/>
      <c r="V533" s="102"/>
      <c r="W533" s="103"/>
      <c r="X533" s="102"/>
      <c r="Y533" s="102"/>
      <c r="Z533" s="102"/>
      <c r="AA533" s="102"/>
      <c r="AB533" s="102"/>
      <c r="AC533" s="102"/>
      <c r="AD533" s="102"/>
    </row>
    <row r="534" spans="1:31">
      <c r="A534" s="102"/>
      <c r="B534" s="102"/>
      <c r="C534" s="102"/>
      <c r="D534" s="102"/>
      <c r="E534" s="102"/>
      <c r="F534" s="102"/>
      <c r="G534" s="102"/>
      <c r="H534" s="102"/>
      <c r="I534" s="102"/>
      <c r="J534" s="102"/>
      <c r="K534" s="102"/>
      <c r="L534" s="102"/>
      <c r="M534" s="102"/>
      <c r="N534" s="102"/>
      <c r="O534" s="103"/>
      <c r="P534" s="102"/>
      <c r="Q534" s="102"/>
      <c r="R534" s="102"/>
      <c r="S534" s="102"/>
      <c r="T534" s="102"/>
      <c r="U534" s="102"/>
      <c r="V534" s="102"/>
      <c r="W534" s="103"/>
      <c r="X534" s="102"/>
      <c r="Y534" s="102"/>
      <c r="Z534" s="102"/>
      <c r="AA534" s="102"/>
      <c r="AB534" s="102"/>
      <c r="AC534" s="102"/>
      <c r="AD534" s="102"/>
    </row>
    <row r="535" spans="1:31">
      <c r="A535" s="102"/>
      <c r="B535" s="102"/>
      <c r="C535" s="102"/>
      <c r="D535" s="102"/>
      <c r="E535" s="102"/>
      <c r="F535" s="102"/>
      <c r="G535" s="102"/>
      <c r="H535" s="102"/>
      <c r="I535" s="102"/>
      <c r="J535" s="102"/>
      <c r="K535" s="102"/>
      <c r="L535" s="102"/>
      <c r="M535" s="102"/>
      <c r="N535" s="102"/>
      <c r="O535" s="103"/>
      <c r="P535" s="102"/>
      <c r="Q535" s="102"/>
      <c r="R535" s="102"/>
      <c r="S535" s="102"/>
      <c r="T535" s="102"/>
      <c r="U535" s="102"/>
      <c r="V535" s="102"/>
      <c r="W535" s="103"/>
      <c r="X535" s="102"/>
      <c r="Y535" s="102"/>
      <c r="Z535" s="102"/>
      <c r="AA535" s="102"/>
      <c r="AB535" s="102"/>
      <c r="AC535" s="102"/>
      <c r="AD535" s="102"/>
    </row>
  </sheetData>
  <autoFilter ref="A1:AD409" xr:uid="{A7D1C79B-F496-4ECF-AD17-705D3D2757C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8AF69-5C9F-46C3-8723-07208F68740A}">
  <sheetPr>
    <tabColor rgb="FFFF0000"/>
  </sheetPr>
  <dimension ref="A1:DS923"/>
  <sheetViews>
    <sheetView workbookViewId="0">
      <selection activeCell="H121" sqref="H121"/>
    </sheetView>
  </sheetViews>
  <sheetFormatPr defaultColWidth="9.140625" defaultRowHeight="12"/>
  <cols>
    <col min="1" max="1" width="9" style="42" customWidth="1"/>
    <col min="2" max="2" width="113.7109375" style="42" bestFit="1" customWidth="1"/>
    <col min="3" max="3" width="10.85546875" style="42" bestFit="1" customWidth="1"/>
    <col min="4" max="4" width="17.42578125" style="42" bestFit="1" customWidth="1"/>
    <col min="5" max="5" width="15.5703125" style="42" bestFit="1" customWidth="1"/>
    <col min="6" max="6" width="11.5703125" style="42" bestFit="1" customWidth="1"/>
    <col min="7" max="7" width="10.7109375" style="42" bestFit="1" customWidth="1"/>
    <col min="8" max="8" width="12.28515625" style="42" bestFit="1" customWidth="1"/>
    <col min="9" max="9" width="12.42578125" style="42" bestFit="1" customWidth="1"/>
    <col min="10" max="10" width="10.140625" style="42" bestFit="1" customWidth="1"/>
    <col min="11" max="120" width="8.42578125" style="42" bestFit="1" customWidth="1"/>
    <col min="121" max="121" width="5.42578125" style="42" bestFit="1" customWidth="1"/>
    <col min="122" max="122" width="7.42578125" style="42" bestFit="1" customWidth="1"/>
    <col min="123" max="123" width="11.42578125" style="42" bestFit="1" customWidth="1"/>
    <col min="124" max="16384" width="9.140625" style="42"/>
  </cols>
  <sheetData>
    <row r="1" spans="1:12">
      <c r="A1" s="249" t="s">
        <v>177</v>
      </c>
      <c r="B1" s="250" t="s">
        <v>5</v>
      </c>
      <c r="C1" s="48"/>
      <c r="D1" s="48"/>
      <c r="E1" s="48"/>
      <c r="F1" s="48"/>
      <c r="G1" s="48"/>
      <c r="H1" s="48"/>
      <c r="I1" s="48"/>
      <c r="J1" s="48"/>
      <c r="K1" s="48"/>
      <c r="L1" s="48"/>
    </row>
    <row r="2" spans="1:12">
      <c r="A2" s="249" t="s">
        <v>178</v>
      </c>
      <c r="B2" s="250" t="s">
        <v>5</v>
      </c>
      <c r="C2" s="48"/>
      <c r="D2" s="48"/>
      <c r="E2" s="48"/>
      <c r="F2" s="48"/>
      <c r="G2" s="48"/>
      <c r="H2" s="48"/>
      <c r="I2" s="48"/>
      <c r="J2" s="48"/>
      <c r="K2" s="48"/>
      <c r="L2" s="48"/>
    </row>
    <row r="4" spans="1:12">
      <c r="A4" s="251" t="s">
        <v>142</v>
      </c>
      <c r="B4" s="251" t="s">
        <v>141</v>
      </c>
      <c r="C4" s="251" t="s">
        <v>1951</v>
      </c>
      <c r="D4" s="251" t="s">
        <v>1952</v>
      </c>
      <c r="E4" s="251" t="s">
        <v>1953</v>
      </c>
      <c r="F4" s="251" t="s">
        <v>1954</v>
      </c>
      <c r="G4" s="251" t="s">
        <v>1955</v>
      </c>
      <c r="H4" s="251" t="s">
        <v>1956</v>
      </c>
      <c r="I4" s="251" t="s">
        <v>1957</v>
      </c>
      <c r="J4" s="251" t="s">
        <v>1958</v>
      </c>
      <c r="K4" s="43" t="s">
        <v>174</v>
      </c>
      <c r="L4" s="43" t="s">
        <v>175</v>
      </c>
    </row>
    <row r="5" spans="1:12">
      <c r="A5" s="250">
        <v>4110461</v>
      </c>
      <c r="B5" s="250" t="s">
        <v>1858</v>
      </c>
      <c r="C5" s="256">
        <v>1</v>
      </c>
      <c r="D5" s="256">
        <v>1</v>
      </c>
      <c r="E5" s="256">
        <v>1</v>
      </c>
      <c r="F5" s="256">
        <v>24</v>
      </c>
      <c r="G5" s="256">
        <v>0</v>
      </c>
      <c r="H5" s="256">
        <v>0</v>
      </c>
      <c r="I5" s="256">
        <v>0</v>
      </c>
      <c r="J5" s="256">
        <v>24</v>
      </c>
      <c r="K5" s="49">
        <f t="shared" ref="K5:K36" si="0">IF(G5+F5=0,0,SUM(F5:H5)/J5)</f>
        <v>1</v>
      </c>
      <c r="L5" s="49">
        <f t="shared" ref="L5:L36" si="1">IF(F5=0,0,F5/(SUM(F5:H5)))</f>
        <v>1</v>
      </c>
    </row>
    <row r="6" spans="1:12">
      <c r="A6" s="250">
        <v>4139936</v>
      </c>
      <c r="B6" s="250" t="s">
        <v>1374</v>
      </c>
      <c r="C6" s="256">
        <v>1</v>
      </c>
      <c r="D6" s="256">
        <v>1</v>
      </c>
      <c r="E6" s="256">
        <v>1</v>
      </c>
      <c r="F6" s="256">
        <v>7</v>
      </c>
      <c r="G6" s="256">
        <v>0</v>
      </c>
      <c r="H6" s="256">
        <v>0</v>
      </c>
      <c r="I6" s="256">
        <v>0</v>
      </c>
      <c r="J6" s="256">
        <v>7</v>
      </c>
      <c r="K6" s="49">
        <f t="shared" si="0"/>
        <v>1</v>
      </c>
      <c r="L6" s="49">
        <f t="shared" si="1"/>
        <v>1</v>
      </c>
    </row>
    <row r="7" spans="1:12">
      <c r="A7" s="250">
        <v>4160933</v>
      </c>
      <c r="B7" s="250" t="s">
        <v>1718</v>
      </c>
      <c r="C7" s="256">
        <v>1</v>
      </c>
      <c r="D7" s="256">
        <v>1</v>
      </c>
      <c r="E7" s="256">
        <v>1</v>
      </c>
      <c r="F7" s="256">
        <v>12</v>
      </c>
      <c r="G7" s="256">
        <v>0</v>
      </c>
      <c r="H7" s="256">
        <v>0</v>
      </c>
      <c r="I7" s="256">
        <v>0</v>
      </c>
      <c r="J7" s="256">
        <v>12</v>
      </c>
      <c r="K7" s="49">
        <f t="shared" si="0"/>
        <v>1</v>
      </c>
      <c r="L7" s="49">
        <f t="shared" si="1"/>
        <v>1</v>
      </c>
    </row>
    <row r="8" spans="1:12">
      <c r="A8" s="250">
        <v>4223629</v>
      </c>
      <c r="B8" s="250" t="s">
        <v>1457</v>
      </c>
      <c r="C8" s="256">
        <v>43</v>
      </c>
      <c r="D8" s="256">
        <v>43</v>
      </c>
      <c r="E8" s="256">
        <v>43</v>
      </c>
      <c r="F8" s="256">
        <v>531</v>
      </c>
      <c r="G8" s="256">
        <v>8</v>
      </c>
      <c r="H8" s="256">
        <v>0</v>
      </c>
      <c r="I8" s="256">
        <v>0</v>
      </c>
      <c r="J8" s="256">
        <v>539</v>
      </c>
      <c r="K8" s="49">
        <f t="shared" si="0"/>
        <v>1</v>
      </c>
      <c r="L8" s="49">
        <f t="shared" si="1"/>
        <v>0.98515769944341369</v>
      </c>
    </row>
    <row r="9" spans="1:12">
      <c r="A9" s="250">
        <v>4226586</v>
      </c>
      <c r="B9" s="250" t="s">
        <v>1608</v>
      </c>
      <c r="C9" s="256">
        <v>1</v>
      </c>
      <c r="D9" s="256">
        <v>1</v>
      </c>
      <c r="E9" s="256">
        <v>1</v>
      </c>
      <c r="F9" s="256">
        <v>24</v>
      </c>
      <c r="G9" s="256">
        <v>0</v>
      </c>
      <c r="H9" s="256">
        <v>0</v>
      </c>
      <c r="I9" s="256">
        <v>0</v>
      </c>
      <c r="J9" s="256">
        <v>24</v>
      </c>
      <c r="K9" s="49">
        <f t="shared" si="0"/>
        <v>1</v>
      </c>
      <c r="L9" s="49">
        <f t="shared" si="1"/>
        <v>1</v>
      </c>
    </row>
    <row r="10" spans="1:12">
      <c r="A10" s="250">
        <v>4272104</v>
      </c>
      <c r="B10" s="250" t="s">
        <v>1301</v>
      </c>
      <c r="C10" s="256">
        <v>1</v>
      </c>
      <c r="D10" s="256">
        <v>1</v>
      </c>
      <c r="E10" s="256">
        <v>1</v>
      </c>
      <c r="F10" s="256">
        <v>30</v>
      </c>
      <c r="G10" s="256">
        <v>0</v>
      </c>
      <c r="H10" s="256">
        <v>0</v>
      </c>
      <c r="I10" s="256">
        <v>0</v>
      </c>
      <c r="J10" s="256">
        <v>30</v>
      </c>
      <c r="K10" s="49">
        <f t="shared" si="0"/>
        <v>1</v>
      </c>
      <c r="L10" s="49">
        <f t="shared" si="1"/>
        <v>1</v>
      </c>
    </row>
    <row r="11" spans="1:12">
      <c r="A11" s="250">
        <v>4275996</v>
      </c>
      <c r="B11" s="250" t="s">
        <v>1148</v>
      </c>
      <c r="C11" s="256">
        <v>2</v>
      </c>
      <c r="D11" s="256">
        <v>2</v>
      </c>
      <c r="E11" s="256">
        <v>2</v>
      </c>
      <c r="F11" s="256">
        <v>27</v>
      </c>
      <c r="G11" s="256">
        <v>0</v>
      </c>
      <c r="H11" s="256">
        <v>0</v>
      </c>
      <c r="I11" s="256">
        <v>0</v>
      </c>
      <c r="J11" s="256">
        <v>27</v>
      </c>
      <c r="K11" s="49">
        <f t="shared" si="0"/>
        <v>1</v>
      </c>
      <c r="L11" s="49">
        <f t="shared" si="1"/>
        <v>1</v>
      </c>
    </row>
    <row r="12" spans="1:12">
      <c r="A12" s="250">
        <v>4278081</v>
      </c>
      <c r="B12" s="250" t="s">
        <v>1524</v>
      </c>
      <c r="C12" s="256">
        <v>30</v>
      </c>
      <c r="D12" s="256">
        <v>30</v>
      </c>
      <c r="E12" s="256">
        <v>30</v>
      </c>
      <c r="F12" s="256">
        <v>243</v>
      </c>
      <c r="G12" s="256">
        <v>0</v>
      </c>
      <c r="H12" s="256">
        <v>0</v>
      </c>
      <c r="I12" s="256">
        <v>0</v>
      </c>
      <c r="J12" s="256">
        <v>243</v>
      </c>
      <c r="K12" s="49">
        <f t="shared" si="0"/>
        <v>1</v>
      </c>
      <c r="L12" s="49">
        <f t="shared" si="1"/>
        <v>1</v>
      </c>
    </row>
    <row r="13" spans="1:12">
      <c r="A13" s="250">
        <v>4317352</v>
      </c>
      <c r="B13" s="250" t="s">
        <v>1557</v>
      </c>
      <c r="C13" s="256">
        <v>4</v>
      </c>
      <c r="D13" s="256">
        <v>4</v>
      </c>
      <c r="E13" s="256">
        <v>4</v>
      </c>
      <c r="F13" s="256">
        <v>176</v>
      </c>
      <c r="G13" s="256">
        <v>0</v>
      </c>
      <c r="H13" s="256">
        <v>0</v>
      </c>
      <c r="I13" s="256">
        <v>0</v>
      </c>
      <c r="J13" s="256">
        <v>176</v>
      </c>
      <c r="K13" s="49">
        <f t="shared" si="0"/>
        <v>1</v>
      </c>
      <c r="L13" s="49">
        <f t="shared" si="1"/>
        <v>1</v>
      </c>
    </row>
    <row r="14" spans="1:12">
      <c r="A14" s="250">
        <v>4318937</v>
      </c>
      <c r="B14" s="250" t="s">
        <v>1815</v>
      </c>
      <c r="C14" s="256">
        <v>1</v>
      </c>
      <c r="D14" s="256">
        <v>1</v>
      </c>
      <c r="E14" s="256">
        <v>1</v>
      </c>
      <c r="F14" s="256">
        <v>3</v>
      </c>
      <c r="G14" s="256">
        <v>0</v>
      </c>
      <c r="H14" s="256">
        <v>0</v>
      </c>
      <c r="I14" s="256">
        <v>0</v>
      </c>
      <c r="J14" s="256">
        <v>3</v>
      </c>
      <c r="K14" s="49">
        <f t="shared" si="0"/>
        <v>1</v>
      </c>
      <c r="L14" s="49">
        <f t="shared" si="1"/>
        <v>1</v>
      </c>
    </row>
    <row r="15" spans="1:12">
      <c r="A15" s="250">
        <v>4319026</v>
      </c>
      <c r="B15" s="250" t="s">
        <v>1716</v>
      </c>
      <c r="C15" s="256">
        <v>1</v>
      </c>
      <c r="D15" s="256">
        <v>1</v>
      </c>
      <c r="E15" s="256">
        <v>1</v>
      </c>
      <c r="F15" s="256">
        <v>4</v>
      </c>
      <c r="G15" s="256">
        <v>0</v>
      </c>
      <c r="H15" s="256">
        <v>0</v>
      </c>
      <c r="I15" s="256">
        <v>0</v>
      </c>
      <c r="J15" s="256">
        <v>4</v>
      </c>
      <c r="K15" s="49">
        <f t="shared" si="0"/>
        <v>1</v>
      </c>
      <c r="L15" s="49">
        <f t="shared" si="1"/>
        <v>1</v>
      </c>
    </row>
    <row r="16" spans="1:12">
      <c r="A16" s="250">
        <v>4319034</v>
      </c>
      <c r="B16" s="250" t="s">
        <v>1704</v>
      </c>
      <c r="C16" s="256">
        <v>1</v>
      </c>
      <c r="D16" s="256">
        <v>1</v>
      </c>
      <c r="E16" s="256">
        <v>1</v>
      </c>
      <c r="F16" s="256">
        <v>10</v>
      </c>
      <c r="G16" s="256">
        <v>0</v>
      </c>
      <c r="H16" s="256">
        <v>0</v>
      </c>
      <c r="I16" s="256">
        <v>0</v>
      </c>
      <c r="J16" s="256">
        <v>10</v>
      </c>
      <c r="K16" s="49">
        <f t="shared" si="0"/>
        <v>1</v>
      </c>
      <c r="L16" s="49">
        <f t="shared" si="1"/>
        <v>1</v>
      </c>
    </row>
    <row r="17" spans="1:12">
      <c r="A17" s="250">
        <v>4319934</v>
      </c>
      <c r="B17" s="250" t="s">
        <v>1185</v>
      </c>
      <c r="C17" s="256">
        <v>1</v>
      </c>
      <c r="D17" s="256">
        <v>1</v>
      </c>
      <c r="E17" s="256">
        <v>1</v>
      </c>
      <c r="F17" s="256">
        <v>4</v>
      </c>
      <c r="G17" s="256">
        <v>0</v>
      </c>
      <c r="H17" s="256">
        <v>0</v>
      </c>
      <c r="I17" s="256">
        <v>0</v>
      </c>
      <c r="J17" s="256">
        <v>4</v>
      </c>
      <c r="K17" s="49">
        <f t="shared" si="0"/>
        <v>1</v>
      </c>
      <c r="L17" s="49">
        <f t="shared" si="1"/>
        <v>1</v>
      </c>
    </row>
    <row r="18" spans="1:12">
      <c r="A18" s="250">
        <v>4330816</v>
      </c>
      <c r="B18" s="250" t="s">
        <v>1435</v>
      </c>
      <c r="C18" s="256">
        <v>4</v>
      </c>
      <c r="D18" s="256">
        <v>4</v>
      </c>
      <c r="E18" s="256">
        <v>4</v>
      </c>
      <c r="F18" s="256">
        <v>37</v>
      </c>
      <c r="G18" s="256">
        <v>0</v>
      </c>
      <c r="H18" s="256">
        <v>0</v>
      </c>
      <c r="I18" s="256">
        <v>0</v>
      </c>
      <c r="J18" s="256">
        <v>37</v>
      </c>
      <c r="K18" s="49">
        <f t="shared" si="0"/>
        <v>1</v>
      </c>
      <c r="L18" s="49">
        <f t="shared" si="1"/>
        <v>1</v>
      </c>
    </row>
    <row r="19" spans="1:12">
      <c r="A19" s="250">
        <v>4330994</v>
      </c>
      <c r="B19" s="250" t="s">
        <v>1204</v>
      </c>
      <c r="C19" s="256">
        <v>26</v>
      </c>
      <c r="D19" s="256">
        <v>26</v>
      </c>
      <c r="E19" s="256">
        <v>26</v>
      </c>
      <c r="F19" s="256">
        <v>430</v>
      </c>
      <c r="G19" s="256">
        <v>3</v>
      </c>
      <c r="H19" s="256">
        <v>0</v>
      </c>
      <c r="I19" s="256">
        <v>0</v>
      </c>
      <c r="J19" s="256">
        <v>433</v>
      </c>
      <c r="K19" s="49">
        <f t="shared" si="0"/>
        <v>1</v>
      </c>
      <c r="L19" s="49">
        <f t="shared" si="1"/>
        <v>0.99307159353348728</v>
      </c>
    </row>
    <row r="20" spans="1:12">
      <c r="A20" s="250" t="s">
        <v>78</v>
      </c>
      <c r="B20" s="250" t="s">
        <v>78</v>
      </c>
      <c r="C20" s="256"/>
      <c r="D20" s="256"/>
      <c r="E20" s="256"/>
      <c r="F20" s="256"/>
      <c r="G20" s="256"/>
      <c r="H20" s="256"/>
      <c r="I20" s="256"/>
      <c r="J20" s="256"/>
      <c r="K20" s="49">
        <f t="shared" si="0"/>
        <v>0</v>
      </c>
      <c r="L20" s="49">
        <f t="shared" si="1"/>
        <v>0</v>
      </c>
    </row>
    <row r="21" spans="1:12">
      <c r="A21" s="250">
        <v>4365826</v>
      </c>
      <c r="B21" s="250" t="s">
        <v>1212</v>
      </c>
      <c r="C21" s="256">
        <v>14</v>
      </c>
      <c r="D21" s="256">
        <v>14</v>
      </c>
      <c r="E21" s="256">
        <v>14</v>
      </c>
      <c r="F21" s="256">
        <v>169</v>
      </c>
      <c r="G21" s="256">
        <v>0</v>
      </c>
      <c r="H21" s="256">
        <v>0</v>
      </c>
      <c r="I21" s="256">
        <v>0</v>
      </c>
      <c r="J21" s="256">
        <v>169</v>
      </c>
      <c r="K21" s="49">
        <f t="shared" si="0"/>
        <v>1</v>
      </c>
      <c r="L21" s="49">
        <f t="shared" si="1"/>
        <v>1</v>
      </c>
    </row>
    <row r="22" spans="1:12">
      <c r="A22" s="250">
        <v>4174547</v>
      </c>
      <c r="B22" s="250" t="s">
        <v>1935</v>
      </c>
      <c r="C22" s="256">
        <v>1</v>
      </c>
      <c r="D22" s="256">
        <v>1</v>
      </c>
      <c r="E22" s="256">
        <v>1</v>
      </c>
      <c r="F22" s="256">
        <v>15</v>
      </c>
      <c r="G22" s="256">
        <v>0</v>
      </c>
      <c r="H22" s="256">
        <v>0</v>
      </c>
      <c r="I22" s="256">
        <v>0</v>
      </c>
      <c r="J22" s="256">
        <v>15</v>
      </c>
      <c r="K22" s="49">
        <f t="shared" si="0"/>
        <v>1</v>
      </c>
      <c r="L22" s="49">
        <f t="shared" si="1"/>
        <v>1</v>
      </c>
    </row>
    <row r="23" spans="1:12">
      <c r="A23" s="250">
        <v>4366165</v>
      </c>
      <c r="B23" s="250" t="s">
        <v>1336</v>
      </c>
      <c r="C23" s="256">
        <v>4</v>
      </c>
      <c r="D23" s="256">
        <v>4</v>
      </c>
      <c r="E23" s="256">
        <v>4</v>
      </c>
      <c r="F23" s="256">
        <v>110</v>
      </c>
      <c r="G23" s="256">
        <v>0</v>
      </c>
      <c r="H23" s="256">
        <v>0</v>
      </c>
      <c r="I23" s="256">
        <v>0</v>
      </c>
      <c r="J23" s="256">
        <v>110</v>
      </c>
      <c r="K23" s="49">
        <f t="shared" si="0"/>
        <v>1</v>
      </c>
      <c r="L23" s="49">
        <f t="shared" si="1"/>
        <v>1</v>
      </c>
    </row>
    <row r="24" spans="1:12">
      <c r="A24" s="250">
        <v>4331001</v>
      </c>
      <c r="B24" s="250" t="s">
        <v>1942</v>
      </c>
      <c r="C24" s="256">
        <v>2</v>
      </c>
      <c r="D24" s="256">
        <v>2</v>
      </c>
      <c r="E24" s="256">
        <v>2</v>
      </c>
      <c r="F24" s="256">
        <v>62</v>
      </c>
      <c r="G24" s="256">
        <v>0</v>
      </c>
      <c r="H24" s="256">
        <v>0</v>
      </c>
      <c r="I24" s="256">
        <v>0</v>
      </c>
      <c r="J24" s="256">
        <v>62</v>
      </c>
      <c r="K24" s="49">
        <f t="shared" si="0"/>
        <v>1</v>
      </c>
      <c r="L24" s="49">
        <f t="shared" si="1"/>
        <v>1</v>
      </c>
    </row>
    <row r="25" spans="1:12">
      <c r="A25" s="250">
        <v>4352723</v>
      </c>
      <c r="B25" s="250" t="s">
        <v>1843</v>
      </c>
      <c r="C25" s="256">
        <v>1</v>
      </c>
      <c r="D25" s="256">
        <v>1</v>
      </c>
      <c r="E25" s="256">
        <v>1</v>
      </c>
      <c r="F25" s="256">
        <v>10</v>
      </c>
      <c r="G25" s="256">
        <v>0</v>
      </c>
      <c r="H25" s="256">
        <v>0</v>
      </c>
      <c r="I25" s="256">
        <v>0</v>
      </c>
      <c r="J25" s="256">
        <v>10</v>
      </c>
      <c r="K25" s="49">
        <f t="shared" si="0"/>
        <v>1</v>
      </c>
      <c r="L25" s="49">
        <f t="shared" si="1"/>
        <v>1</v>
      </c>
    </row>
    <row r="26" spans="1:12">
      <c r="A26" s="250">
        <v>4358702</v>
      </c>
      <c r="B26" s="250" t="s">
        <v>1571</v>
      </c>
      <c r="C26" s="256">
        <v>4</v>
      </c>
      <c r="D26" s="256">
        <v>4</v>
      </c>
      <c r="E26" s="256">
        <v>4</v>
      </c>
      <c r="F26" s="256">
        <v>36</v>
      </c>
      <c r="G26" s="256">
        <v>1</v>
      </c>
      <c r="H26" s="256">
        <v>0</v>
      </c>
      <c r="I26" s="256">
        <v>0</v>
      </c>
      <c r="J26" s="256">
        <v>37</v>
      </c>
      <c r="K26" s="49">
        <f t="shared" si="0"/>
        <v>1</v>
      </c>
      <c r="L26" s="49">
        <f t="shared" si="1"/>
        <v>0.97297297297297303</v>
      </c>
    </row>
    <row r="27" spans="1:12">
      <c r="A27" s="250">
        <v>4364046</v>
      </c>
      <c r="B27" s="250" t="s">
        <v>1600</v>
      </c>
      <c r="C27" s="256">
        <v>1</v>
      </c>
      <c r="D27" s="256">
        <v>1</v>
      </c>
      <c r="E27" s="256">
        <v>1</v>
      </c>
      <c r="F27" s="256">
        <v>8</v>
      </c>
      <c r="G27" s="256">
        <v>0</v>
      </c>
      <c r="H27" s="256">
        <v>0</v>
      </c>
      <c r="I27" s="256">
        <v>0</v>
      </c>
      <c r="J27" s="256">
        <v>8</v>
      </c>
      <c r="K27" s="49">
        <f t="shared" si="0"/>
        <v>1</v>
      </c>
      <c r="L27" s="49">
        <f t="shared" si="1"/>
        <v>1</v>
      </c>
    </row>
    <row r="28" spans="1:12">
      <c r="A28" s="250">
        <v>4369027</v>
      </c>
      <c r="B28" s="250" t="s">
        <v>1589</v>
      </c>
      <c r="C28" s="256">
        <v>1</v>
      </c>
      <c r="D28" s="256">
        <v>1</v>
      </c>
      <c r="E28" s="256">
        <v>1</v>
      </c>
      <c r="F28" s="256">
        <v>7</v>
      </c>
      <c r="G28" s="256">
        <v>0</v>
      </c>
      <c r="H28" s="256">
        <v>0</v>
      </c>
      <c r="I28" s="256">
        <v>0</v>
      </c>
      <c r="J28" s="256">
        <v>7</v>
      </c>
      <c r="K28" s="49">
        <f t="shared" si="0"/>
        <v>1</v>
      </c>
      <c r="L28" s="49">
        <f t="shared" si="1"/>
        <v>1</v>
      </c>
    </row>
    <row r="29" spans="1:12">
      <c r="A29" s="250">
        <v>4282653</v>
      </c>
      <c r="B29" s="250" t="s">
        <v>1494</v>
      </c>
      <c r="C29" s="256">
        <v>6</v>
      </c>
      <c r="D29" s="256">
        <v>6</v>
      </c>
      <c r="E29" s="256">
        <v>6</v>
      </c>
      <c r="F29" s="256">
        <v>104</v>
      </c>
      <c r="G29" s="256">
        <v>0</v>
      </c>
      <c r="H29" s="256">
        <v>0</v>
      </c>
      <c r="I29" s="256">
        <v>0</v>
      </c>
      <c r="J29" s="256">
        <v>104</v>
      </c>
      <c r="K29" s="49">
        <f t="shared" si="0"/>
        <v>1</v>
      </c>
      <c r="L29" s="49">
        <f t="shared" si="1"/>
        <v>1</v>
      </c>
    </row>
    <row r="30" spans="1:12">
      <c r="A30" s="250">
        <v>4369575</v>
      </c>
      <c r="B30" s="250" t="s">
        <v>1589</v>
      </c>
      <c r="C30" s="256">
        <v>2</v>
      </c>
      <c r="D30" s="256">
        <v>2</v>
      </c>
      <c r="E30" s="256">
        <v>2</v>
      </c>
      <c r="F30" s="256">
        <v>29</v>
      </c>
      <c r="G30" s="256">
        <v>0</v>
      </c>
      <c r="H30" s="256">
        <v>0</v>
      </c>
      <c r="I30" s="256">
        <v>0</v>
      </c>
      <c r="J30" s="256">
        <v>29</v>
      </c>
      <c r="K30" s="49">
        <f t="shared" si="0"/>
        <v>1</v>
      </c>
      <c r="L30" s="49">
        <f t="shared" si="1"/>
        <v>1</v>
      </c>
    </row>
    <row r="31" spans="1:12">
      <c r="A31" s="250">
        <v>4378908</v>
      </c>
      <c r="B31" s="250" t="s">
        <v>1166</v>
      </c>
      <c r="C31" s="256">
        <v>10</v>
      </c>
      <c r="D31" s="256">
        <v>10</v>
      </c>
      <c r="E31" s="256">
        <v>10</v>
      </c>
      <c r="F31" s="256">
        <v>72</v>
      </c>
      <c r="G31" s="256">
        <v>0</v>
      </c>
      <c r="H31" s="256">
        <v>0</v>
      </c>
      <c r="I31" s="256">
        <v>0</v>
      </c>
      <c r="J31" s="256">
        <v>72</v>
      </c>
      <c r="K31" s="49">
        <f t="shared" si="0"/>
        <v>1</v>
      </c>
      <c r="L31" s="49">
        <f t="shared" si="1"/>
        <v>1</v>
      </c>
    </row>
    <row r="32" spans="1:12">
      <c r="A32" s="250">
        <v>4366466</v>
      </c>
      <c r="B32" s="250" t="s">
        <v>1325</v>
      </c>
      <c r="C32" s="256">
        <v>3</v>
      </c>
      <c r="D32" s="256">
        <v>3</v>
      </c>
      <c r="E32" s="256">
        <v>3</v>
      </c>
      <c r="F32" s="256">
        <v>28</v>
      </c>
      <c r="G32" s="256">
        <v>0</v>
      </c>
      <c r="H32" s="256">
        <v>0</v>
      </c>
      <c r="I32" s="256">
        <v>0</v>
      </c>
      <c r="J32" s="256">
        <v>28</v>
      </c>
      <c r="K32" s="49">
        <f t="shared" si="0"/>
        <v>1</v>
      </c>
      <c r="L32" s="49">
        <f t="shared" si="1"/>
        <v>1</v>
      </c>
    </row>
    <row r="33" spans="1:12">
      <c r="A33" s="250">
        <v>4059417</v>
      </c>
      <c r="B33" s="250" t="s">
        <v>1251</v>
      </c>
      <c r="C33" s="256">
        <v>2</v>
      </c>
      <c r="D33" s="256">
        <v>2</v>
      </c>
      <c r="E33" s="256">
        <v>2</v>
      </c>
      <c r="F33" s="256">
        <v>32</v>
      </c>
      <c r="G33" s="256">
        <v>0</v>
      </c>
      <c r="H33" s="256">
        <v>0</v>
      </c>
      <c r="I33" s="256">
        <v>0</v>
      </c>
      <c r="J33" s="256">
        <v>32</v>
      </c>
      <c r="K33" s="49">
        <f t="shared" si="0"/>
        <v>1</v>
      </c>
      <c r="L33" s="49">
        <f t="shared" si="1"/>
        <v>1</v>
      </c>
    </row>
    <row r="34" spans="1:12">
      <c r="A34" s="250">
        <v>4317843</v>
      </c>
      <c r="B34" s="250" t="s">
        <v>1246</v>
      </c>
      <c r="C34" s="256">
        <v>1</v>
      </c>
      <c r="D34" s="256">
        <v>1</v>
      </c>
      <c r="E34" s="256">
        <v>1</v>
      </c>
      <c r="F34" s="256">
        <v>20</v>
      </c>
      <c r="G34" s="256">
        <v>0</v>
      </c>
      <c r="H34" s="256">
        <v>0</v>
      </c>
      <c r="I34" s="256">
        <v>0</v>
      </c>
      <c r="J34" s="256">
        <v>20</v>
      </c>
      <c r="K34" s="49">
        <f t="shared" si="0"/>
        <v>1</v>
      </c>
      <c r="L34" s="49">
        <f t="shared" si="1"/>
        <v>1</v>
      </c>
    </row>
    <row r="35" spans="1:12">
      <c r="A35" s="250">
        <v>4317244</v>
      </c>
      <c r="B35" s="250" t="s">
        <v>1242</v>
      </c>
      <c r="C35" s="256">
        <v>24</v>
      </c>
      <c r="D35" s="256">
        <v>24</v>
      </c>
      <c r="E35" s="256">
        <v>24</v>
      </c>
      <c r="F35" s="256">
        <v>354</v>
      </c>
      <c r="G35" s="256">
        <v>0</v>
      </c>
      <c r="H35" s="256">
        <v>0</v>
      </c>
      <c r="I35" s="256">
        <v>0</v>
      </c>
      <c r="J35" s="256">
        <v>354</v>
      </c>
      <c r="K35" s="49">
        <f t="shared" si="0"/>
        <v>1</v>
      </c>
      <c r="L35" s="49">
        <f t="shared" si="1"/>
        <v>1</v>
      </c>
    </row>
    <row r="36" spans="1:12">
      <c r="A36" s="250">
        <v>4316934</v>
      </c>
      <c r="B36" s="250" t="s">
        <v>1270</v>
      </c>
      <c r="C36" s="256">
        <v>3</v>
      </c>
      <c r="D36" s="256">
        <v>3</v>
      </c>
      <c r="E36" s="256">
        <v>3</v>
      </c>
      <c r="F36" s="256">
        <v>18</v>
      </c>
      <c r="G36" s="256">
        <v>0</v>
      </c>
      <c r="H36" s="256">
        <v>0</v>
      </c>
      <c r="I36" s="256">
        <v>0</v>
      </c>
      <c r="J36" s="256">
        <v>18</v>
      </c>
      <c r="K36" s="49">
        <f t="shared" si="0"/>
        <v>1</v>
      </c>
      <c r="L36" s="49">
        <f t="shared" si="1"/>
        <v>1</v>
      </c>
    </row>
    <row r="37" spans="1:12">
      <c r="A37" s="250">
        <v>4275381</v>
      </c>
      <c r="B37" s="250" t="s">
        <v>1937</v>
      </c>
      <c r="C37" s="256">
        <v>1</v>
      </c>
      <c r="D37" s="256">
        <v>1</v>
      </c>
      <c r="E37" s="256">
        <v>1</v>
      </c>
      <c r="F37" s="256">
        <v>18</v>
      </c>
      <c r="G37" s="256">
        <v>0</v>
      </c>
      <c r="H37" s="256">
        <v>0</v>
      </c>
      <c r="I37" s="256">
        <v>0</v>
      </c>
      <c r="J37" s="256">
        <v>18</v>
      </c>
      <c r="K37" s="49">
        <f t="shared" ref="K37:K68" si="2">IF(G37+F37=0,0,SUM(F37:H37)/J37)</f>
        <v>1</v>
      </c>
      <c r="L37" s="49">
        <f t="shared" ref="L37:L68" si="3">IF(F37=0,0,F37/(SUM(F37:H37)))</f>
        <v>1</v>
      </c>
    </row>
    <row r="38" spans="1:12">
      <c r="A38" s="250">
        <v>4316945</v>
      </c>
      <c r="B38" s="250" t="s">
        <v>1257</v>
      </c>
      <c r="C38" s="256">
        <v>2</v>
      </c>
      <c r="D38" s="256">
        <v>2</v>
      </c>
      <c r="E38" s="256">
        <v>2</v>
      </c>
      <c r="F38" s="256">
        <v>5</v>
      </c>
      <c r="G38" s="256">
        <v>0</v>
      </c>
      <c r="H38" s="256">
        <v>0</v>
      </c>
      <c r="I38" s="256">
        <v>0</v>
      </c>
      <c r="J38" s="256">
        <v>5</v>
      </c>
      <c r="K38" s="49">
        <f t="shared" si="2"/>
        <v>1</v>
      </c>
      <c r="L38" s="49">
        <f t="shared" si="3"/>
        <v>1</v>
      </c>
    </row>
    <row r="39" spans="1:12">
      <c r="A39" s="250">
        <v>4317373</v>
      </c>
      <c r="B39" s="250" t="s">
        <v>1261</v>
      </c>
      <c r="C39" s="256">
        <v>1</v>
      </c>
      <c r="D39" s="256">
        <v>1</v>
      </c>
      <c r="E39" s="256">
        <v>1</v>
      </c>
      <c r="F39" s="256">
        <v>3</v>
      </c>
      <c r="G39" s="256">
        <v>0</v>
      </c>
      <c r="H39" s="256">
        <v>0</v>
      </c>
      <c r="I39" s="256">
        <v>0</v>
      </c>
      <c r="J39" s="256">
        <v>3</v>
      </c>
      <c r="K39" s="49">
        <f t="shared" si="2"/>
        <v>1</v>
      </c>
      <c r="L39" s="49">
        <f t="shared" si="3"/>
        <v>1</v>
      </c>
    </row>
    <row r="40" spans="1:12">
      <c r="A40" s="250">
        <v>4358815</v>
      </c>
      <c r="B40" s="250" t="s">
        <v>1193</v>
      </c>
      <c r="C40" s="256">
        <v>2</v>
      </c>
      <c r="D40" s="256">
        <v>2</v>
      </c>
      <c r="E40" s="256">
        <v>2</v>
      </c>
      <c r="F40" s="256">
        <v>19</v>
      </c>
      <c r="G40" s="256">
        <v>0</v>
      </c>
      <c r="H40" s="256">
        <v>0</v>
      </c>
      <c r="I40" s="256">
        <v>0</v>
      </c>
      <c r="J40" s="256">
        <v>19</v>
      </c>
      <c r="K40" s="49">
        <f t="shared" si="2"/>
        <v>1</v>
      </c>
      <c r="L40" s="49">
        <f t="shared" si="3"/>
        <v>1</v>
      </c>
    </row>
    <row r="41" spans="1:12">
      <c r="A41" s="250">
        <v>4385939</v>
      </c>
      <c r="B41" s="250" t="s">
        <v>1879</v>
      </c>
      <c r="C41" s="256">
        <v>1</v>
      </c>
      <c r="D41" s="256">
        <v>1</v>
      </c>
      <c r="E41" s="256">
        <v>1</v>
      </c>
      <c r="F41" s="256">
        <v>10</v>
      </c>
      <c r="G41" s="256">
        <v>0</v>
      </c>
      <c r="H41" s="256">
        <v>0</v>
      </c>
      <c r="I41" s="256">
        <v>0</v>
      </c>
      <c r="J41" s="256">
        <v>10</v>
      </c>
      <c r="K41" s="49">
        <f t="shared" si="2"/>
        <v>1</v>
      </c>
      <c r="L41" s="49">
        <f t="shared" si="3"/>
        <v>1</v>
      </c>
    </row>
    <row r="42" spans="1:12">
      <c r="A42" s="250">
        <v>4368357</v>
      </c>
      <c r="B42" s="250" t="s">
        <v>1158</v>
      </c>
      <c r="C42" s="256">
        <v>1</v>
      </c>
      <c r="D42" s="256">
        <v>1</v>
      </c>
      <c r="E42" s="256">
        <v>1</v>
      </c>
      <c r="F42" s="256">
        <v>12</v>
      </c>
      <c r="G42" s="256">
        <v>0</v>
      </c>
      <c r="H42" s="256">
        <v>0</v>
      </c>
      <c r="I42" s="256">
        <v>0</v>
      </c>
      <c r="J42" s="256">
        <v>12</v>
      </c>
      <c r="K42" s="49">
        <f t="shared" si="2"/>
        <v>1</v>
      </c>
      <c r="L42" s="49">
        <f t="shared" si="3"/>
        <v>1</v>
      </c>
    </row>
    <row r="43" spans="1:12">
      <c r="A43" s="250">
        <v>4368359</v>
      </c>
      <c r="B43" s="250" t="s">
        <v>1162</v>
      </c>
      <c r="C43" s="256">
        <v>1</v>
      </c>
      <c r="D43" s="256">
        <v>1</v>
      </c>
      <c r="E43" s="256">
        <v>1</v>
      </c>
      <c r="F43" s="256">
        <v>12</v>
      </c>
      <c r="G43" s="256">
        <v>0</v>
      </c>
      <c r="H43" s="256">
        <v>0</v>
      </c>
      <c r="I43" s="256">
        <v>0</v>
      </c>
      <c r="J43" s="256">
        <v>12</v>
      </c>
      <c r="K43" s="49">
        <f t="shared" si="2"/>
        <v>1</v>
      </c>
      <c r="L43" s="49">
        <f t="shared" si="3"/>
        <v>1</v>
      </c>
    </row>
    <row r="44" spans="1:12">
      <c r="A44" s="250">
        <v>4368361</v>
      </c>
      <c r="B44" s="250" t="s">
        <v>1164</v>
      </c>
      <c r="C44" s="256">
        <v>1</v>
      </c>
      <c r="D44" s="256">
        <v>1</v>
      </c>
      <c r="E44" s="256">
        <v>1</v>
      </c>
      <c r="F44" s="256">
        <v>12</v>
      </c>
      <c r="G44" s="256">
        <v>0</v>
      </c>
      <c r="H44" s="256">
        <v>0</v>
      </c>
      <c r="I44" s="256">
        <v>0</v>
      </c>
      <c r="J44" s="256">
        <v>12</v>
      </c>
      <c r="K44" s="49">
        <f t="shared" si="2"/>
        <v>1</v>
      </c>
      <c r="L44" s="49">
        <f t="shared" si="3"/>
        <v>1</v>
      </c>
    </row>
    <row r="45" spans="1:12">
      <c r="A45" s="250">
        <v>4349307</v>
      </c>
      <c r="B45" s="250" t="s">
        <v>1864</v>
      </c>
      <c r="C45" s="256">
        <v>8</v>
      </c>
      <c r="D45" s="256">
        <v>8</v>
      </c>
      <c r="E45" s="256">
        <v>8</v>
      </c>
      <c r="F45" s="256">
        <v>124</v>
      </c>
      <c r="G45" s="256">
        <v>0</v>
      </c>
      <c r="H45" s="256">
        <v>0</v>
      </c>
      <c r="I45" s="256">
        <v>0</v>
      </c>
      <c r="J45" s="256">
        <v>124</v>
      </c>
      <c r="K45" s="49">
        <f t="shared" si="2"/>
        <v>1</v>
      </c>
      <c r="L45" s="49">
        <f t="shared" si="3"/>
        <v>1</v>
      </c>
    </row>
    <row r="46" spans="1:12">
      <c r="A46" s="250">
        <v>4316104</v>
      </c>
      <c r="B46" s="250" t="s">
        <v>1898</v>
      </c>
      <c r="C46" s="256">
        <v>2</v>
      </c>
      <c r="D46" s="256">
        <v>2</v>
      </c>
      <c r="E46" s="256">
        <v>2</v>
      </c>
      <c r="F46" s="256">
        <v>39</v>
      </c>
      <c r="G46" s="256">
        <v>0</v>
      </c>
      <c r="H46" s="256">
        <v>0</v>
      </c>
      <c r="I46" s="256">
        <v>0</v>
      </c>
      <c r="J46" s="256">
        <v>39</v>
      </c>
      <c r="K46" s="49">
        <f t="shared" si="2"/>
        <v>1</v>
      </c>
      <c r="L46" s="49">
        <f t="shared" si="3"/>
        <v>1</v>
      </c>
    </row>
    <row r="47" spans="1:12">
      <c r="A47" s="250">
        <v>4135829</v>
      </c>
      <c r="B47" s="250" t="s">
        <v>1905</v>
      </c>
      <c r="C47" s="256">
        <v>1</v>
      </c>
      <c r="D47" s="256">
        <v>1</v>
      </c>
      <c r="E47" s="256">
        <v>1</v>
      </c>
      <c r="F47" s="256">
        <v>18</v>
      </c>
      <c r="G47" s="256">
        <v>0</v>
      </c>
      <c r="H47" s="256">
        <v>0</v>
      </c>
      <c r="I47" s="256">
        <v>0</v>
      </c>
      <c r="J47" s="256">
        <v>18</v>
      </c>
      <c r="K47" s="49">
        <f t="shared" si="2"/>
        <v>1</v>
      </c>
      <c r="L47" s="49">
        <f t="shared" si="3"/>
        <v>1</v>
      </c>
    </row>
    <row r="48" spans="1:12">
      <c r="A48" s="250">
        <v>4048583</v>
      </c>
      <c r="B48" s="250" t="s">
        <v>1146</v>
      </c>
      <c r="C48" s="256">
        <v>1</v>
      </c>
      <c r="D48" s="256">
        <v>1</v>
      </c>
      <c r="E48" s="256">
        <v>1</v>
      </c>
      <c r="F48" s="256">
        <v>33</v>
      </c>
      <c r="G48" s="256">
        <v>0</v>
      </c>
      <c r="H48" s="256">
        <v>0</v>
      </c>
      <c r="I48" s="256">
        <v>0</v>
      </c>
      <c r="J48" s="256">
        <v>33</v>
      </c>
      <c r="K48" s="49">
        <f t="shared" si="2"/>
        <v>1</v>
      </c>
      <c r="L48" s="49">
        <f t="shared" si="3"/>
        <v>1</v>
      </c>
    </row>
    <row r="49" spans="1:12">
      <c r="A49" s="250">
        <v>4328940</v>
      </c>
      <c r="B49" s="250" t="s">
        <v>1135</v>
      </c>
      <c r="C49" s="256">
        <v>4</v>
      </c>
      <c r="D49" s="256">
        <v>4</v>
      </c>
      <c r="E49" s="256">
        <v>4</v>
      </c>
      <c r="F49" s="256">
        <v>53</v>
      </c>
      <c r="G49" s="256">
        <v>0</v>
      </c>
      <c r="H49" s="256">
        <v>0</v>
      </c>
      <c r="I49" s="256">
        <v>0</v>
      </c>
      <c r="J49" s="256">
        <v>53</v>
      </c>
      <c r="K49" s="49">
        <f t="shared" si="2"/>
        <v>1</v>
      </c>
      <c r="L49" s="49">
        <f t="shared" si="3"/>
        <v>1</v>
      </c>
    </row>
    <row r="50" spans="1:12">
      <c r="A50" s="250">
        <v>4386527</v>
      </c>
      <c r="B50" s="250" t="s">
        <v>1277</v>
      </c>
      <c r="C50" s="256">
        <v>20</v>
      </c>
      <c r="D50" s="256">
        <v>20</v>
      </c>
      <c r="E50" s="256">
        <v>20</v>
      </c>
      <c r="F50" s="256">
        <v>243</v>
      </c>
      <c r="G50" s="256">
        <v>0</v>
      </c>
      <c r="H50" s="256">
        <v>0</v>
      </c>
      <c r="I50" s="256">
        <v>0</v>
      </c>
      <c r="J50" s="256">
        <v>243</v>
      </c>
      <c r="K50" s="49">
        <f t="shared" si="2"/>
        <v>1</v>
      </c>
      <c r="L50" s="49">
        <f t="shared" si="3"/>
        <v>1</v>
      </c>
    </row>
    <row r="51" spans="1:12">
      <c r="A51" s="250">
        <v>4371748</v>
      </c>
      <c r="B51" s="250" t="s">
        <v>1133</v>
      </c>
      <c r="C51" s="256">
        <v>3</v>
      </c>
      <c r="D51" s="256">
        <v>3</v>
      </c>
      <c r="E51" s="256">
        <v>3</v>
      </c>
      <c r="F51" s="256">
        <v>47</v>
      </c>
      <c r="G51" s="256">
        <v>0</v>
      </c>
      <c r="H51" s="256">
        <v>0</v>
      </c>
      <c r="I51" s="256">
        <v>0</v>
      </c>
      <c r="J51" s="256">
        <v>47</v>
      </c>
      <c r="K51" s="49">
        <f t="shared" si="2"/>
        <v>1</v>
      </c>
      <c r="L51" s="49">
        <f t="shared" si="3"/>
        <v>1</v>
      </c>
    </row>
    <row r="52" spans="1:12">
      <c r="A52" s="250">
        <v>4344500</v>
      </c>
      <c r="B52" s="250" t="s">
        <v>1354</v>
      </c>
      <c r="C52" s="256">
        <v>1</v>
      </c>
      <c r="D52" s="256">
        <v>1</v>
      </c>
      <c r="E52" s="256">
        <v>1</v>
      </c>
      <c r="F52" s="256">
        <v>4</v>
      </c>
      <c r="G52" s="256">
        <v>0</v>
      </c>
      <c r="H52" s="256">
        <v>0</v>
      </c>
      <c r="I52" s="256">
        <v>0</v>
      </c>
      <c r="J52" s="256">
        <v>4</v>
      </c>
      <c r="K52" s="49">
        <f t="shared" si="2"/>
        <v>1</v>
      </c>
      <c r="L52" s="49">
        <f t="shared" si="3"/>
        <v>1</v>
      </c>
    </row>
    <row r="53" spans="1:12">
      <c r="A53" s="250">
        <v>4378932</v>
      </c>
      <c r="B53" s="250" t="s">
        <v>1391</v>
      </c>
      <c r="C53" s="256">
        <v>2</v>
      </c>
      <c r="D53" s="256">
        <v>2</v>
      </c>
      <c r="E53" s="256">
        <v>2</v>
      </c>
      <c r="F53" s="256">
        <v>10</v>
      </c>
      <c r="G53" s="256">
        <v>0</v>
      </c>
      <c r="H53" s="256">
        <v>0</v>
      </c>
      <c r="I53" s="256">
        <v>0</v>
      </c>
      <c r="J53" s="256">
        <v>10</v>
      </c>
      <c r="K53" s="49">
        <f t="shared" si="2"/>
        <v>1</v>
      </c>
      <c r="L53" s="49">
        <f t="shared" si="3"/>
        <v>1</v>
      </c>
    </row>
    <row r="54" spans="1:12">
      <c r="A54" s="250">
        <v>4373652</v>
      </c>
      <c r="B54" s="250" t="s">
        <v>1625</v>
      </c>
      <c r="C54" s="256">
        <v>17</v>
      </c>
      <c r="D54" s="256">
        <v>17</v>
      </c>
      <c r="E54" s="256">
        <v>17</v>
      </c>
      <c r="F54" s="256">
        <v>264</v>
      </c>
      <c r="G54" s="256">
        <v>0</v>
      </c>
      <c r="H54" s="256">
        <v>0</v>
      </c>
      <c r="I54" s="256">
        <v>0</v>
      </c>
      <c r="J54" s="256">
        <v>264</v>
      </c>
      <c r="K54" s="49">
        <f t="shared" si="2"/>
        <v>1</v>
      </c>
      <c r="L54" s="49">
        <f t="shared" si="3"/>
        <v>1</v>
      </c>
    </row>
    <row r="55" spans="1:12">
      <c r="A55" s="250">
        <v>4260380</v>
      </c>
      <c r="B55" s="250" t="s">
        <v>1168</v>
      </c>
      <c r="C55" s="256">
        <v>12</v>
      </c>
      <c r="D55" s="256">
        <v>12</v>
      </c>
      <c r="E55" s="256">
        <v>12</v>
      </c>
      <c r="F55" s="256">
        <v>179</v>
      </c>
      <c r="G55" s="256">
        <v>4</v>
      </c>
      <c r="H55" s="256">
        <v>0</v>
      </c>
      <c r="I55" s="256">
        <v>0</v>
      </c>
      <c r="J55" s="256">
        <v>183</v>
      </c>
      <c r="K55" s="49">
        <f t="shared" si="2"/>
        <v>1</v>
      </c>
      <c r="L55" s="49">
        <f t="shared" si="3"/>
        <v>0.97814207650273222</v>
      </c>
    </row>
    <row r="56" spans="1:12">
      <c r="A56" s="250">
        <v>4319932</v>
      </c>
      <c r="B56" s="250" t="s">
        <v>1178</v>
      </c>
      <c r="C56" s="256">
        <v>5</v>
      </c>
      <c r="D56" s="256">
        <v>5</v>
      </c>
      <c r="E56" s="256">
        <v>5</v>
      </c>
      <c r="F56" s="256">
        <v>75</v>
      </c>
      <c r="G56" s="256">
        <v>0</v>
      </c>
      <c r="H56" s="256">
        <v>0</v>
      </c>
      <c r="I56" s="256">
        <v>0</v>
      </c>
      <c r="J56" s="256">
        <v>75</v>
      </c>
      <c r="K56" s="49">
        <f t="shared" si="2"/>
        <v>1</v>
      </c>
      <c r="L56" s="49">
        <f t="shared" si="3"/>
        <v>1</v>
      </c>
    </row>
    <row r="57" spans="1:12">
      <c r="A57" s="250">
        <v>4372101</v>
      </c>
      <c r="B57" s="250" t="s">
        <v>1464</v>
      </c>
      <c r="C57" s="256">
        <v>2</v>
      </c>
      <c r="D57" s="256">
        <v>2</v>
      </c>
      <c r="E57" s="256">
        <v>2</v>
      </c>
      <c r="F57" s="256">
        <v>27</v>
      </c>
      <c r="G57" s="256">
        <v>0</v>
      </c>
      <c r="H57" s="256">
        <v>0</v>
      </c>
      <c r="I57" s="256">
        <v>0</v>
      </c>
      <c r="J57" s="256">
        <v>27</v>
      </c>
      <c r="K57" s="49">
        <f t="shared" si="2"/>
        <v>1</v>
      </c>
      <c r="L57" s="49">
        <f t="shared" si="3"/>
        <v>1</v>
      </c>
    </row>
    <row r="58" spans="1:12">
      <c r="A58" s="250">
        <v>4357664</v>
      </c>
      <c r="B58" s="250" t="s">
        <v>1448</v>
      </c>
      <c r="C58" s="256">
        <v>3</v>
      </c>
      <c r="D58" s="256">
        <v>3</v>
      </c>
      <c r="E58" s="256">
        <v>3</v>
      </c>
      <c r="F58" s="256">
        <v>26</v>
      </c>
      <c r="G58" s="256">
        <v>0</v>
      </c>
      <c r="H58" s="256">
        <v>0</v>
      </c>
      <c r="I58" s="256">
        <v>0</v>
      </c>
      <c r="J58" s="256">
        <v>26</v>
      </c>
      <c r="K58" s="49">
        <f t="shared" si="2"/>
        <v>1</v>
      </c>
      <c r="L58" s="49">
        <f t="shared" si="3"/>
        <v>1</v>
      </c>
    </row>
    <row r="59" spans="1:12">
      <c r="A59" s="250">
        <v>4361786</v>
      </c>
      <c r="B59" s="250" t="s">
        <v>1450</v>
      </c>
      <c r="C59" s="256">
        <v>1</v>
      </c>
      <c r="D59" s="256">
        <v>1</v>
      </c>
      <c r="E59" s="256">
        <v>1</v>
      </c>
      <c r="F59" s="256">
        <v>18</v>
      </c>
      <c r="G59" s="256">
        <v>0</v>
      </c>
      <c r="H59" s="256">
        <v>0</v>
      </c>
      <c r="I59" s="256">
        <v>0</v>
      </c>
      <c r="J59" s="256">
        <v>18</v>
      </c>
      <c r="K59" s="49">
        <f t="shared" si="2"/>
        <v>1</v>
      </c>
      <c r="L59" s="49">
        <f t="shared" si="3"/>
        <v>1</v>
      </c>
    </row>
    <row r="60" spans="1:12">
      <c r="A60" s="250">
        <v>4373741</v>
      </c>
      <c r="B60" s="250" t="s">
        <v>1473</v>
      </c>
      <c r="C60" s="256">
        <v>5</v>
      </c>
      <c r="D60" s="256">
        <v>5</v>
      </c>
      <c r="E60" s="256">
        <v>5</v>
      </c>
      <c r="F60" s="256">
        <v>51</v>
      </c>
      <c r="G60" s="256">
        <v>10</v>
      </c>
      <c r="H60" s="256">
        <v>0</v>
      </c>
      <c r="I60" s="256">
        <v>0</v>
      </c>
      <c r="J60" s="256">
        <v>61</v>
      </c>
      <c r="K60" s="49">
        <f t="shared" si="2"/>
        <v>1</v>
      </c>
      <c r="L60" s="49">
        <f t="shared" si="3"/>
        <v>0.83606557377049184</v>
      </c>
    </row>
    <row r="61" spans="1:12">
      <c r="A61" s="250">
        <v>4368560</v>
      </c>
      <c r="B61" s="250" t="s">
        <v>1429</v>
      </c>
      <c r="C61" s="256">
        <v>3</v>
      </c>
      <c r="D61" s="256">
        <v>3</v>
      </c>
      <c r="E61" s="256">
        <v>3</v>
      </c>
      <c r="F61" s="256">
        <v>25</v>
      </c>
      <c r="G61" s="256">
        <v>0</v>
      </c>
      <c r="H61" s="256">
        <v>0</v>
      </c>
      <c r="I61" s="256">
        <v>0</v>
      </c>
      <c r="J61" s="256">
        <v>25</v>
      </c>
      <c r="K61" s="49">
        <f t="shared" si="2"/>
        <v>1</v>
      </c>
      <c r="L61" s="49">
        <f t="shared" si="3"/>
        <v>1</v>
      </c>
    </row>
    <row r="62" spans="1:12">
      <c r="A62" s="250">
        <v>4369470</v>
      </c>
      <c r="B62" s="250" t="s">
        <v>1419</v>
      </c>
      <c r="C62" s="256">
        <v>3</v>
      </c>
      <c r="D62" s="256">
        <v>3</v>
      </c>
      <c r="E62" s="256">
        <v>3</v>
      </c>
      <c r="F62" s="256">
        <v>22</v>
      </c>
      <c r="G62" s="256">
        <v>0</v>
      </c>
      <c r="H62" s="256">
        <v>0</v>
      </c>
      <c r="I62" s="256">
        <v>0</v>
      </c>
      <c r="J62" s="256">
        <v>22</v>
      </c>
      <c r="K62" s="49">
        <f t="shared" si="2"/>
        <v>1</v>
      </c>
      <c r="L62" s="49">
        <f t="shared" si="3"/>
        <v>1</v>
      </c>
    </row>
    <row r="63" spans="1:12">
      <c r="A63" s="250">
        <v>4369453</v>
      </c>
      <c r="B63" s="250" t="s">
        <v>1439</v>
      </c>
      <c r="C63" s="256">
        <v>5</v>
      </c>
      <c r="D63" s="256">
        <v>5</v>
      </c>
      <c r="E63" s="256">
        <v>5</v>
      </c>
      <c r="F63" s="256">
        <v>30</v>
      </c>
      <c r="G63" s="256">
        <v>1</v>
      </c>
      <c r="H63" s="256">
        <v>0</v>
      </c>
      <c r="I63" s="256">
        <v>0</v>
      </c>
      <c r="J63" s="256">
        <v>31</v>
      </c>
      <c r="K63" s="49">
        <f t="shared" si="2"/>
        <v>1</v>
      </c>
      <c r="L63" s="49">
        <f t="shared" si="3"/>
        <v>0.967741935483871</v>
      </c>
    </row>
    <row r="64" spans="1:12">
      <c r="A64" s="250">
        <v>4368954</v>
      </c>
      <c r="B64" s="250" t="s">
        <v>1485</v>
      </c>
      <c r="C64" s="256">
        <v>7</v>
      </c>
      <c r="D64" s="256">
        <v>7</v>
      </c>
      <c r="E64" s="256">
        <v>7</v>
      </c>
      <c r="F64" s="256">
        <v>96</v>
      </c>
      <c r="G64" s="256">
        <v>0</v>
      </c>
      <c r="H64" s="256">
        <v>0</v>
      </c>
      <c r="I64" s="256">
        <v>0</v>
      </c>
      <c r="J64" s="256">
        <v>96</v>
      </c>
      <c r="K64" s="49">
        <f t="shared" si="2"/>
        <v>1</v>
      </c>
      <c r="L64" s="49">
        <f t="shared" si="3"/>
        <v>1</v>
      </c>
    </row>
    <row r="65" spans="1:12">
      <c r="A65" s="250">
        <v>4364399</v>
      </c>
      <c r="B65" s="250" t="s">
        <v>1685</v>
      </c>
      <c r="C65" s="256">
        <v>2</v>
      </c>
      <c r="D65" s="256">
        <v>2</v>
      </c>
      <c r="E65" s="256">
        <v>2</v>
      </c>
      <c r="F65" s="256">
        <v>19</v>
      </c>
      <c r="G65" s="256">
        <v>0</v>
      </c>
      <c r="H65" s="256">
        <v>0</v>
      </c>
      <c r="I65" s="256">
        <v>0</v>
      </c>
      <c r="J65" s="256">
        <v>19</v>
      </c>
      <c r="K65" s="49">
        <f t="shared" si="2"/>
        <v>1</v>
      </c>
      <c r="L65" s="49">
        <f t="shared" si="3"/>
        <v>1</v>
      </c>
    </row>
    <row r="66" spans="1:12">
      <c r="A66" s="250">
        <v>4364390</v>
      </c>
      <c r="B66" s="250" t="s">
        <v>1630</v>
      </c>
      <c r="C66" s="256">
        <v>2</v>
      </c>
      <c r="D66" s="256">
        <v>2</v>
      </c>
      <c r="E66" s="256">
        <v>2</v>
      </c>
      <c r="F66" s="256">
        <v>9</v>
      </c>
      <c r="G66" s="256">
        <v>0</v>
      </c>
      <c r="H66" s="256">
        <v>0</v>
      </c>
      <c r="I66" s="256">
        <v>0</v>
      </c>
      <c r="J66" s="256">
        <v>9</v>
      </c>
      <c r="K66" s="49">
        <f t="shared" si="2"/>
        <v>1</v>
      </c>
      <c r="L66" s="49">
        <f t="shared" si="3"/>
        <v>1</v>
      </c>
    </row>
    <row r="67" spans="1:12">
      <c r="A67" s="250">
        <v>4373561</v>
      </c>
      <c r="B67" s="250" t="s">
        <v>1768</v>
      </c>
      <c r="C67" s="256">
        <v>9</v>
      </c>
      <c r="D67" s="256">
        <v>9</v>
      </c>
      <c r="E67" s="256">
        <v>9</v>
      </c>
      <c r="F67" s="256">
        <v>202</v>
      </c>
      <c r="G67" s="256">
        <v>1</v>
      </c>
      <c r="H67" s="256">
        <v>0</v>
      </c>
      <c r="I67" s="256">
        <v>0</v>
      </c>
      <c r="J67" s="256">
        <v>203</v>
      </c>
      <c r="K67" s="49">
        <f t="shared" si="2"/>
        <v>1</v>
      </c>
      <c r="L67" s="49">
        <f t="shared" si="3"/>
        <v>0.99507389162561577</v>
      </c>
    </row>
    <row r="68" spans="1:12">
      <c r="A68" s="250">
        <v>4319556</v>
      </c>
      <c r="B68" s="250" t="s">
        <v>1764</v>
      </c>
      <c r="C68" s="256">
        <v>1</v>
      </c>
      <c r="D68" s="256">
        <v>1</v>
      </c>
      <c r="E68" s="256">
        <v>1</v>
      </c>
      <c r="F68" s="256">
        <v>11</v>
      </c>
      <c r="G68" s="256">
        <v>0</v>
      </c>
      <c r="H68" s="256">
        <v>0</v>
      </c>
      <c r="I68" s="256">
        <v>0</v>
      </c>
      <c r="J68" s="256">
        <v>11</v>
      </c>
      <c r="K68" s="49">
        <f t="shared" si="2"/>
        <v>1</v>
      </c>
      <c r="L68" s="49">
        <f t="shared" si="3"/>
        <v>1</v>
      </c>
    </row>
    <row r="69" spans="1:12">
      <c r="A69" s="250">
        <v>4317766</v>
      </c>
      <c r="B69" s="250" t="s">
        <v>1760</v>
      </c>
      <c r="C69" s="256">
        <v>4</v>
      </c>
      <c r="D69" s="256">
        <v>4</v>
      </c>
      <c r="E69" s="256">
        <v>4</v>
      </c>
      <c r="F69" s="256">
        <v>40</v>
      </c>
      <c r="G69" s="256">
        <v>0</v>
      </c>
      <c r="H69" s="256">
        <v>0</v>
      </c>
      <c r="I69" s="256">
        <v>0</v>
      </c>
      <c r="J69" s="256">
        <v>40</v>
      </c>
      <c r="K69" s="49">
        <f t="shared" ref="K69:K100" si="4">IF(G69+F69=0,0,SUM(F69:H69)/J69)</f>
        <v>1</v>
      </c>
      <c r="L69" s="49">
        <f t="shared" ref="L69:L100" si="5">IF(F69=0,0,F69/(SUM(F69:H69)))</f>
        <v>1</v>
      </c>
    </row>
    <row r="70" spans="1:12">
      <c r="A70" s="250">
        <v>4269015</v>
      </c>
      <c r="B70" s="250" t="s">
        <v>1840</v>
      </c>
      <c r="C70" s="256">
        <v>1</v>
      </c>
      <c r="D70" s="256">
        <v>1</v>
      </c>
      <c r="E70" s="256">
        <v>1</v>
      </c>
      <c r="F70" s="256">
        <v>30</v>
      </c>
      <c r="G70" s="256">
        <v>1</v>
      </c>
      <c r="H70" s="256">
        <v>0</v>
      </c>
      <c r="I70" s="256">
        <v>0</v>
      </c>
      <c r="J70" s="256">
        <v>31</v>
      </c>
      <c r="K70" s="49">
        <f t="shared" si="4"/>
        <v>1</v>
      </c>
      <c r="L70" s="49">
        <f t="shared" si="5"/>
        <v>0.967741935483871</v>
      </c>
    </row>
    <row r="71" spans="1:12">
      <c r="A71" s="250">
        <v>4352766</v>
      </c>
      <c r="B71" s="250" t="s">
        <v>1351</v>
      </c>
      <c r="C71" s="256">
        <v>4</v>
      </c>
      <c r="D71" s="256">
        <v>4</v>
      </c>
      <c r="E71" s="256">
        <v>4</v>
      </c>
      <c r="F71" s="256">
        <v>79</v>
      </c>
      <c r="G71" s="256">
        <v>0</v>
      </c>
      <c r="H71" s="256">
        <v>0</v>
      </c>
      <c r="I71" s="256">
        <v>0</v>
      </c>
      <c r="J71" s="256">
        <v>79</v>
      </c>
      <c r="K71" s="49">
        <f t="shared" si="4"/>
        <v>1</v>
      </c>
      <c r="L71" s="49">
        <f t="shared" si="5"/>
        <v>1</v>
      </c>
    </row>
    <row r="72" spans="1:12">
      <c r="A72" s="250">
        <v>4364026</v>
      </c>
      <c r="B72" s="250" t="s">
        <v>1340</v>
      </c>
      <c r="C72" s="256">
        <v>2</v>
      </c>
      <c r="D72" s="256">
        <v>2</v>
      </c>
      <c r="E72" s="256">
        <v>2</v>
      </c>
      <c r="F72" s="256">
        <v>60</v>
      </c>
      <c r="G72" s="256">
        <v>0</v>
      </c>
      <c r="H72" s="256">
        <v>0</v>
      </c>
      <c r="I72" s="256">
        <v>0</v>
      </c>
      <c r="J72" s="256">
        <v>60</v>
      </c>
      <c r="K72" s="49">
        <f t="shared" si="4"/>
        <v>1</v>
      </c>
      <c r="L72" s="49">
        <f t="shared" si="5"/>
        <v>1</v>
      </c>
    </row>
    <row r="73" spans="1:12">
      <c r="A73" s="250">
        <v>4316161</v>
      </c>
      <c r="B73" s="250" t="s">
        <v>1232</v>
      </c>
      <c r="C73" s="256">
        <v>2</v>
      </c>
      <c r="D73" s="256">
        <v>2</v>
      </c>
      <c r="E73" s="256">
        <v>2</v>
      </c>
      <c r="F73" s="256">
        <v>30</v>
      </c>
      <c r="G73" s="256">
        <v>0</v>
      </c>
      <c r="H73" s="256">
        <v>0</v>
      </c>
      <c r="I73" s="256">
        <v>0</v>
      </c>
      <c r="J73" s="256">
        <v>30</v>
      </c>
      <c r="K73" s="49">
        <f t="shared" si="4"/>
        <v>1</v>
      </c>
      <c r="L73" s="49">
        <f t="shared" si="5"/>
        <v>1</v>
      </c>
    </row>
    <row r="74" spans="1:12">
      <c r="A74" s="250">
        <v>4371812</v>
      </c>
      <c r="B74" s="250" t="s">
        <v>1851</v>
      </c>
      <c r="C74" s="256">
        <v>1</v>
      </c>
      <c r="D74" s="256">
        <v>1</v>
      </c>
      <c r="E74" s="256">
        <v>1</v>
      </c>
      <c r="F74" s="256">
        <v>16</v>
      </c>
      <c r="G74" s="256">
        <v>0</v>
      </c>
      <c r="H74" s="256">
        <v>0</v>
      </c>
      <c r="I74" s="256">
        <v>0</v>
      </c>
      <c r="J74" s="256">
        <v>16</v>
      </c>
      <c r="K74" s="49">
        <f t="shared" si="4"/>
        <v>1</v>
      </c>
      <c r="L74" s="49">
        <f t="shared" si="5"/>
        <v>1</v>
      </c>
    </row>
    <row r="75" spans="1:12">
      <c r="A75" s="250">
        <v>4373529</v>
      </c>
      <c r="B75" s="250" t="s">
        <v>1848</v>
      </c>
      <c r="C75" s="256">
        <v>1</v>
      </c>
      <c r="D75" s="256">
        <v>1</v>
      </c>
      <c r="E75" s="256">
        <v>1</v>
      </c>
      <c r="F75" s="256">
        <v>25</v>
      </c>
      <c r="G75" s="256">
        <v>0</v>
      </c>
      <c r="H75" s="256">
        <v>0</v>
      </c>
      <c r="I75" s="256">
        <v>0</v>
      </c>
      <c r="J75" s="256">
        <v>25</v>
      </c>
      <c r="K75" s="49">
        <f t="shared" si="4"/>
        <v>1</v>
      </c>
      <c r="L75" s="49">
        <f t="shared" si="5"/>
        <v>1</v>
      </c>
    </row>
    <row r="76" spans="1:12">
      <c r="A76" s="250">
        <v>4351343</v>
      </c>
      <c r="B76" s="250" t="s">
        <v>1305</v>
      </c>
      <c r="C76" s="256">
        <v>4</v>
      </c>
      <c r="D76" s="256">
        <v>4</v>
      </c>
      <c r="E76" s="256">
        <v>4</v>
      </c>
      <c r="F76" s="256">
        <v>88</v>
      </c>
      <c r="G76" s="256">
        <v>0</v>
      </c>
      <c r="H76" s="256">
        <v>0</v>
      </c>
      <c r="I76" s="256">
        <v>0</v>
      </c>
      <c r="J76" s="256">
        <v>88</v>
      </c>
      <c r="K76" s="49">
        <f t="shared" si="4"/>
        <v>1</v>
      </c>
      <c r="L76" s="49">
        <f t="shared" si="5"/>
        <v>1</v>
      </c>
    </row>
    <row r="77" spans="1:12">
      <c r="A77" s="250">
        <v>4371602</v>
      </c>
      <c r="B77" s="250" t="s">
        <v>1345</v>
      </c>
      <c r="C77" s="256">
        <v>1</v>
      </c>
      <c r="D77" s="256">
        <v>1</v>
      </c>
      <c r="E77" s="256">
        <v>1</v>
      </c>
      <c r="F77" s="256">
        <v>11</v>
      </c>
      <c r="G77" s="256">
        <v>0</v>
      </c>
      <c r="H77" s="256">
        <v>0</v>
      </c>
      <c r="I77" s="256">
        <v>0</v>
      </c>
      <c r="J77" s="256">
        <v>11</v>
      </c>
      <c r="K77" s="49">
        <f t="shared" si="4"/>
        <v>1</v>
      </c>
      <c r="L77" s="49">
        <f t="shared" si="5"/>
        <v>1</v>
      </c>
    </row>
    <row r="78" spans="1:12">
      <c r="A78" s="250">
        <v>4371610</v>
      </c>
      <c r="B78" s="250" t="s">
        <v>1292</v>
      </c>
      <c r="C78" s="256">
        <v>1</v>
      </c>
      <c r="D78" s="256">
        <v>1</v>
      </c>
      <c r="E78" s="256">
        <v>1</v>
      </c>
      <c r="F78" s="256">
        <v>23</v>
      </c>
      <c r="G78" s="256">
        <v>0</v>
      </c>
      <c r="H78" s="256">
        <v>0</v>
      </c>
      <c r="I78" s="256">
        <v>0</v>
      </c>
      <c r="J78" s="256">
        <v>23</v>
      </c>
      <c r="K78" s="49">
        <f t="shared" si="4"/>
        <v>1</v>
      </c>
      <c r="L78" s="49">
        <f t="shared" si="5"/>
        <v>1</v>
      </c>
    </row>
    <row r="79" spans="1:12">
      <c r="A79" s="250">
        <v>4273057</v>
      </c>
      <c r="B79" s="250" t="s">
        <v>1830</v>
      </c>
      <c r="C79" s="256">
        <v>2</v>
      </c>
      <c r="D79" s="256">
        <v>2</v>
      </c>
      <c r="E79" s="256">
        <v>2</v>
      </c>
      <c r="F79" s="256">
        <v>54</v>
      </c>
      <c r="G79" s="256">
        <v>0</v>
      </c>
      <c r="H79" s="256">
        <v>0</v>
      </c>
      <c r="I79" s="256">
        <v>0</v>
      </c>
      <c r="J79" s="256">
        <v>54</v>
      </c>
      <c r="K79" s="49">
        <f t="shared" si="4"/>
        <v>1</v>
      </c>
      <c r="L79" s="49">
        <f t="shared" si="5"/>
        <v>1</v>
      </c>
    </row>
    <row r="80" spans="1:12">
      <c r="A80" s="250">
        <v>4378855</v>
      </c>
      <c r="B80" s="250" t="s">
        <v>1358</v>
      </c>
      <c r="C80" s="256">
        <v>1</v>
      </c>
      <c r="D80" s="256">
        <v>1</v>
      </c>
      <c r="E80" s="256">
        <v>1</v>
      </c>
      <c r="F80" s="256">
        <v>21</v>
      </c>
      <c r="G80" s="256">
        <v>0</v>
      </c>
      <c r="H80" s="256">
        <v>0</v>
      </c>
      <c r="I80" s="256">
        <v>0</v>
      </c>
      <c r="J80" s="256">
        <v>21</v>
      </c>
      <c r="K80" s="49">
        <f t="shared" si="4"/>
        <v>1</v>
      </c>
      <c r="L80" s="49">
        <f t="shared" si="5"/>
        <v>1</v>
      </c>
    </row>
    <row r="81" spans="1:12">
      <c r="A81" s="250">
        <v>4365879</v>
      </c>
      <c r="B81" s="250" t="s">
        <v>1331</v>
      </c>
      <c r="C81" s="256">
        <v>3</v>
      </c>
      <c r="D81" s="256">
        <v>3</v>
      </c>
      <c r="E81" s="256">
        <v>3</v>
      </c>
      <c r="F81" s="256">
        <v>43</v>
      </c>
      <c r="G81" s="256">
        <v>0</v>
      </c>
      <c r="H81" s="256">
        <v>0</v>
      </c>
      <c r="I81" s="256">
        <v>0</v>
      </c>
      <c r="J81" s="256">
        <v>43</v>
      </c>
      <c r="K81" s="49">
        <f t="shared" si="4"/>
        <v>1</v>
      </c>
      <c r="L81" s="49">
        <f t="shared" si="5"/>
        <v>1</v>
      </c>
    </row>
    <row r="82" spans="1:12">
      <c r="A82" s="250">
        <v>4341338</v>
      </c>
      <c r="B82" s="250" t="s">
        <v>1227</v>
      </c>
      <c r="C82" s="256">
        <v>6</v>
      </c>
      <c r="D82" s="256">
        <v>6</v>
      </c>
      <c r="E82" s="256">
        <v>6</v>
      </c>
      <c r="F82" s="256">
        <v>196</v>
      </c>
      <c r="G82" s="256">
        <v>0</v>
      </c>
      <c r="H82" s="256">
        <v>0</v>
      </c>
      <c r="I82" s="256">
        <v>0</v>
      </c>
      <c r="J82" s="256">
        <v>196</v>
      </c>
      <c r="K82" s="49">
        <f t="shared" si="4"/>
        <v>1</v>
      </c>
      <c r="L82" s="49">
        <f t="shared" si="5"/>
        <v>1</v>
      </c>
    </row>
    <row r="83" spans="1:12">
      <c r="A83" s="250">
        <v>4385941</v>
      </c>
      <c r="B83" s="250" t="s">
        <v>1315</v>
      </c>
      <c r="C83" s="256">
        <v>1</v>
      </c>
      <c r="D83" s="256">
        <v>1</v>
      </c>
      <c r="E83" s="256">
        <v>1</v>
      </c>
      <c r="F83" s="256">
        <v>12</v>
      </c>
      <c r="G83" s="256">
        <v>0</v>
      </c>
      <c r="H83" s="256">
        <v>0</v>
      </c>
      <c r="I83" s="256">
        <v>0</v>
      </c>
      <c r="J83" s="256">
        <v>12</v>
      </c>
      <c r="K83" s="49">
        <f t="shared" si="4"/>
        <v>1</v>
      </c>
      <c r="L83" s="49">
        <f t="shared" si="5"/>
        <v>1</v>
      </c>
    </row>
    <row r="84" spans="1:12">
      <c r="A84" s="250">
        <v>4371914</v>
      </c>
      <c r="B84" s="250" t="s">
        <v>1318</v>
      </c>
      <c r="C84" s="256">
        <v>2</v>
      </c>
      <c r="D84" s="256">
        <v>2</v>
      </c>
      <c r="E84" s="256">
        <v>2</v>
      </c>
      <c r="F84" s="256">
        <v>11</v>
      </c>
      <c r="G84" s="256">
        <v>0</v>
      </c>
      <c r="H84" s="256">
        <v>0</v>
      </c>
      <c r="I84" s="256">
        <v>0</v>
      </c>
      <c r="J84" s="256">
        <v>11</v>
      </c>
      <c r="K84" s="49">
        <f t="shared" si="4"/>
        <v>1</v>
      </c>
      <c r="L84" s="49">
        <f t="shared" si="5"/>
        <v>1</v>
      </c>
    </row>
    <row r="85" spans="1:12">
      <c r="A85" s="250">
        <v>4371834</v>
      </c>
      <c r="B85" s="250" t="s">
        <v>1320</v>
      </c>
      <c r="C85" s="256">
        <v>1</v>
      </c>
      <c r="D85" s="256">
        <v>1</v>
      </c>
      <c r="E85" s="256">
        <v>1</v>
      </c>
      <c r="F85" s="256">
        <v>8</v>
      </c>
      <c r="G85" s="256">
        <v>0</v>
      </c>
      <c r="H85" s="256">
        <v>0</v>
      </c>
      <c r="I85" s="256">
        <v>0</v>
      </c>
      <c r="J85" s="256">
        <v>8</v>
      </c>
      <c r="K85" s="49">
        <f t="shared" si="4"/>
        <v>1</v>
      </c>
      <c r="L85" s="49">
        <f t="shared" si="5"/>
        <v>1</v>
      </c>
    </row>
    <row r="86" spans="1:12">
      <c r="A86" s="250">
        <v>4371836</v>
      </c>
      <c r="B86" s="250" t="s">
        <v>1322</v>
      </c>
      <c r="C86" s="256">
        <v>1</v>
      </c>
      <c r="D86" s="256">
        <v>1</v>
      </c>
      <c r="E86" s="256">
        <v>1</v>
      </c>
      <c r="F86" s="256">
        <v>10</v>
      </c>
      <c r="G86" s="256">
        <v>0</v>
      </c>
      <c r="H86" s="256">
        <v>0</v>
      </c>
      <c r="I86" s="256">
        <v>0</v>
      </c>
      <c r="J86" s="256">
        <v>10</v>
      </c>
      <c r="K86" s="49">
        <f t="shared" si="4"/>
        <v>1</v>
      </c>
      <c r="L86" s="49">
        <f t="shared" si="5"/>
        <v>1</v>
      </c>
    </row>
    <row r="87" spans="1:12">
      <c r="A87" s="250">
        <v>4359602</v>
      </c>
      <c r="B87" s="250" t="s">
        <v>1365</v>
      </c>
      <c r="C87" s="256">
        <v>1</v>
      </c>
      <c r="D87" s="256">
        <v>1</v>
      </c>
      <c r="E87" s="256">
        <v>1</v>
      </c>
      <c r="F87" s="256">
        <v>7</v>
      </c>
      <c r="G87" s="256">
        <v>0</v>
      </c>
      <c r="H87" s="256">
        <v>0</v>
      </c>
      <c r="I87" s="256">
        <v>0</v>
      </c>
      <c r="J87" s="256">
        <v>7</v>
      </c>
      <c r="K87" s="49">
        <f t="shared" si="4"/>
        <v>1</v>
      </c>
      <c r="L87" s="49">
        <f t="shared" si="5"/>
        <v>1</v>
      </c>
    </row>
    <row r="88" spans="1:12">
      <c r="A88" s="250">
        <v>4356899</v>
      </c>
      <c r="B88" s="250"/>
      <c r="C88" s="256">
        <v>4</v>
      </c>
      <c r="D88" s="256">
        <v>4</v>
      </c>
      <c r="E88" s="256">
        <v>4</v>
      </c>
      <c r="F88" s="256">
        <v>89</v>
      </c>
      <c r="G88" s="256">
        <v>0</v>
      </c>
      <c r="H88" s="256">
        <v>0</v>
      </c>
      <c r="I88" s="256">
        <v>0</v>
      </c>
      <c r="J88" s="256">
        <v>89</v>
      </c>
      <c r="K88" s="49">
        <f t="shared" si="4"/>
        <v>1</v>
      </c>
      <c r="L88" s="49">
        <f t="shared" si="5"/>
        <v>1</v>
      </c>
    </row>
    <row r="89" spans="1:12">
      <c r="A89" s="250">
        <v>4368157</v>
      </c>
      <c r="B89" s="250" t="s">
        <v>1781</v>
      </c>
      <c r="C89" s="256">
        <v>4</v>
      </c>
      <c r="D89" s="256">
        <v>4</v>
      </c>
      <c r="E89" s="256">
        <v>4</v>
      </c>
      <c r="F89" s="256">
        <v>110</v>
      </c>
      <c r="G89" s="256">
        <v>0</v>
      </c>
      <c r="H89" s="256">
        <v>0</v>
      </c>
      <c r="I89" s="256">
        <v>0</v>
      </c>
      <c r="J89" s="256">
        <v>110</v>
      </c>
      <c r="K89" s="49">
        <f t="shared" si="4"/>
        <v>1</v>
      </c>
      <c r="L89" s="49">
        <f t="shared" si="5"/>
        <v>1</v>
      </c>
    </row>
    <row r="90" spans="1:12">
      <c r="A90" s="250">
        <v>4368212</v>
      </c>
      <c r="B90" s="250" t="s">
        <v>1771</v>
      </c>
      <c r="C90" s="256">
        <v>3</v>
      </c>
      <c r="D90" s="256">
        <v>3</v>
      </c>
      <c r="E90" s="256">
        <v>3</v>
      </c>
      <c r="F90" s="256">
        <v>61</v>
      </c>
      <c r="G90" s="256">
        <v>0</v>
      </c>
      <c r="H90" s="256">
        <v>0</v>
      </c>
      <c r="I90" s="256">
        <v>0</v>
      </c>
      <c r="J90" s="256">
        <v>61</v>
      </c>
      <c r="K90" s="49">
        <f t="shared" si="4"/>
        <v>1</v>
      </c>
      <c r="L90" s="49">
        <f t="shared" si="5"/>
        <v>1</v>
      </c>
    </row>
    <row r="91" spans="1:12">
      <c r="A91" s="250">
        <v>4387609</v>
      </c>
      <c r="B91" s="250" t="s">
        <v>1885</v>
      </c>
      <c r="C91" s="256">
        <v>1</v>
      </c>
      <c r="D91" s="256">
        <v>1</v>
      </c>
      <c r="E91" s="256">
        <v>1</v>
      </c>
      <c r="F91" s="256">
        <v>7</v>
      </c>
      <c r="G91" s="256">
        <v>0</v>
      </c>
      <c r="H91" s="256">
        <v>0</v>
      </c>
      <c r="I91" s="256">
        <v>0</v>
      </c>
      <c r="J91" s="256">
        <v>7</v>
      </c>
      <c r="K91" s="49">
        <f t="shared" si="4"/>
        <v>1</v>
      </c>
      <c r="L91" s="49">
        <f t="shared" si="5"/>
        <v>1</v>
      </c>
    </row>
    <row r="92" spans="1:12">
      <c r="A92" s="250">
        <v>4387610</v>
      </c>
      <c r="B92" s="250" t="s">
        <v>1218</v>
      </c>
      <c r="C92" s="256">
        <v>1</v>
      </c>
      <c r="D92" s="256">
        <v>1</v>
      </c>
      <c r="E92" s="256">
        <v>1</v>
      </c>
      <c r="F92" s="256">
        <v>11</v>
      </c>
      <c r="G92" s="256">
        <v>0</v>
      </c>
      <c r="H92" s="256">
        <v>0</v>
      </c>
      <c r="I92" s="256">
        <v>0</v>
      </c>
      <c r="J92" s="256">
        <v>11</v>
      </c>
      <c r="K92" s="49">
        <f t="shared" si="4"/>
        <v>1</v>
      </c>
      <c r="L92" s="49">
        <f t="shared" si="5"/>
        <v>1</v>
      </c>
    </row>
    <row r="93" spans="1:12">
      <c r="A93" s="250">
        <v>4387613</v>
      </c>
      <c r="B93" s="250" t="s">
        <v>1615</v>
      </c>
      <c r="C93" s="256">
        <v>1</v>
      </c>
      <c r="D93" s="256">
        <v>1</v>
      </c>
      <c r="E93" s="256">
        <v>1</v>
      </c>
      <c r="F93" s="256">
        <v>5</v>
      </c>
      <c r="G93" s="256">
        <v>0</v>
      </c>
      <c r="H93" s="256">
        <v>0</v>
      </c>
      <c r="I93" s="256">
        <v>0</v>
      </c>
      <c r="J93" s="256">
        <v>5</v>
      </c>
      <c r="K93" s="49">
        <f t="shared" si="4"/>
        <v>1</v>
      </c>
      <c r="L93" s="49">
        <f t="shared" si="5"/>
        <v>1</v>
      </c>
    </row>
    <row r="94" spans="1:12">
      <c r="A94" s="250">
        <v>4387615</v>
      </c>
      <c r="B94" s="250" t="s">
        <v>1612</v>
      </c>
      <c r="C94" s="256">
        <v>1</v>
      </c>
      <c r="D94" s="256">
        <v>1</v>
      </c>
      <c r="E94" s="256">
        <v>1</v>
      </c>
      <c r="F94" s="256">
        <v>10</v>
      </c>
      <c r="G94" s="256">
        <v>0</v>
      </c>
      <c r="H94" s="256">
        <v>0</v>
      </c>
      <c r="I94" s="256">
        <v>0</v>
      </c>
      <c r="J94" s="256">
        <v>10</v>
      </c>
      <c r="K94" s="49">
        <f t="shared" si="4"/>
        <v>1</v>
      </c>
      <c r="L94" s="49">
        <f t="shared" si="5"/>
        <v>1</v>
      </c>
    </row>
    <row r="95" spans="1:12">
      <c r="A95" s="250">
        <v>4392317</v>
      </c>
      <c r="B95" s="250" t="s">
        <v>1917</v>
      </c>
      <c r="C95" s="256">
        <v>2</v>
      </c>
      <c r="D95" s="256">
        <v>2</v>
      </c>
      <c r="E95" s="256">
        <v>2</v>
      </c>
      <c r="F95" s="256">
        <v>33</v>
      </c>
      <c r="G95" s="256">
        <v>0</v>
      </c>
      <c r="H95" s="256">
        <v>0</v>
      </c>
      <c r="I95" s="256">
        <v>0</v>
      </c>
      <c r="J95" s="256">
        <v>33</v>
      </c>
      <c r="K95" s="49">
        <f t="shared" si="4"/>
        <v>1</v>
      </c>
      <c r="L95" s="49">
        <f t="shared" si="5"/>
        <v>1</v>
      </c>
    </row>
    <row r="96" spans="1:12">
      <c r="A96" s="250">
        <v>4349735</v>
      </c>
      <c r="B96" s="250" t="s">
        <v>1931</v>
      </c>
      <c r="C96" s="256">
        <v>1</v>
      </c>
      <c r="D96" s="256">
        <v>1</v>
      </c>
      <c r="E96" s="256">
        <v>1</v>
      </c>
      <c r="F96" s="256">
        <v>6</v>
      </c>
      <c r="G96" s="256">
        <v>0</v>
      </c>
      <c r="H96" s="256">
        <v>0</v>
      </c>
      <c r="I96" s="256">
        <v>0</v>
      </c>
      <c r="J96" s="256">
        <v>6</v>
      </c>
      <c r="K96" s="49">
        <f t="shared" si="4"/>
        <v>1</v>
      </c>
      <c r="L96" s="49">
        <f t="shared" si="5"/>
        <v>1</v>
      </c>
    </row>
    <row r="97" spans="1:12">
      <c r="A97" s="250">
        <v>4384974</v>
      </c>
      <c r="B97" s="250" t="s">
        <v>1122</v>
      </c>
      <c r="C97" s="256">
        <v>3</v>
      </c>
      <c r="D97" s="256">
        <v>3</v>
      </c>
      <c r="E97" s="256">
        <v>3</v>
      </c>
      <c r="F97" s="256">
        <v>37</v>
      </c>
      <c r="G97" s="256">
        <v>0</v>
      </c>
      <c r="H97" s="256">
        <v>0</v>
      </c>
      <c r="I97" s="256">
        <v>0</v>
      </c>
      <c r="J97" s="256">
        <v>37</v>
      </c>
      <c r="K97" s="49">
        <f t="shared" si="4"/>
        <v>1</v>
      </c>
      <c r="L97" s="49">
        <f t="shared" si="5"/>
        <v>1</v>
      </c>
    </row>
    <row r="98" spans="1:12">
      <c r="A98" s="250">
        <v>4393292</v>
      </c>
      <c r="B98" s="250" t="s">
        <v>1470</v>
      </c>
      <c r="C98" s="256">
        <v>5</v>
      </c>
      <c r="D98" s="256">
        <v>5</v>
      </c>
      <c r="E98" s="256">
        <v>5</v>
      </c>
      <c r="F98" s="256">
        <v>147</v>
      </c>
      <c r="G98" s="256">
        <v>0</v>
      </c>
      <c r="H98" s="256">
        <v>0</v>
      </c>
      <c r="I98" s="256">
        <v>0</v>
      </c>
      <c r="J98" s="256">
        <v>147</v>
      </c>
      <c r="K98" s="49">
        <f t="shared" si="4"/>
        <v>1</v>
      </c>
      <c r="L98" s="49">
        <f t="shared" si="5"/>
        <v>1</v>
      </c>
    </row>
    <row r="99" spans="1:12">
      <c r="A99" s="250">
        <v>4387681</v>
      </c>
      <c r="B99" s="250" t="s">
        <v>1516</v>
      </c>
      <c r="C99" s="256">
        <v>4</v>
      </c>
      <c r="D99" s="256">
        <v>4</v>
      </c>
      <c r="E99" s="256">
        <v>4</v>
      </c>
      <c r="F99" s="256">
        <v>20</v>
      </c>
      <c r="G99" s="256">
        <v>0</v>
      </c>
      <c r="H99" s="256">
        <v>0</v>
      </c>
      <c r="I99" s="256">
        <v>0</v>
      </c>
      <c r="J99" s="256">
        <v>20</v>
      </c>
      <c r="K99" s="49">
        <f t="shared" si="4"/>
        <v>1</v>
      </c>
      <c r="L99" s="49">
        <f t="shared" si="5"/>
        <v>1</v>
      </c>
    </row>
    <row r="100" spans="1:12">
      <c r="A100" s="250">
        <v>4390945</v>
      </c>
      <c r="B100" s="250" t="s">
        <v>1454</v>
      </c>
      <c r="C100" s="256">
        <v>1</v>
      </c>
      <c r="D100" s="256">
        <v>1</v>
      </c>
      <c r="E100" s="256">
        <v>1</v>
      </c>
      <c r="F100" s="256">
        <v>5</v>
      </c>
      <c r="G100" s="256">
        <v>0</v>
      </c>
      <c r="H100" s="256">
        <v>0</v>
      </c>
      <c r="I100" s="256">
        <v>0</v>
      </c>
      <c r="J100" s="256">
        <v>5</v>
      </c>
      <c r="K100" s="49">
        <f t="shared" si="4"/>
        <v>1</v>
      </c>
      <c r="L100" s="49">
        <f t="shared" si="5"/>
        <v>1</v>
      </c>
    </row>
    <row r="101" spans="1:12">
      <c r="A101" s="250">
        <v>4392680</v>
      </c>
      <c r="B101" s="250" t="s">
        <v>1397</v>
      </c>
      <c r="C101" s="256">
        <v>4</v>
      </c>
      <c r="D101" s="256">
        <v>4</v>
      </c>
      <c r="E101" s="256">
        <v>4</v>
      </c>
      <c r="F101" s="256">
        <v>62</v>
      </c>
      <c r="G101" s="256">
        <v>0</v>
      </c>
      <c r="H101" s="256">
        <v>0</v>
      </c>
      <c r="I101" s="256">
        <v>0</v>
      </c>
      <c r="J101" s="256">
        <v>62</v>
      </c>
      <c r="K101" s="49">
        <f t="shared" ref="K101:K132" si="6">IF(G101+F101=0,0,SUM(F101:H101)/J101)</f>
        <v>1</v>
      </c>
      <c r="L101" s="49">
        <f t="shared" ref="L101:L132" si="7">IF(F101=0,0,F101/(SUM(F101:H101)))</f>
        <v>1</v>
      </c>
    </row>
    <row r="102" spans="1:12">
      <c r="A102" s="250">
        <v>4393835</v>
      </c>
      <c r="B102" s="250" t="s">
        <v>1406</v>
      </c>
      <c r="C102" s="256">
        <v>3</v>
      </c>
      <c r="D102" s="256">
        <v>3</v>
      </c>
      <c r="E102" s="256">
        <v>3</v>
      </c>
      <c r="F102" s="256">
        <v>61</v>
      </c>
      <c r="G102" s="256">
        <v>0</v>
      </c>
      <c r="H102" s="256">
        <v>0</v>
      </c>
      <c r="I102" s="256">
        <v>0</v>
      </c>
      <c r="J102" s="256">
        <v>61</v>
      </c>
      <c r="K102" s="49">
        <f t="shared" si="6"/>
        <v>1</v>
      </c>
      <c r="L102" s="49">
        <f t="shared" si="7"/>
        <v>1</v>
      </c>
    </row>
    <row r="103" spans="1:12">
      <c r="A103" s="250">
        <v>4394114</v>
      </c>
      <c r="B103" s="250" t="s">
        <v>1755</v>
      </c>
      <c r="C103" s="256">
        <v>1</v>
      </c>
      <c r="D103" s="256">
        <v>1</v>
      </c>
      <c r="E103" s="256">
        <v>1</v>
      </c>
      <c r="F103" s="256">
        <v>10</v>
      </c>
      <c r="G103" s="256">
        <v>0</v>
      </c>
      <c r="H103" s="256">
        <v>0</v>
      </c>
      <c r="I103" s="256">
        <v>0</v>
      </c>
      <c r="J103" s="256">
        <v>10</v>
      </c>
      <c r="K103" s="49">
        <f t="shared" si="6"/>
        <v>1</v>
      </c>
      <c r="L103" s="49">
        <f t="shared" si="7"/>
        <v>1</v>
      </c>
    </row>
    <row r="104" spans="1:12">
      <c r="A104" s="250">
        <v>4390100</v>
      </c>
      <c r="B104" s="250" t="s">
        <v>1793</v>
      </c>
      <c r="C104" s="256">
        <v>1</v>
      </c>
      <c r="D104" s="256">
        <v>1</v>
      </c>
      <c r="E104" s="256">
        <v>1</v>
      </c>
      <c r="F104" s="256">
        <v>14</v>
      </c>
      <c r="G104" s="256">
        <v>0</v>
      </c>
      <c r="H104" s="256">
        <v>0</v>
      </c>
      <c r="I104" s="256">
        <v>0</v>
      </c>
      <c r="J104" s="256">
        <v>14</v>
      </c>
      <c r="K104" s="49">
        <f t="shared" si="6"/>
        <v>1</v>
      </c>
      <c r="L104" s="49">
        <f t="shared" si="7"/>
        <v>1</v>
      </c>
    </row>
    <row r="105" spans="1:12">
      <c r="A105" s="250">
        <v>4389866</v>
      </c>
      <c r="B105" s="250" t="s">
        <v>1822</v>
      </c>
      <c r="C105" s="256">
        <v>1</v>
      </c>
      <c r="D105" s="256">
        <v>1</v>
      </c>
      <c r="E105" s="256">
        <v>1</v>
      </c>
      <c r="F105" s="256">
        <v>20</v>
      </c>
      <c r="G105" s="256">
        <v>0</v>
      </c>
      <c r="H105" s="256">
        <v>0</v>
      </c>
      <c r="I105" s="256">
        <v>0</v>
      </c>
      <c r="J105" s="256">
        <v>20</v>
      </c>
      <c r="K105" s="49">
        <f t="shared" si="6"/>
        <v>1</v>
      </c>
      <c r="L105" s="49">
        <f t="shared" si="7"/>
        <v>1</v>
      </c>
    </row>
    <row r="106" spans="1:12">
      <c r="A106" s="250">
        <v>4354186</v>
      </c>
      <c r="B106" s="250" t="s">
        <v>1827</v>
      </c>
      <c r="C106" s="256">
        <v>1</v>
      </c>
      <c r="D106" s="256">
        <v>1</v>
      </c>
      <c r="E106" s="256">
        <v>1</v>
      </c>
      <c r="F106" s="256">
        <v>4</v>
      </c>
      <c r="G106" s="256">
        <v>0</v>
      </c>
      <c r="H106" s="256">
        <v>0</v>
      </c>
      <c r="I106" s="256">
        <v>0</v>
      </c>
      <c r="J106" s="256">
        <v>4</v>
      </c>
      <c r="K106" s="49">
        <f t="shared" si="6"/>
        <v>1</v>
      </c>
      <c r="L106" s="49">
        <f t="shared" si="7"/>
        <v>1</v>
      </c>
    </row>
    <row r="107" spans="1:12">
      <c r="A107" s="250">
        <v>4318876</v>
      </c>
      <c r="B107" s="250" t="s">
        <v>1092</v>
      </c>
      <c r="C107" s="256">
        <v>14</v>
      </c>
      <c r="D107" s="256">
        <v>14</v>
      </c>
      <c r="E107" s="256">
        <v>14</v>
      </c>
      <c r="F107" s="256">
        <v>203</v>
      </c>
      <c r="G107" s="256">
        <v>0</v>
      </c>
      <c r="H107" s="256">
        <v>0</v>
      </c>
      <c r="I107" s="256">
        <v>0</v>
      </c>
      <c r="J107" s="256">
        <v>203</v>
      </c>
      <c r="K107" s="49">
        <f t="shared" si="6"/>
        <v>1</v>
      </c>
      <c r="L107" s="49">
        <f t="shared" si="7"/>
        <v>1</v>
      </c>
    </row>
    <row r="108" spans="1:12">
      <c r="A108" s="250">
        <v>4390112</v>
      </c>
      <c r="B108" s="250" t="s">
        <v>1115</v>
      </c>
      <c r="C108" s="256">
        <v>5</v>
      </c>
      <c r="D108" s="256">
        <v>5</v>
      </c>
      <c r="E108" s="256">
        <v>5</v>
      </c>
      <c r="F108" s="256">
        <v>124</v>
      </c>
      <c r="G108" s="256">
        <v>0</v>
      </c>
      <c r="H108" s="256">
        <v>0</v>
      </c>
      <c r="I108" s="256">
        <v>0</v>
      </c>
      <c r="J108" s="256">
        <v>124</v>
      </c>
      <c r="K108" s="49">
        <f t="shared" si="6"/>
        <v>1</v>
      </c>
      <c r="L108" s="49">
        <f t="shared" si="7"/>
        <v>1</v>
      </c>
    </row>
    <row r="109" spans="1:12">
      <c r="A109" s="250">
        <v>4395058</v>
      </c>
      <c r="B109" s="250" t="s">
        <v>1623</v>
      </c>
      <c r="C109" s="256">
        <v>4</v>
      </c>
      <c r="D109" s="256">
        <v>4</v>
      </c>
      <c r="E109" s="256">
        <v>4</v>
      </c>
      <c r="F109" s="256">
        <v>78</v>
      </c>
      <c r="G109" s="256">
        <v>0</v>
      </c>
      <c r="H109" s="256">
        <v>0</v>
      </c>
      <c r="I109" s="256">
        <v>0</v>
      </c>
      <c r="J109" s="256">
        <v>78</v>
      </c>
      <c r="K109" s="49">
        <f t="shared" si="6"/>
        <v>1</v>
      </c>
      <c r="L109" s="49">
        <f t="shared" si="7"/>
        <v>1</v>
      </c>
    </row>
    <row r="110" spans="1:12">
      <c r="A110" s="250">
        <v>4393838</v>
      </c>
      <c r="B110" s="250" t="s">
        <v>1411</v>
      </c>
      <c r="C110" s="256">
        <v>2</v>
      </c>
      <c r="D110" s="256">
        <v>2</v>
      </c>
      <c r="E110" s="256">
        <v>2</v>
      </c>
      <c r="F110" s="256">
        <v>34</v>
      </c>
      <c r="G110" s="256">
        <v>0</v>
      </c>
      <c r="H110" s="256">
        <v>0</v>
      </c>
      <c r="I110" s="256">
        <v>0</v>
      </c>
      <c r="J110" s="256">
        <v>34</v>
      </c>
      <c r="K110" s="49">
        <f t="shared" si="6"/>
        <v>1</v>
      </c>
      <c r="L110" s="49">
        <f t="shared" si="7"/>
        <v>1</v>
      </c>
    </row>
    <row r="111" spans="1:12">
      <c r="A111" s="250">
        <v>4371605</v>
      </c>
      <c r="B111" s="250" t="s">
        <v>1384</v>
      </c>
      <c r="C111" s="256">
        <v>1</v>
      </c>
      <c r="D111" s="256">
        <v>1</v>
      </c>
      <c r="E111" s="256">
        <v>1</v>
      </c>
      <c r="F111" s="256">
        <v>19</v>
      </c>
      <c r="G111" s="256">
        <v>0</v>
      </c>
      <c r="H111" s="256">
        <v>0</v>
      </c>
      <c r="I111" s="256">
        <v>0</v>
      </c>
      <c r="J111" s="256">
        <v>19</v>
      </c>
      <c r="K111" s="49">
        <f t="shared" si="6"/>
        <v>1</v>
      </c>
      <c r="L111" s="49">
        <f t="shared" si="7"/>
        <v>1</v>
      </c>
    </row>
    <row r="112" spans="1:12">
      <c r="A112" s="250">
        <v>4371607</v>
      </c>
      <c r="B112" s="250" t="s">
        <v>1536</v>
      </c>
      <c r="C112" s="256">
        <v>2</v>
      </c>
      <c r="D112" s="256">
        <v>2</v>
      </c>
      <c r="E112" s="256">
        <v>2</v>
      </c>
      <c r="F112" s="256">
        <v>30</v>
      </c>
      <c r="G112" s="256">
        <v>0</v>
      </c>
      <c r="H112" s="256">
        <v>0</v>
      </c>
      <c r="I112" s="256">
        <v>0</v>
      </c>
      <c r="J112" s="256">
        <v>30</v>
      </c>
      <c r="K112" s="49">
        <f t="shared" si="6"/>
        <v>1</v>
      </c>
      <c r="L112" s="49">
        <f t="shared" si="7"/>
        <v>1</v>
      </c>
    </row>
    <row r="113" spans="1:12">
      <c r="A113" s="250">
        <v>4161205</v>
      </c>
      <c r="B113" s="250" t="s">
        <v>1710</v>
      </c>
      <c r="C113" s="256">
        <v>3</v>
      </c>
      <c r="D113" s="256">
        <v>3</v>
      </c>
      <c r="E113" s="256">
        <v>3</v>
      </c>
      <c r="F113" s="256">
        <v>14</v>
      </c>
      <c r="G113" s="256">
        <v>0</v>
      </c>
      <c r="H113" s="256">
        <v>0</v>
      </c>
      <c r="I113" s="256">
        <v>0</v>
      </c>
      <c r="J113" s="256">
        <v>14</v>
      </c>
      <c r="K113" s="49">
        <f t="shared" si="6"/>
        <v>1</v>
      </c>
      <c r="L113" s="49">
        <f t="shared" si="7"/>
        <v>1</v>
      </c>
    </row>
    <row r="114" spans="1:12">
      <c r="A114" s="250">
        <v>4371753</v>
      </c>
      <c r="B114" s="250" t="s">
        <v>1744</v>
      </c>
      <c r="C114" s="256">
        <v>1</v>
      </c>
      <c r="D114" s="256">
        <v>1</v>
      </c>
      <c r="E114" s="256">
        <v>1</v>
      </c>
      <c r="F114" s="256">
        <v>27</v>
      </c>
      <c r="G114" s="256">
        <v>0</v>
      </c>
      <c r="H114" s="256">
        <v>0</v>
      </c>
      <c r="I114" s="256">
        <v>0</v>
      </c>
      <c r="J114" s="256">
        <v>27</v>
      </c>
      <c r="K114" s="49">
        <f t="shared" si="6"/>
        <v>1</v>
      </c>
      <c r="L114" s="49">
        <f t="shared" si="7"/>
        <v>1</v>
      </c>
    </row>
    <row r="115" spans="1:12">
      <c r="A115" s="250">
        <v>4371783</v>
      </c>
      <c r="B115" s="250" t="s">
        <v>1739</v>
      </c>
      <c r="C115" s="256">
        <v>4</v>
      </c>
      <c r="D115" s="256">
        <v>4</v>
      </c>
      <c r="E115" s="256">
        <v>4</v>
      </c>
      <c r="F115" s="256">
        <v>31</v>
      </c>
      <c r="G115" s="256">
        <v>0</v>
      </c>
      <c r="H115" s="256">
        <v>0</v>
      </c>
      <c r="I115" s="256">
        <v>0</v>
      </c>
      <c r="J115" s="256">
        <v>31</v>
      </c>
      <c r="K115" s="49">
        <f t="shared" si="6"/>
        <v>1</v>
      </c>
      <c r="L115" s="49">
        <f t="shared" si="7"/>
        <v>1</v>
      </c>
    </row>
    <row r="116" spans="1:12">
      <c r="A116" s="250">
        <v>4386347</v>
      </c>
      <c r="B116" s="250" t="s">
        <v>1560</v>
      </c>
      <c r="C116" s="256">
        <v>3</v>
      </c>
      <c r="D116" s="256">
        <v>3</v>
      </c>
      <c r="E116" s="256">
        <v>3</v>
      </c>
      <c r="F116" s="256">
        <v>228</v>
      </c>
      <c r="G116" s="256">
        <v>0</v>
      </c>
      <c r="H116" s="256">
        <v>0</v>
      </c>
      <c r="I116" s="256">
        <v>0</v>
      </c>
      <c r="J116" s="256">
        <v>228</v>
      </c>
      <c r="K116" s="49">
        <f t="shared" si="6"/>
        <v>1</v>
      </c>
      <c r="L116" s="49">
        <f t="shared" si="7"/>
        <v>1</v>
      </c>
    </row>
    <row r="117" spans="1:12">
      <c r="A117" s="250">
        <v>4275871</v>
      </c>
      <c r="B117" s="250" t="s">
        <v>1565</v>
      </c>
      <c r="C117" s="256">
        <v>1</v>
      </c>
      <c r="D117" s="256">
        <v>1</v>
      </c>
      <c r="E117" s="256">
        <v>1</v>
      </c>
      <c r="F117" s="256">
        <v>60</v>
      </c>
      <c r="G117" s="256">
        <v>0</v>
      </c>
      <c r="H117" s="256">
        <v>0</v>
      </c>
      <c r="I117" s="256">
        <v>0</v>
      </c>
      <c r="J117" s="256">
        <v>60</v>
      </c>
      <c r="K117" s="49">
        <f t="shared" si="6"/>
        <v>1</v>
      </c>
      <c r="L117" s="49">
        <f t="shared" si="7"/>
        <v>1</v>
      </c>
    </row>
    <row r="118" spans="1:12">
      <c r="A118" s="250">
        <v>4386334</v>
      </c>
      <c r="B118" s="250" t="s">
        <v>1548</v>
      </c>
      <c r="C118" s="256">
        <v>3</v>
      </c>
      <c r="D118" s="256">
        <v>3</v>
      </c>
      <c r="E118" s="256">
        <v>3</v>
      </c>
      <c r="F118" s="256">
        <v>123</v>
      </c>
      <c r="G118" s="256">
        <v>0</v>
      </c>
      <c r="H118" s="256">
        <v>0</v>
      </c>
      <c r="I118" s="256">
        <v>0</v>
      </c>
      <c r="J118" s="256">
        <v>123</v>
      </c>
      <c r="K118" s="49">
        <f t="shared" si="6"/>
        <v>1</v>
      </c>
      <c r="L118" s="49">
        <f t="shared" si="7"/>
        <v>1</v>
      </c>
    </row>
    <row r="119" spans="1:12">
      <c r="A119" s="250">
        <v>4386341</v>
      </c>
      <c r="B119" s="250" t="s">
        <v>1550</v>
      </c>
      <c r="C119" s="256">
        <v>3</v>
      </c>
      <c r="D119" s="256">
        <v>3</v>
      </c>
      <c r="E119" s="256">
        <v>3</v>
      </c>
      <c r="F119" s="256">
        <v>176</v>
      </c>
      <c r="G119" s="256">
        <v>0</v>
      </c>
      <c r="H119" s="256">
        <v>0</v>
      </c>
      <c r="I119" s="256">
        <v>0</v>
      </c>
      <c r="J119" s="256">
        <v>176</v>
      </c>
      <c r="K119" s="49">
        <f t="shared" si="6"/>
        <v>1</v>
      </c>
      <c r="L119" s="49">
        <f t="shared" si="7"/>
        <v>1</v>
      </c>
    </row>
    <row r="120" spans="1:12">
      <c r="A120" s="250">
        <v>4278295</v>
      </c>
      <c r="B120" s="250" t="s">
        <v>1559</v>
      </c>
      <c r="C120" s="256">
        <v>2</v>
      </c>
      <c r="D120" s="256">
        <v>2</v>
      </c>
      <c r="E120" s="256">
        <v>2</v>
      </c>
      <c r="F120" s="256">
        <v>82</v>
      </c>
      <c r="G120" s="256">
        <v>0</v>
      </c>
      <c r="H120" s="256">
        <v>0</v>
      </c>
      <c r="I120" s="256">
        <v>0</v>
      </c>
      <c r="J120" s="256">
        <v>82</v>
      </c>
      <c r="K120" s="49">
        <f t="shared" si="6"/>
        <v>1</v>
      </c>
      <c r="L120" s="49">
        <f t="shared" si="7"/>
        <v>1</v>
      </c>
    </row>
    <row r="121" spans="1:12">
      <c r="A121" s="250">
        <v>4386333</v>
      </c>
      <c r="B121" s="250" t="s">
        <v>1563</v>
      </c>
      <c r="C121" s="256">
        <v>1</v>
      </c>
      <c r="D121" s="256">
        <v>1</v>
      </c>
      <c r="E121" s="256">
        <v>1</v>
      </c>
      <c r="F121" s="256">
        <v>228</v>
      </c>
      <c r="G121" s="256">
        <v>0</v>
      </c>
      <c r="H121" s="256">
        <v>0</v>
      </c>
      <c r="I121" s="256">
        <v>0</v>
      </c>
      <c r="J121" s="256">
        <v>228</v>
      </c>
      <c r="K121" s="49">
        <f t="shared" si="6"/>
        <v>1</v>
      </c>
      <c r="L121" s="49">
        <f t="shared" si="7"/>
        <v>1</v>
      </c>
    </row>
    <row r="122" spans="1:12">
      <c r="A122" s="250">
        <v>4386339</v>
      </c>
      <c r="B122" s="250" t="s">
        <v>1553</v>
      </c>
      <c r="C122" s="256">
        <v>3</v>
      </c>
      <c r="D122" s="256">
        <v>3</v>
      </c>
      <c r="E122" s="256">
        <v>3</v>
      </c>
      <c r="F122" s="256">
        <v>117</v>
      </c>
      <c r="G122" s="256">
        <v>0</v>
      </c>
      <c r="H122" s="256">
        <v>0</v>
      </c>
      <c r="I122" s="256">
        <v>0</v>
      </c>
      <c r="J122" s="256">
        <v>117</v>
      </c>
      <c r="K122" s="49">
        <f t="shared" si="6"/>
        <v>1</v>
      </c>
      <c r="L122" s="49">
        <f t="shared" si="7"/>
        <v>1</v>
      </c>
    </row>
    <row r="123" spans="1:12">
      <c r="A123" s="250">
        <v>4278294</v>
      </c>
      <c r="B123" s="250" t="s">
        <v>1555</v>
      </c>
      <c r="C123" s="256">
        <v>4</v>
      </c>
      <c r="D123" s="256">
        <v>4</v>
      </c>
      <c r="E123" s="256">
        <v>4</v>
      </c>
      <c r="F123" s="256">
        <v>228</v>
      </c>
      <c r="G123" s="256">
        <v>0</v>
      </c>
      <c r="H123" s="256">
        <v>0</v>
      </c>
      <c r="I123" s="256">
        <v>0</v>
      </c>
      <c r="J123" s="256">
        <v>228</v>
      </c>
      <c r="K123" s="49">
        <f t="shared" si="6"/>
        <v>1</v>
      </c>
      <c r="L123" s="49">
        <f t="shared" si="7"/>
        <v>1</v>
      </c>
    </row>
    <row r="124" spans="1:12">
      <c r="A124" s="250">
        <v>4386636</v>
      </c>
      <c r="B124" s="250" t="s">
        <v>1659</v>
      </c>
      <c r="C124" s="256">
        <v>1</v>
      </c>
      <c r="D124" s="256">
        <v>1</v>
      </c>
      <c r="E124" s="256">
        <v>1</v>
      </c>
      <c r="F124" s="256">
        <v>248</v>
      </c>
      <c r="G124" s="256">
        <v>3</v>
      </c>
      <c r="H124" s="256">
        <v>0</v>
      </c>
      <c r="I124" s="256">
        <v>4</v>
      </c>
      <c r="J124" s="256">
        <v>255</v>
      </c>
      <c r="K124" s="49">
        <f t="shared" si="6"/>
        <v>0.98431372549019602</v>
      </c>
      <c r="L124" s="49">
        <f t="shared" si="7"/>
        <v>0.98804780876494025</v>
      </c>
    </row>
    <row r="125" spans="1:12">
      <c r="A125" s="250">
        <v>4120361</v>
      </c>
      <c r="B125" s="250" t="s">
        <v>1712</v>
      </c>
      <c r="C125" s="256">
        <v>1</v>
      </c>
      <c r="D125" s="256">
        <v>1</v>
      </c>
      <c r="E125" s="256">
        <v>1</v>
      </c>
      <c r="F125" s="256">
        <v>4</v>
      </c>
      <c r="G125" s="256">
        <v>0</v>
      </c>
      <c r="H125" s="256">
        <v>0</v>
      </c>
      <c r="I125" s="256">
        <v>0</v>
      </c>
      <c r="J125" s="256">
        <v>4</v>
      </c>
      <c r="K125" s="49">
        <f t="shared" si="6"/>
        <v>1</v>
      </c>
      <c r="L125" s="49">
        <f t="shared" si="7"/>
        <v>1</v>
      </c>
    </row>
    <row r="126" spans="1:12">
      <c r="A126" s="250">
        <v>4386335</v>
      </c>
      <c r="B126" s="250" t="s">
        <v>1537</v>
      </c>
      <c r="C126" s="256">
        <v>1</v>
      </c>
      <c r="D126" s="256">
        <v>1</v>
      </c>
      <c r="E126" s="256">
        <v>1</v>
      </c>
      <c r="F126" s="256">
        <v>75</v>
      </c>
      <c r="G126" s="256">
        <v>0</v>
      </c>
      <c r="H126" s="256">
        <v>0</v>
      </c>
      <c r="I126" s="256">
        <v>0</v>
      </c>
      <c r="J126" s="256">
        <v>75</v>
      </c>
      <c r="K126" s="49">
        <f t="shared" si="6"/>
        <v>1</v>
      </c>
      <c r="L126" s="49">
        <f t="shared" si="7"/>
        <v>1</v>
      </c>
    </row>
    <row r="127" spans="1:12">
      <c r="A127" s="250">
        <v>4405953</v>
      </c>
      <c r="B127" s="250" t="s">
        <v>1284</v>
      </c>
      <c r="C127" s="256">
        <v>4</v>
      </c>
      <c r="D127" s="256">
        <v>4</v>
      </c>
      <c r="E127" s="256">
        <v>4</v>
      </c>
      <c r="F127" s="256">
        <v>73</v>
      </c>
      <c r="G127" s="256">
        <v>0</v>
      </c>
      <c r="H127" s="256">
        <v>0</v>
      </c>
      <c r="I127" s="256">
        <v>0</v>
      </c>
      <c r="J127" s="256">
        <v>73</v>
      </c>
      <c r="K127" s="49">
        <f t="shared" si="6"/>
        <v>1</v>
      </c>
      <c r="L127" s="49">
        <f t="shared" si="7"/>
        <v>1</v>
      </c>
    </row>
    <row r="128" spans="1:12">
      <c r="A128" s="250">
        <v>4390197</v>
      </c>
      <c r="B128" s="250" t="s">
        <v>1618</v>
      </c>
      <c r="C128" s="256">
        <v>1</v>
      </c>
      <c r="D128" s="256">
        <v>1</v>
      </c>
      <c r="E128" s="256">
        <v>1</v>
      </c>
      <c r="F128" s="256">
        <v>12</v>
      </c>
      <c r="G128" s="256">
        <v>0</v>
      </c>
      <c r="H128" s="256">
        <v>0</v>
      </c>
      <c r="I128" s="256">
        <v>0</v>
      </c>
      <c r="J128" s="256">
        <v>12</v>
      </c>
      <c r="K128" s="49">
        <f t="shared" si="6"/>
        <v>1</v>
      </c>
      <c r="L128" s="49">
        <f t="shared" si="7"/>
        <v>1</v>
      </c>
    </row>
    <row r="129" spans="1:12">
      <c r="A129" s="250" t="s">
        <v>1959</v>
      </c>
      <c r="B129" s="250" t="s">
        <v>1959</v>
      </c>
      <c r="C129" s="256">
        <v>4</v>
      </c>
      <c r="D129" s="256">
        <v>4</v>
      </c>
      <c r="E129" s="256">
        <v>4</v>
      </c>
      <c r="F129" s="256">
        <v>33</v>
      </c>
      <c r="G129" s="256">
        <v>0</v>
      </c>
      <c r="H129" s="256">
        <v>0</v>
      </c>
      <c r="I129" s="256">
        <v>0</v>
      </c>
      <c r="J129" s="256">
        <v>33</v>
      </c>
      <c r="K129" s="49">
        <f t="shared" si="6"/>
        <v>1</v>
      </c>
      <c r="L129" s="49">
        <f t="shared" si="7"/>
        <v>1</v>
      </c>
    </row>
    <row r="130" spans="1:12">
      <c r="A130" s="251" t="s">
        <v>19</v>
      </c>
      <c r="B130" s="251"/>
      <c r="C130" s="257">
        <v>475</v>
      </c>
      <c r="D130" s="257">
        <v>475</v>
      </c>
      <c r="E130" s="257">
        <v>475</v>
      </c>
      <c r="F130" s="257">
        <v>8075</v>
      </c>
      <c r="G130" s="257">
        <v>32</v>
      </c>
      <c r="H130" s="257">
        <v>0</v>
      </c>
      <c r="I130" s="257">
        <v>4</v>
      </c>
      <c r="J130" s="257">
        <v>8111</v>
      </c>
      <c r="K130" s="49">
        <f t="shared" si="6"/>
        <v>0.99950684255948707</v>
      </c>
      <c r="L130" s="49">
        <f t="shared" si="7"/>
        <v>0.99605279388183054</v>
      </c>
    </row>
    <row r="131" spans="1:12" ht="15">
      <c r="A131"/>
      <c r="B131"/>
      <c r="C131"/>
      <c r="D131"/>
      <c r="E131"/>
      <c r="F131"/>
      <c r="G131"/>
      <c r="H131"/>
      <c r="I131"/>
      <c r="J131"/>
      <c r="K131" s="49">
        <f t="shared" si="6"/>
        <v>0</v>
      </c>
      <c r="L131" s="49">
        <f t="shared" si="7"/>
        <v>0</v>
      </c>
    </row>
    <row r="132" spans="1:12" ht="15">
      <c r="A132"/>
      <c r="B132"/>
      <c r="C132"/>
      <c r="D132"/>
      <c r="E132"/>
      <c r="F132"/>
      <c r="G132"/>
      <c r="H132"/>
      <c r="I132"/>
      <c r="J132"/>
      <c r="K132" s="49">
        <f t="shared" si="6"/>
        <v>0</v>
      </c>
      <c r="L132" s="49">
        <f t="shared" si="7"/>
        <v>0</v>
      </c>
    </row>
    <row r="133" spans="1:12" ht="15">
      <c r="A133"/>
      <c r="B133"/>
      <c r="C133"/>
      <c r="D133"/>
      <c r="E133"/>
      <c r="F133"/>
      <c r="G133"/>
      <c r="H133"/>
      <c r="I133"/>
      <c r="J133"/>
      <c r="K133" s="49">
        <f>IF(G133+H133=0,0,SUM(G133:H133)/#REF!)</f>
        <v>0</v>
      </c>
      <c r="L133" s="49">
        <f t="shared" ref="L133:L164" si="8">IF(G133=0,0,G133/(SUM(G133:I133)))</f>
        <v>0</v>
      </c>
    </row>
    <row r="134" spans="1:12" ht="15">
      <c r="A134"/>
      <c r="B134"/>
      <c r="C134"/>
      <c r="D134"/>
      <c r="E134"/>
      <c r="F134"/>
      <c r="G134"/>
      <c r="H134"/>
      <c r="I134"/>
      <c r="J134"/>
      <c r="K134" s="49">
        <f>IF(G134+H134=0,0,SUM(G134:H134)/#REF!)</f>
        <v>0</v>
      </c>
      <c r="L134" s="49">
        <f t="shared" si="8"/>
        <v>0</v>
      </c>
    </row>
    <row r="135" spans="1:12" ht="15">
      <c r="A135"/>
      <c r="B135"/>
      <c r="C135"/>
      <c r="D135"/>
      <c r="E135"/>
      <c r="F135"/>
      <c r="G135"/>
      <c r="H135"/>
      <c r="I135"/>
      <c r="J135"/>
      <c r="K135" s="49">
        <f>IF(G135+H135=0,0,SUM(G135:H135)/#REF!)</f>
        <v>0</v>
      </c>
      <c r="L135" s="49">
        <f t="shared" si="8"/>
        <v>0</v>
      </c>
    </row>
    <row r="136" spans="1:12" ht="15">
      <c r="A136"/>
      <c r="B136"/>
      <c r="C136"/>
      <c r="D136"/>
      <c r="E136"/>
      <c r="F136"/>
      <c r="G136"/>
      <c r="H136"/>
      <c r="I136"/>
      <c r="J136"/>
      <c r="K136" s="49">
        <f>IF(G136+H136=0,0,SUM(G136:H136)/#REF!)</f>
        <v>0</v>
      </c>
      <c r="L136" s="49">
        <f t="shared" si="8"/>
        <v>0</v>
      </c>
    </row>
    <row r="137" spans="1:12" ht="15">
      <c r="A137"/>
      <c r="B137"/>
      <c r="C137"/>
      <c r="D137"/>
      <c r="E137"/>
      <c r="F137"/>
      <c r="G137"/>
      <c r="H137"/>
      <c r="I137"/>
      <c r="J137"/>
      <c r="K137" s="49">
        <f>IF(G137+H137=0,0,SUM(G137:H137)/#REF!)</f>
        <v>0</v>
      </c>
      <c r="L137" s="49">
        <f t="shared" si="8"/>
        <v>0</v>
      </c>
    </row>
    <row r="138" spans="1:12" ht="15">
      <c r="A138"/>
      <c r="B138"/>
      <c r="C138"/>
      <c r="D138"/>
      <c r="E138"/>
      <c r="F138"/>
      <c r="G138"/>
      <c r="H138"/>
      <c r="I138"/>
      <c r="J138"/>
      <c r="K138" s="49">
        <f>IF(G138+H138=0,0,SUM(G138:H138)/#REF!)</f>
        <v>0</v>
      </c>
      <c r="L138" s="49">
        <f t="shared" si="8"/>
        <v>0</v>
      </c>
    </row>
    <row r="139" spans="1:12" ht="15">
      <c r="A139"/>
      <c r="B139"/>
      <c r="C139"/>
      <c r="D139"/>
      <c r="E139"/>
      <c r="F139"/>
      <c r="G139"/>
      <c r="H139"/>
      <c r="I139"/>
      <c r="J139"/>
      <c r="K139" s="49">
        <f>IF(G139+H139=0,0,SUM(G139:H139)/#REF!)</f>
        <v>0</v>
      </c>
      <c r="L139" s="49">
        <f t="shared" si="8"/>
        <v>0</v>
      </c>
    </row>
    <row r="140" spans="1:12" ht="15">
      <c r="A140"/>
      <c r="B140"/>
      <c r="C140"/>
      <c r="D140"/>
      <c r="E140"/>
      <c r="F140"/>
      <c r="G140"/>
      <c r="H140"/>
      <c r="I140"/>
      <c r="J140"/>
      <c r="K140" s="49">
        <f>IF(G140+H140=0,0,SUM(G140:H140)/#REF!)</f>
        <v>0</v>
      </c>
      <c r="L140" s="49">
        <f t="shared" si="8"/>
        <v>0</v>
      </c>
    </row>
    <row r="141" spans="1:12" ht="15">
      <c r="A141"/>
      <c r="B141"/>
      <c r="C141"/>
      <c r="D141"/>
      <c r="E141"/>
      <c r="F141"/>
      <c r="G141"/>
      <c r="H141"/>
      <c r="I141"/>
      <c r="J141"/>
      <c r="K141" s="49">
        <f>IF(G141+H141=0,0,SUM(G141:H141)/#REF!)</f>
        <v>0</v>
      </c>
      <c r="L141" s="49">
        <f t="shared" si="8"/>
        <v>0</v>
      </c>
    </row>
    <row r="142" spans="1:12" ht="15">
      <c r="A142"/>
      <c r="B142"/>
      <c r="C142"/>
      <c r="D142"/>
      <c r="E142"/>
      <c r="F142"/>
      <c r="G142"/>
      <c r="H142"/>
      <c r="I142"/>
      <c r="J142"/>
      <c r="K142" s="49">
        <f>IF(G142+H142=0,0,SUM(G142:H142)/#REF!)</f>
        <v>0</v>
      </c>
      <c r="L142" s="49">
        <f t="shared" si="8"/>
        <v>0</v>
      </c>
    </row>
    <row r="143" spans="1:12" ht="15">
      <c r="A143"/>
      <c r="B143"/>
      <c r="C143"/>
      <c r="D143"/>
      <c r="E143"/>
      <c r="F143"/>
      <c r="G143"/>
      <c r="H143"/>
      <c r="I143"/>
      <c r="J143"/>
      <c r="K143" s="49">
        <f>IF(G143+H143=0,0,SUM(G143:H143)/#REF!)</f>
        <v>0</v>
      </c>
      <c r="L143" s="49">
        <f t="shared" si="8"/>
        <v>0</v>
      </c>
    </row>
    <row r="144" spans="1:12" ht="15">
      <c r="A144"/>
      <c r="B144"/>
      <c r="C144"/>
      <c r="D144"/>
      <c r="E144"/>
      <c r="F144"/>
      <c r="G144"/>
      <c r="H144"/>
      <c r="I144"/>
      <c r="J144"/>
      <c r="K144" s="49">
        <f>IF(G144+H144=0,0,SUM(G144:H144)/#REF!)</f>
        <v>0</v>
      </c>
      <c r="L144" s="49">
        <f t="shared" si="8"/>
        <v>0</v>
      </c>
    </row>
    <row r="145" spans="1:12" ht="15">
      <c r="A145"/>
      <c r="B145"/>
      <c r="C145"/>
      <c r="D145"/>
      <c r="E145"/>
      <c r="F145"/>
      <c r="G145"/>
      <c r="H145"/>
      <c r="I145"/>
      <c r="J145"/>
      <c r="K145" s="49">
        <f>IF(G145+H145=0,0,SUM(G145:H145)/#REF!)</f>
        <v>0</v>
      </c>
      <c r="L145" s="49">
        <f t="shared" si="8"/>
        <v>0</v>
      </c>
    </row>
    <row r="146" spans="1:12" ht="15">
      <c r="A146"/>
      <c r="B146"/>
      <c r="C146"/>
      <c r="D146"/>
      <c r="E146"/>
      <c r="F146"/>
      <c r="G146"/>
      <c r="H146"/>
      <c r="I146"/>
      <c r="J146"/>
      <c r="K146" s="49">
        <f>IF(G146+H146=0,0,SUM(G146:H146)/#REF!)</f>
        <v>0</v>
      </c>
      <c r="L146" s="49">
        <f t="shared" si="8"/>
        <v>0</v>
      </c>
    </row>
    <row r="147" spans="1:12" ht="15">
      <c r="A147"/>
      <c r="B147"/>
      <c r="C147"/>
      <c r="D147"/>
      <c r="E147"/>
      <c r="F147"/>
      <c r="G147"/>
      <c r="H147"/>
      <c r="I147"/>
      <c r="J147"/>
      <c r="K147" s="49">
        <f>IF(G147+H147=0,0,SUM(G147:H147)/#REF!)</f>
        <v>0</v>
      </c>
      <c r="L147" s="49">
        <f t="shared" si="8"/>
        <v>0</v>
      </c>
    </row>
    <row r="148" spans="1:12" ht="15">
      <c r="A148"/>
      <c r="B148"/>
      <c r="C148"/>
      <c r="D148"/>
      <c r="E148"/>
      <c r="F148"/>
      <c r="G148"/>
      <c r="H148"/>
      <c r="I148"/>
      <c r="J148"/>
      <c r="K148" s="49">
        <f>IF(G148+H148=0,0,SUM(G148:H148)/#REF!)</f>
        <v>0</v>
      </c>
      <c r="L148" s="49">
        <f t="shared" si="8"/>
        <v>0</v>
      </c>
    </row>
    <row r="149" spans="1:12" ht="15">
      <c r="A149"/>
      <c r="B149"/>
      <c r="C149"/>
      <c r="D149"/>
      <c r="E149"/>
      <c r="F149"/>
      <c r="G149"/>
      <c r="H149"/>
      <c r="I149"/>
      <c r="J149"/>
      <c r="K149" s="49">
        <f>IF(G149+H149=0,0,SUM(G149:H149)/#REF!)</f>
        <v>0</v>
      </c>
      <c r="L149" s="49">
        <f t="shared" si="8"/>
        <v>0</v>
      </c>
    </row>
    <row r="150" spans="1:12" ht="15">
      <c r="A150"/>
      <c r="B150"/>
      <c r="C150"/>
      <c r="D150"/>
      <c r="E150"/>
      <c r="F150"/>
      <c r="G150"/>
      <c r="H150"/>
      <c r="I150"/>
      <c r="J150"/>
      <c r="K150" s="49">
        <f>IF(G150+H150=0,0,SUM(G150:H150)/#REF!)</f>
        <v>0</v>
      </c>
      <c r="L150" s="49">
        <f t="shared" si="8"/>
        <v>0</v>
      </c>
    </row>
    <row r="151" spans="1:12" ht="15">
      <c r="A151"/>
      <c r="B151"/>
      <c r="C151"/>
      <c r="D151"/>
      <c r="E151"/>
      <c r="F151"/>
      <c r="G151"/>
      <c r="H151"/>
      <c r="I151"/>
      <c r="J151"/>
      <c r="K151" s="49">
        <f>IF(G151+H151=0,0,SUM(G151:H151)/#REF!)</f>
        <v>0</v>
      </c>
      <c r="L151" s="49">
        <f t="shared" si="8"/>
        <v>0</v>
      </c>
    </row>
    <row r="152" spans="1:12" ht="15">
      <c r="A152"/>
      <c r="B152"/>
      <c r="C152"/>
      <c r="D152"/>
      <c r="E152"/>
      <c r="F152"/>
      <c r="G152"/>
      <c r="H152"/>
      <c r="I152"/>
      <c r="J152"/>
      <c r="K152" s="49">
        <f>IF(G152+H152=0,0,SUM(G152:H152)/#REF!)</f>
        <v>0</v>
      </c>
      <c r="L152" s="49">
        <f t="shared" si="8"/>
        <v>0</v>
      </c>
    </row>
    <row r="153" spans="1:12" ht="15">
      <c r="A153"/>
      <c r="B153"/>
      <c r="C153"/>
      <c r="D153"/>
      <c r="E153"/>
      <c r="F153"/>
      <c r="G153"/>
      <c r="H153"/>
      <c r="I153"/>
      <c r="J153"/>
      <c r="K153" s="49">
        <f>IF(G153+H153=0,0,SUM(G153:H153)/#REF!)</f>
        <v>0</v>
      </c>
      <c r="L153" s="49">
        <f t="shared" si="8"/>
        <v>0</v>
      </c>
    </row>
    <row r="154" spans="1:12" ht="15">
      <c r="A154"/>
      <c r="B154"/>
      <c r="C154"/>
      <c r="D154"/>
      <c r="E154"/>
      <c r="F154"/>
      <c r="G154"/>
      <c r="H154"/>
      <c r="I154"/>
      <c r="J154"/>
      <c r="K154" s="49">
        <f>IF(G154+H154=0,0,SUM(G154:H154)/#REF!)</f>
        <v>0</v>
      </c>
      <c r="L154" s="49">
        <f t="shared" si="8"/>
        <v>0</v>
      </c>
    </row>
    <row r="155" spans="1:12" ht="15">
      <c r="A155"/>
      <c r="B155"/>
      <c r="C155"/>
      <c r="D155"/>
      <c r="E155"/>
      <c r="F155"/>
      <c r="G155"/>
      <c r="H155"/>
      <c r="I155"/>
      <c r="J155"/>
      <c r="K155" s="49">
        <f>IF(G155+H155=0,0,SUM(G155:H155)/#REF!)</f>
        <v>0</v>
      </c>
      <c r="L155" s="49">
        <f t="shared" si="8"/>
        <v>0</v>
      </c>
    </row>
    <row r="156" spans="1:12" ht="15">
      <c r="A156"/>
      <c r="B156"/>
      <c r="C156"/>
      <c r="D156"/>
      <c r="E156"/>
      <c r="F156"/>
      <c r="G156"/>
      <c r="H156"/>
      <c r="I156"/>
      <c r="J156"/>
      <c r="K156" s="49">
        <f>IF(G156+H156=0,0,SUM(G156:H156)/#REF!)</f>
        <v>0</v>
      </c>
      <c r="L156" s="49">
        <f t="shared" si="8"/>
        <v>0</v>
      </c>
    </row>
    <row r="157" spans="1:12" ht="15">
      <c r="A157"/>
      <c r="B157"/>
      <c r="C157"/>
      <c r="D157"/>
      <c r="E157"/>
      <c r="F157"/>
      <c r="G157"/>
      <c r="H157"/>
      <c r="I157"/>
      <c r="J157"/>
      <c r="K157" s="49">
        <f>IF(G157+H157=0,0,SUM(G157:H157)/#REF!)</f>
        <v>0</v>
      </c>
      <c r="L157" s="49">
        <f t="shared" si="8"/>
        <v>0</v>
      </c>
    </row>
    <row r="158" spans="1:12" ht="15">
      <c r="A158"/>
      <c r="B158"/>
      <c r="C158"/>
      <c r="D158"/>
      <c r="E158"/>
      <c r="F158"/>
      <c r="G158"/>
      <c r="H158"/>
      <c r="I158"/>
      <c r="J158"/>
      <c r="K158" s="49">
        <f>IF(G158+H158=0,0,SUM(G158:H158)/#REF!)</f>
        <v>0</v>
      </c>
      <c r="L158" s="49">
        <f t="shared" si="8"/>
        <v>0</v>
      </c>
    </row>
    <row r="159" spans="1:12" ht="15">
      <c r="A159"/>
      <c r="B159"/>
      <c r="C159"/>
      <c r="D159"/>
      <c r="E159"/>
      <c r="F159"/>
      <c r="G159"/>
      <c r="H159"/>
      <c r="I159"/>
      <c r="J159"/>
      <c r="K159" s="49">
        <f>IF(G159+H159=0,0,SUM(G159:H159)/#REF!)</f>
        <v>0</v>
      </c>
      <c r="L159" s="49">
        <f t="shared" si="8"/>
        <v>0</v>
      </c>
    </row>
    <row r="160" spans="1:12" ht="15">
      <c r="A160"/>
      <c r="B160"/>
      <c r="C160"/>
      <c r="D160"/>
      <c r="E160"/>
      <c r="F160"/>
      <c r="G160"/>
      <c r="H160"/>
      <c r="I160"/>
      <c r="J160"/>
      <c r="K160" s="49">
        <f>IF(G160+H160=0,0,SUM(G160:H160)/#REF!)</f>
        <v>0</v>
      </c>
      <c r="L160" s="49">
        <f t="shared" si="8"/>
        <v>0</v>
      </c>
    </row>
    <row r="161" spans="1:12" ht="15">
      <c r="A161"/>
      <c r="B161"/>
      <c r="C161"/>
      <c r="D161"/>
      <c r="E161"/>
      <c r="F161"/>
      <c r="G161"/>
      <c r="H161"/>
      <c r="I161"/>
      <c r="J161"/>
      <c r="K161" s="49">
        <f>IF(G161+H161=0,0,SUM(G161:H161)/#REF!)</f>
        <v>0</v>
      </c>
      <c r="L161" s="49">
        <f t="shared" si="8"/>
        <v>0</v>
      </c>
    </row>
    <row r="162" spans="1:12" ht="15">
      <c r="A162"/>
      <c r="B162"/>
      <c r="C162"/>
      <c r="D162"/>
      <c r="E162"/>
      <c r="F162"/>
      <c r="G162"/>
      <c r="H162"/>
      <c r="I162"/>
      <c r="J162"/>
      <c r="K162" s="49">
        <f>IF(G162+H162=0,0,SUM(G162:H162)/#REF!)</f>
        <v>0</v>
      </c>
      <c r="L162" s="49">
        <f t="shared" si="8"/>
        <v>0</v>
      </c>
    </row>
    <row r="163" spans="1:12" ht="15">
      <c r="A163"/>
      <c r="B163"/>
      <c r="C163"/>
      <c r="D163"/>
      <c r="E163"/>
      <c r="F163"/>
      <c r="G163"/>
      <c r="H163"/>
      <c r="I163"/>
      <c r="J163"/>
      <c r="K163" s="49">
        <f>IF(G163+H163=0,0,SUM(G163:H163)/#REF!)</f>
        <v>0</v>
      </c>
      <c r="L163" s="49">
        <f t="shared" si="8"/>
        <v>0</v>
      </c>
    </row>
    <row r="164" spans="1:12" ht="15">
      <c r="A164"/>
      <c r="B164"/>
      <c r="C164"/>
      <c r="D164"/>
      <c r="E164"/>
      <c r="F164"/>
      <c r="G164"/>
      <c r="H164"/>
      <c r="I164"/>
      <c r="J164"/>
      <c r="K164" s="49">
        <f>IF(G164+H164=0,0,SUM(G164:H164)/#REF!)</f>
        <v>0</v>
      </c>
      <c r="L164" s="49">
        <f t="shared" si="8"/>
        <v>0</v>
      </c>
    </row>
    <row r="165" spans="1:12" ht="15">
      <c r="A165"/>
      <c r="B165"/>
      <c r="C165"/>
      <c r="D165"/>
      <c r="E165"/>
      <c r="F165"/>
      <c r="G165"/>
      <c r="H165"/>
      <c r="I165"/>
      <c r="J165"/>
      <c r="K165" s="49">
        <f>IF(G165+H165=0,0,SUM(G165:H165)/#REF!)</f>
        <v>0</v>
      </c>
      <c r="L165" s="49">
        <f t="shared" ref="L165:L190" si="9">IF(G165=0,0,G165/(SUM(G165:I165)))</f>
        <v>0</v>
      </c>
    </row>
    <row r="166" spans="1:12" ht="15">
      <c r="A166"/>
      <c r="B166"/>
      <c r="C166"/>
      <c r="D166"/>
      <c r="E166"/>
      <c r="F166"/>
      <c r="G166"/>
      <c r="H166"/>
      <c r="I166"/>
      <c r="J166"/>
      <c r="K166" s="49">
        <f>IF(G166+H166=0,0,SUM(G166:H166)/#REF!)</f>
        <v>0</v>
      </c>
      <c r="L166" s="49">
        <f t="shared" si="9"/>
        <v>0</v>
      </c>
    </row>
    <row r="167" spans="1:12" ht="15">
      <c r="A167"/>
      <c r="B167"/>
      <c r="C167"/>
      <c r="D167"/>
      <c r="E167"/>
      <c r="F167"/>
      <c r="G167"/>
      <c r="H167"/>
      <c r="I167"/>
      <c r="J167"/>
      <c r="K167" s="49">
        <f>IF(G167+H167=0,0,SUM(G167:H167)/#REF!)</f>
        <v>0</v>
      </c>
      <c r="L167" s="49">
        <f t="shared" si="9"/>
        <v>0</v>
      </c>
    </row>
    <row r="168" spans="1:12" ht="15">
      <c r="A168"/>
      <c r="B168"/>
      <c r="C168"/>
      <c r="D168"/>
      <c r="E168"/>
      <c r="F168"/>
      <c r="G168"/>
      <c r="H168"/>
      <c r="I168"/>
      <c r="J168"/>
      <c r="K168" s="49">
        <f>IF(G168+H168=0,0,SUM(G168:H168)/#REF!)</f>
        <v>0</v>
      </c>
      <c r="L168" s="49">
        <f t="shared" si="9"/>
        <v>0</v>
      </c>
    </row>
    <row r="169" spans="1:12" ht="15">
      <c r="A169"/>
      <c r="B169"/>
      <c r="C169"/>
      <c r="D169"/>
      <c r="E169"/>
      <c r="F169"/>
      <c r="G169"/>
      <c r="H169"/>
      <c r="I169"/>
      <c r="J169"/>
      <c r="K169" s="49">
        <f>IF(G169+H169=0,0,SUM(G169:H169)/#REF!)</f>
        <v>0</v>
      </c>
      <c r="L169" s="49">
        <f t="shared" si="9"/>
        <v>0</v>
      </c>
    </row>
    <row r="170" spans="1:12" ht="15">
      <c r="A170"/>
      <c r="B170"/>
      <c r="C170"/>
      <c r="D170"/>
      <c r="E170"/>
      <c r="F170"/>
      <c r="G170"/>
      <c r="H170"/>
      <c r="I170"/>
      <c r="J170"/>
      <c r="K170" s="49">
        <f>IF(G170+H170=0,0,SUM(G170:H170)/#REF!)</f>
        <v>0</v>
      </c>
      <c r="L170" s="49">
        <f t="shared" si="9"/>
        <v>0</v>
      </c>
    </row>
    <row r="171" spans="1:12" ht="15">
      <c r="A171"/>
      <c r="B171"/>
      <c r="C171"/>
      <c r="D171"/>
      <c r="E171"/>
      <c r="F171"/>
      <c r="G171"/>
      <c r="H171"/>
      <c r="I171"/>
      <c r="J171"/>
      <c r="K171" s="49">
        <f>IF(G171+H171=0,0,SUM(G171:H171)/#REF!)</f>
        <v>0</v>
      </c>
      <c r="L171" s="49">
        <f t="shared" si="9"/>
        <v>0</v>
      </c>
    </row>
    <row r="172" spans="1:12" ht="15">
      <c r="A172"/>
      <c r="B172"/>
      <c r="C172"/>
      <c r="D172"/>
      <c r="E172"/>
      <c r="F172"/>
      <c r="G172"/>
      <c r="H172"/>
      <c r="I172"/>
      <c r="J172"/>
      <c r="K172" s="49">
        <f>IF(G172+H172=0,0,SUM(G172:H172)/#REF!)</f>
        <v>0</v>
      </c>
      <c r="L172" s="49">
        <f t="shared" si="9"/>
        <v>0</v>
      </c>
    </row>
    <row r="173" spans="1:12" ht="15">
      <c r="A173"/>
      <c r="B173"/>
      <c r="C173"/>
      <c r="D173"/>
      <c r="E173"/>
      <c r="F173"/>
      <c r="G173"/>
      <c r="H173"/>
      <c r="I173"/>
      <c r="J173"/>
      <c r="K173" s="49">
        <f>IF(G173+H173=0,0,SUM(G173:H173)/#REF!)</f>
        <v>0</v>
      </c>
      <c r="L173" s="49">
        <f t="shared" si="9"/>
        <v>0</v>
      </c>
    </row>
    <row r="174" spans="1:12" ht="15">
      <c r="A174"/>
      <c r="B174"/>
      <c r="C174"/>
      <c r="D174"/>
      <c r="E174"/>
      <c r="F174"/>
      <c r="G174"/>
      <c r="H174"/>
      <c r="I174"/>
      <c r="J174"/>
      <c r="K174" s="49">
        <f>IF(G174+H174=0,0,SUM(G174:H174)/#REF!)</f>
        <v>0</v>
      </c>
      <c r="L174" s="49">
        <f t="shared" si="9"/>
        <v>0</v>
      </c>
    </row>
    <row r="175" spans="1:12" ht="15">
      <c r="A175"/>
      <c r="B175"/>
      <c r="C175"/>
      <c r="D175"/>
      <c r="E175"/>
      <c r="F175"/>
      <c r="G175"/>
      <c r="H175"/>
      <c r="I175"/>
      <c r="J175"/>
      <c r="K175" s="49">
        <f>IF(G175+H175=0,0,SUM(G175:H175)/#REF!)</f>
        <v>0</v>
      </c>
      <c r="L175" s="49">
        <f t="shared" si="9"/>
        <v>0</v>
      </c>
    </row>
    <row r="176" spans="1:12" ht="15">
      <c r="A176"/>
      <c r="B176"/>
      <c r="C176"/>
      <c r="D176"/>
      <c r="E176"/>
      <c r="F176"/>
      <c r="G176"/>
      <c r="H176"/>
      <c r="I176"/>
      <c r="J176"/>
      <c r="K176" s="49">
        <f>IF(G176+H176=0,0,SUM(G176:H176)/#REF!)</f>
        <v>0</v>
      </c>
      <c r="L176" s="49">
        <f t="shared" si="9"/>
        <v>0</v>
      </c>
    </row>
    <row r="177" spans="1:123" ht="15">
      <c r="A177"/>
      <c r="B177"/>
      <c r="C177"/>
      <c r="D177"/>
      <c r="E177"/>
      <c r="F177"/>
      <c r="G177"/>
      <c r="H177"/>
      <c r="I177"/>
      <c r="J177"/>
      <c r="K177" s="49">
        <f>IF(G177+H177=0,0,SUM(G177:H177)/#REF!)</f>
        <v>0</v>
      </c>
      <c r="L177" s="49">
        <f t="shared" si="9"/>
        <v>0</v>
      </c>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8"/>
      <c r="BJ177" s="48"/>
      <c r="BK177" s="48"/>
      <c r="BL177" s="48"/>
      <c r="BM177" s="48"/>
      <c r="BN177" s="48"/>
      <c r="BO177" s="48"/>
      <c r="BP177" s="48"/>
      <c r="BQ177" s="48"/>
      <c r="BR177" s="48"/>
      <c r="BS177" s="48"/>
      <c r="BT177" s="48"/>
      <c r="BU177" s="48"/>
      <c r="BV177" s="48"/>
      <c r="BW177" s="48"/>
      <c r="BX177" s="48"/>
      <c r="BY177" s="48"/>
      <c r="BZ177" s="48"/>
      <c r="CA177" s="48"/>
      <c r="CB177" s="48"/>
      <c r="CC177" s="48"/>
      <c r="CD177" s="48"/>
      <c r="CE177" s="48"/>
      <c r="CF177" s="48"/>
      <c r="CG177" s="48"/>
      <c r="CH177" s="48"/>
      <c r="CI177" s="48"/>
      <c r="CJ177" s="48"/>
      <c r="CK177" s="48"/>
      <c r="CL177" s="48"/>
      <c r="CM177" s="48"/>
      <c r="CN177" s="48"/>
      <c r="CO177" s="48"/>
      <c r="CP177" s="48"/>
      <c r="CQ177" s="48"/>
      <c r="CR177" s="48"/>
      <c r="CS177" s="48"/>
      <c r="CT177" s="48"/>
      <c r="CU177" s="48"/>
      <c r="CV177" s="48"/>
      <c r="CW177" s="48"/>
      <c r="CX177" s="48"/>
      <c r="CY177" s="48"/>
      <c r="CZ177" s="48"/>
      <c r="DA177" s="48"/>
      <c r="DB177" s="48"/>
      <c r="DC177" s="48"/>
      <c r="DD177" s="48"/>
      <c r="DE177" s="48"/>
      <c r="DF177" s="48"/>
      <c r="DG177" s="48"/>
      <c r="DH177" s="48"/>
      <c r="DI177" s="48"/>
      <c r="DJ177" s="48"/>
      <c r="DK177" s="48"/>
      <c r="DL177" s="48"/>
      <c r="DM177" s="48"/>
      <c r="DN177" s="48"/>
      <c r="DO177" s="48"/>
      <c r="DP177" s="48"/>
      <c r="DQ177" s="48"/>
      <c r="DR177" s="48"/>
      <c r="DS177" s="48"/>
    </row>
    <row r="178" spans="1:123" ht="15">
      <c r="A178"/>
      <c r="B178"/>
      <c r="C178"/>
      <c r="D178"/>
      <c r="E178"/>
      <c r="F178"/>
      <c r="G178"/>
      <c r="H178"/>
      <c r="I178"/>
      <c r="J178"/>
      <c r="K178" s="49">
        <f>IF(G178+H178=0,0,SUM(G178:H178)/#REF!)</f>
        <v>0</v>
      </c>
      <c r="L178" s="49">
        <f t="shared" si="9"/>
        <v>0</v>
      </c>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c r="BM178" s="48"/>
      <c r="BN178" s="48"/>
      <c r="BO178" s="48"/>
      <c r="BP178" s="48"/>
      <c r="BQ178" s="48"/>
      <c r="BR178" s="48"/>
      <c r="BS178" s="48"/>
      <c r="BT178" s="48"/>
      <c r="BU178" s="48"/>
      <c r="BV178" s="48"/>
      <c r="BW178" s="48"/>
      <c r="BX178" s="48"/>
      <c r="BY178" s="48"/>
      <c r="BZ178" s="48"/>
      <c r="CA178" s="48"/>
      <c r="CB178" s="48"/>
      <c r="CC178" s="48"/>
      <c r="CD178" s="48"/>
      <c r="CE178" s="48"/>
      <c r="CF178" s="48"/>
      <c r="CG178" s="48"/>
      <c r="CH178" s="48"/>
      <c r="CI178" s="48"/>
      <c r="CJ178" s="48"/>
      <c r="CK178" s="48"/>
      <c r="CL178" s="48"/>
      <c r="CM178" s="48"/>
      <c r="CN178" s="48"/>
      <c r="CO178" s="48"/>
      <c r="CP178" s="48"/>
      <c r="CQ178" s="48"/>
      <c r="CR178" s="48"/>
      <c r="CS178" s="48"/>
      <c r="CT178" s="48"/>
      <c r="CU178" s="48"/>
      <c r="CV178" s="48"/>
      <c r="CW178" s="48"/>
      <c r="CX178" s="48"/>
      <c r="CY178" s="48"/>
      <c r="CZ178" s="48"/>
      <c r="DA178" s="48"/>
      <c r="DB178" s="48"/>
      <c r="DC178" s="48"/>
      <c r="DD178" s="48"/>
      <c r="DE178" s="48"/>
      <c r="DF178" s="48"/>
      <c r="DG178" s="48"/>
      <c r="DH178" s="48"/>
      <c r="DI178" s="48"/>
      <c r="DJ178" s="48"/>
      <c r="DK178" s="48"/>
      <c r="DL178" s="48"/>
      <c r="DM178" s="48"/>
      <c r="DN178" s="48"/>
      <c r="DO178" s="48"/>
      <c r="DP178" s="48"/>
      <c r="DQ178" s="48"/>
      <c r="DR178" s="48"/>
      <c r="DS178" s="48"/>
    </row>
    <row r="179" spans="1:123" ht="15">
      <c r="A179"/>
      <c r="B179"/>
      <c r="C179"/>
      <c r="D179"/>
      <c r="E179"/>
      <c r="F179"/>
      <c r="G179"/>
      <c r="H179"/>
      <c r="I179"/>
      <c r="J179"/>
      <c r="K179" s="49">
        <f>IF(G179+H179=0,0,SUM(G179:H179)/#REF!)</f>
        <v>0</v>
      </c>
      <c r="L179" s="49">
        <f t="shared" si="9"/>
        <v>0</v>
      </c>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c r="BM179" s="48"/>
      <c r="BN179" s="48"/>
      <c r="BO179" s="48"/>
      <c r="BP179" s="48"/>
      <c r="BQ179" s="48"/>
      <c r="BR179" s="48"/>
      <c r="BS179" s="48"/>
      <c r="BT179" s="48"/>
      <c r="BU179" s="48"/>
      <c r="BV179" s="48"/>
      <c r="BW179" s="48"/>
      <c r="BX179" s="48"/>
      <c r="BY179" s="48"/>
      <c r="BZ179" s="48"/>
      <c r="CA179" s="48"/>
      <c r="CB179" s="48"/>
      <c r="CC179" s="48"/>
      <c r="CD179" s="48"/>
      <c r="CE179" s="48"/>
      <c r="CF179" s="48"/>
      <c r="CG179" s="48"/>
      <c r="CH179" s="48"/>
      <c r="CI179" s="48"/>
      <c r="CJ179" s="48"/>
      <c r="CK179" s="48"/>
      <c r="CL179" s="48"/>
      <c r="CM179" s="48"/>
      <c r="CN179" s="48"/>
      <c r="CO179" s="48"/>
      <c r="CP179" s="48"/>
      <c r="CQ179" s="48"/>
      <c r="CR179" s="48"/>
      <c r="CS179" s="48"/>
      <c r="CT179" s="48"/>
      <c r="CU179" s="48"/>
      <c r="CV179" s="48"/>
      <c r="CW179" s="48"/>
      <c r="CX179" s="48"/>
      <c r="CY179" s="48"/>
      <c r="CZ179" s="48"/>
      <c r="DA179" s="48"/>
      <c r="DB179" s="48"/>
      <c r="DC179" s="48"/>
      <c r="DD179" s="48"/>
      <c r="DE179" s="48"/>
      <c r="DF179" s="48"/>
      <c r="DG179" s="48"/>
      <c r="DH179" s="48"/>
      <c r="DI179" s="48"/>
      <c r="DJ179" s="48"/>
      <c r="DK179" s="48"/>
      <c r="DL179" s="48"/>
      <c r="DM179" s="48"/>
      <c r="DN179" s="48"/>
      <c r="DO179" s="48"/>
      <c r="DP179" s="48"/>
      <c r="DQ179" s="48"/>
      <c r="DR179" s="48"/>
      <c r="DS179" s="48"/>
    </row>
    <row r="180" spans="1:123" ht="15">
      <c r="A180"/>
      <c r="B180"/>
      <c r="C180"/>
      <c r="D180"/>
      <c r="E180"/>
      <c r="F180"/>
      <c r="G180"/>
      <c r="H180"/>
      <c r="I180"/>
      <c r="J180"/>
      <c r="K180" s="49">
        <f>IF(G180+H180=0,0,SUM(G180:H180)/#REF!)</f>
        <v>0</v>
      </c>
      <c r="L180" s="49">
        <f t="shared" si="9"/>
        <v>0</v>
      </c>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c r="BS180" s="48"/>
      <c r="BT180" s="48"/>
      <c r="BU180" s="48"/>
      <c r="BV180" s="48"/>
      <c r="BW180" s="48"/>
      <c r="BX180" s="48"/>
      <c r="BY180" s="48"/>
      <c r="BZ180" s="48"/>
      <c r="CA180" s="48"/>
      <c r="CB180" s="48"/>
      <c r="CC180" s="48"/>
      <c r="CD180" s="48"/>
      <c r="CE180" s="48"/>
      <c r="CF180" s="48"/>
      <c r="CG180" s="48"/>
      <c r="CH180" s="48"/>
      <c r="CI180" s="48"/>
      <c r="CJ180" s="48"/>
      <c r="CK180" s="48"/>
      <c r="CL180" s="48"/>
      <c r="CM180" s="48"/>
      <c r="CN180" s="48"/>
      <c r="CO180" s="48"/>
      <c r="CP180" s="48"/>
      <c r="CQ180" s="48"/>
      <c r="CR180" s="48"/>
      <c r="CS180" s="48"/>
      <c r="CT180" s="48"/>
      <c r="CU180" s="48"/>
      <c r="CV180" s="48"/>
      <c r="CW180" s="48"/>
      <c r="CX180" s="48"/>
      <c r="CY180" s="48"/>
      <c r="CZ180" s="48"/>
      <c r="DA180" s="48"/>
      <c r="DB180" s="48"/>
      <c r="DC180" s="48"/>
      <c r="DD180" s="48"/>
      <c r="DE180" s="48"/>
      <c r="DF180" s="48"/>
      <c r="DG180" s="48"/>
      <c r="DH180" s="48"/>
      <c r="DI180" s="48"/>
      <c r="DJ180" s="48"/>
      <c r="DK180" s="48"/>
      <c r="DL180" s="48"/>
      <c r="DM180" s="48"/>
      <c r="DN180" s="48"/>
      <c r="DO180" s="48"/>
      <c r="DP180" s="48"/>
      <c r="DQ180" s="48"/>
      <c r="DR180" s="48"/>
      <c r="DS180" s="48"/>
    </row>
    <row r="181" spans="1:123" ht="15">
      <c r="A181"/>
      <c r="B181"/>
      <c r="C181"/>
      <c r="D181"/>
      <c r="E181"/>
      <c r="F181"/>
      <c r="G181"/>
      <c r="H181"/>
      <c r="I181"/>
      <c r="J181"/>
      <c r="K181" s="49">
        <f>IF(G181+H181=0,0,SUM(G181:H181)/#REF!)</f>
        <v>0</v>
      </c>
      <c r="L181" s="49">
        <f t="shared" si="9"/>
        <v>0</v>
      </c>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c r="BM181" s="48"/>
      <c r="BN181" s="48"/>
      <c r="BO181" s="48"/>
      <c r="BP181" s="48"/>
      <c r="BQ181" s="48"/>
      <c r="BR181" s="48"/>
      <c r="BS181" s="48"/>
      <c r="BT181" s="48"/>
      <c r="BU181" s="48"/>
      <c r="BV181" s="48"/>
      <c r="BW181" s="48"/>
      <c r="BX181" s="48"/>
      <c r="BY181" s="48"/>
      <c r="BZ181" s="48"/>
      <c r="CA181" s="48"/>
      <c r="CB181" s="48"/>
      <c r="CC181" s="48"/>
      <c r="CD181" s="48"/>
      <c r="CE181" s="48"/>
      <c r="CF181" s="48"/>
      <c r="CG181" s="48"/>
      <c r="CH181" s="48"/>
      <c r="CI181" s="48"/>
      <c r="CJ181" s="48"/>
      <c r="CK181" s="48"/>
      <c r="CL181" s="48"/>
      <c r="CM181" s="48"/>
      <c r="CN181" s="48"/>
      <c r="CO181" s="48"/>
      <c r="CP181" s="48"/>
      <c r="CQ181" s="48"/>
      <c r="CR181" s="48"/>
      <c r="CS181" s="48"/>
      <c r="CT181" s="48"/>
      <c r="CU181" s="48"/>
      <c r="CV181" s="48"/>
      <c r="CW181" s="48"/>
      <c r="CX181" s="48"/>
      <c r="CY181" s="48"/>
      <c r="CZ181" s="48"/>
      <c r="DA181" s="48"/>
      <c r="DB181" s="48"/>
      <c r="DC181" s="48"/>
      <c r="DD181" s="48"/>
      <c r="DE181" s="48"/>
      <c r="DF181" s="48"/>
      <c r="DG181" s="48"/>
      <c r="DH181" s="48"/>
      <c r="DI181" s="48"/>
      <c r="DJ181" s="48"/>
      <c r="DK181" s="48"/>
      <c r="DL181" s="48"/>
      <c r="DM181" s="48"/>
      <c r="DN181" s="48"/>
      <c r="DO181" s="48"/>
      <c r="DP181" s="48"/>
      <c r="DQ181" s="48"/>
      <c r="DR181" s="48"/>
      <c r="DS181" s="48"/>
    </row>
    <row r="182" spans="1:123" ht="15">
      <c r="A182"/>
      <c r="B182"/>
      <c r="C182"/>
      <c r="D182"/>
      <c r="E182"/>
      <c r="F182"/>
      <c r="G182"/>
      <c r="H182"/>
      <c r="I182"/>
      <c r="J182"/>
      <c r="K182" s="49">
        <f>IF(G182+H182=0,0,SUM(G182:H182)/#REF!)</f>
        <v>0</v>
      </c>
      <c r="L182" s="49">
        <f t="shared" si="9"/>
        <v>0</v>
      </c>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48"/>
      <c r="BJ182" s="48"/>
      <c r="BK182" s="48"/>
      <c r="BL182" s="48"/>
      <c r="BM182" s="48"/>
      <c r="BN182" s="48"/>
      <c r="BO182" s="48"/>
      <c r="BP182" s="48"/>
      <c r="BQ182" s="48"/>
      <c r="BR182" s="48"/>
      <c r="BS182" s="48"/>
      <c r="BT182" s="48"/>
      <c r="BU182" s="48"/>
      <c r="BV182" s="48"/>
      <c r="BW182" s="48"/>
      <c r="BX182" s="48"/>
      <c r="BY182" s="48"/>
      <c r="BZ182" s="48"/>
      <c r="CA182" s="48"/>
      <c r="CB182" s="48"/>
      <c r="CC182" s="48"/>
      <c r="CD182" s="48"/>
      <c r="CE182" s="48"/>
      <c r="CF182" s="48"/>
      <c r="CG182" s="48"/>
      <c r="CH182" s="48"/>
      <c r="CI182" s="48"/>
      <c r="CJ182" s="48"/>
      <c r="CK182" s="48"/>
      <c r="CL182" s="48"/>
      <c r="CM182" s="48"/>
      <c r="CN182" s="48"/>
      <c r="CO182" s="48"/>
      <c r="CP182" s="48"/>
      <c r="CQ182" s="48"/>
      <c r="CR182" s="48"/>
      <c r="CS182" s="48"/>
      <c r="CT182" s="48"/>
      <c r="CU182" s="48"/>
      <c r="CV182" s="48"/>
      <c r="CW182" s="48"/>
      <c r="CX182" s="48"/>
      <c r="CY182" s="48"/>
      <c r="CZ182" s="48"/>
      <c r="DA182" s="48"/>
      <c r="DB182" s="48"/>
      <c r="DC182" s="48"/>
      <c r="DD182" s="48"/>
      <c r="DE182" s="48"/>
      <c r="DF182" s="48"/>
      <c r="DG182" s="48"/>
      <c r="DH182" s="48"/>
      <c r="DI182" s="48"/>
      <c r="DJ182" s="48"/>
      <c r="DK182" s="48"/>
      <c r="DL182" s="48"/>
      <c r="DM182" s="48"/>
      <c r="DN182" s="48"/>
      <c r="DO182" s="48"/>
      <c r="DP182" s="48"/>
      <c r="DQ182" s="48"/>
      <c r="DR182" s="48"/>
      <c r="DS182" s="48"/>
    </row>
    <row r="183" spans="1:123" ht="15">
      <c r="A183"/>
      <c r="B183"/>
      <c r="C183"/>
      <c r="D183"/>
      <c r="E183"/>
      <c r="F183"/>
      <c r="G183"/>
      <c r="H183"/>
      <c r="I183"/>
      <c r="J183"/>
      <c r="K183" s="49">
        <f>IF(G183+H183=0,0,SUM(G183:H183)/#REF!)</f>
        <v>0</v>
      </c>
      <c r="L183" s="49">
        <f t="shared" si="9"/>
        <v>0</v>
      </c>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c r="BY183" s="48"/>
      <c r="BZ183" s="48"/>
      <c r="CA183" s="48"/>
      <c r="CB183" s="48"/>
      <c r="CC183" s="48"/>
      <c r="CD183" s="48"/>
      <c r="CE183" s="48"/>
      <c r="CF183" s="48"/>
      <c r="CG183" s="48"/>
      <c r="CH183" s="48"/>
      <c r="CI183" s="48"/>
      <c r="CJ183" s="48"/>
      <c r="CK183" s="48"/>
      <c r="CL183" s="48"/>
      <c r="CM183" s="48"/>
      <c r="CN183" s="48"/>
      <c r="CO183" s="48"/>
      <c r="CP183" s="48"/>
      <c r="CQ183" s="48"/>
      <c r="CR183" s="48"/>
      <c r="CS183" s="48"/>
      <c r="CT183" s="48"/>
      <c r="CU183" s="48"/>
      <c r="CV183" s="48"/>
      <c r="CW183" s="48"/>
      <c r="CX183" s="48"/>
      <c r="CY183" s="48"/>
      <c r="CZ183" s="48"/>
      <c r="DA183" s="48"/>
      <c r="DB183" s="48"/>
      <c r="DC183" s="48"/>
      <c r="DD183" s="48"/>
      <c r="DE183" s="48"/>
      <c r="DF183" s="48"/>
      <c r="DG183" s="48"/>
      <c r="DH183" s="48"/>
      <c r="DI183" s="48"/>
      <c r="DJ183" s="48"/>
      <c r="DK183" s="48"/>
      <c r="DL183" s="48"/>
      <c r="DM183" s="48"/>
      <c r="DN183" s="48"/>
      <c r="DO183" s="48"/>
      <c r="DP183" s="48"/>
      <c r="DQ183" s="48"/>
      <c r="DR183" s="48"/>
      <c r="DS183" s="48"/>
    </row>
    <row r="184" spans="1:123" ht="15">
      <c r="A184"/>
      <c r="B184"/>
      <c r="C184"/>
      <c r="D184"/>
      <c r="E184"/>
      <c r="F184"/>
      <c r="G184"/>
      <c r="H184"/>
      <c r="I184"/>
      <c r="J184"/>
      <c r="K184" s="49">
        <f>IF(G184+H184=0,0,SUM(G184:H184)/#REF!)</f>
        <v>0</v>
      </c>
      <c r="L184" s="49">
        <f t="shared" si="9"/>
        <v>0</v>
      </c>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8"/>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c r="DB184" s="48"/>
      <c r="DC184" s="48"/>
      <c r="DD184" s="48"/>
      <c r="DE184" s="48"/>
      <c r="DF184" s="48"/>
      <c r="DG184" s="48"/>
      <c r="DH184" s="48"/>
      <c r="DI184" s="48"/>
      <c r="DJ184" s="48"/>
      <c r="DK184" s="48"/>
      <c r="DL184" s="48"/>
      <c r="DM184" s="48"/>
      <c r="DN184" s="48"/>
      <c r="DO184" s="48"/>
      <c r="DP184" s="48"/>
      <c r="DQ184" s="48"/>
      <c r="DR184" s="48"/>
      <c r="DS184" s="48"/>
    </row>
    <row r="185" spans="1:123" ht="15">
      <c r="A185"/>
      <c r="B185"/>
      <c r="C185"/>
      <c r="D185"/>
      <c r="E185"/>
      <c r="F185"/>
      <c r="G185"/>
      <c r="H185"/>
      <c r="I185"/>
      <c r="J185"/>
      <c r="K185" s="49">
        <f>IF(G185+H185=0,0,SUM(G185:H185)/#REF!)</f>
        <v>0</v>
      </c>
      <c r="L185" s="49">
        <f t="shared" si="9"/>
        <v>0</v>
      </c>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8"/>
      <c r="BK185" s="48"/>
      <c r="BL185" s="48"/>
      <c r="BM185" s="48"/>
      <c r="BN185" s="48"/>
      <c r="BO185" s="48"/>
      <c r="BP185" s="48"/>
      <c r="BQ185" s="48"/>
      <c r="BR185" s="48"/>
      <c r="BS185" s="48"/>
      <c r="BT185" s="48"/>
      <c r="BU185" s="48"/>
      <c r="BV185" s="48"/>
      <c r="BW185" s="48"/>
      <c r="BX185" s="48"/>
      <c r="BY185" s="48"/>
      <c r="BZ185" s="48"/>
      <c r="CA185" s="48"/>
      <c r="CB185" s="48"/>
      <c r="CC185" s="48"/>
      <c r="CD185" s="48"/>
      <c r="CE185" s="48"/>
      <c r="CF185" s="48"/>
      <c r="CG185" s="48"/>
      <c r="CH185" s="48"/>
      <c r="CI185" s="48"/>
      <c r="CJ185" s="48"/>
      <c r="CK185" s="48"/>
      <c r="CL185" s="48"/>
      <c r="CM185" s="48"/>
      <c r="CN185" s="48"/>
      <c r="CO185" s="48"/>
      <c r="CP185" s="48"/>
      <c r="CQ185" s="48"/>
      <c r="CR185" s="48"/>
      <c r="CS185" s="48"/>
      <c r="CT185" s="48"/>
      <c r="CU185" s="48"/>
      <c r="CV185" s="48"/>
      <c r="CW185" s="48"/>
      <c r="CX185" s="48"/>
      <c r="CY185" s="48"/>
      <c r="CZ185" s="48"/>
      <c r="DA185" s="48"/>
      <c r="DB185" s="48"/>
      <c r="DC185" s="48"/>
      <c r="DD185" s="48"/>
      <c r="DE185" s="48"/>
      <c r="DF185" s="48"/>
      <c r="DG185" s="48"/>
      <c r="DH185" s="48"/>
      <c r="DI185" s="48"/>
      <c r="DJ185" s="48"/>
      <c r="DK185" s="48"/>
      <c r="DL185" s="48"/>
      <c r="DM185" s="48"/>
      <c r="DN185" s="48"/>
      <c r="DO185" s="48"/>
      <c r="DP185" s="48"/>
      <c r="DQ185" s="48"/>
      <c r="DR185" s="48"/>
      <c r="DS185" s="48"/>
    </row>
    <row r="186" spans="1:123" ht="15">
      <c r="A186"/>
      <c r="B186"/>
      <c r="C186"/>
      <c r="D186"/>
      <c r="E186"/>
      <c r="F186"/>
      <c r="G186"/>
      <c r="H186"/>
      <c r="I186"/>
      <c r="J186"/>
      <c r="K186" s="49">
        <f>IF(G186+H186=0,0,SUM(G186:H186)/#REF!)</f>
        <v>0</v>
      </c>
      <c r="L186" s="49">
        <f t="shared" si="9"/>
        <v>0</v>
      </c>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8"/>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c r="CZ186" s="48"/>
      <c r="DA186" s="48"/>
      <c r="DB186" s="48"/>
      <c r="DC186" s="48"/>
      <c r="DD186" s="48"/>
      <c r="DE186" s="48"/>
      <c r="DF186" s="48"/>
      <c r="DG186" s="48"/>
      <c r="DH186" s="48"/>
      <c r="DI186" s="48"/>
      <c r="DJ186" s="48"/>
      <c r="DK186" s="48"/>
      <c r="DL186" s="48"/>
      <c r="DM186" s="48"/>
      <c r="DN186" s="48"/>
      <c r="DO186" s="48"/>
      <c r="DP186" s="48"/>
      <c r="DQ186" s="48"/>
      <c r="DR186" s="48"/>
      <c r="DS186" s="48"/>
    </row>
    <row r="187" spans="1:123" ht="15">
      <c r="A187"/>
      <c r="B187"/>
      <c r="C187"/>
      <c r="D187"/>
      <c r="E187"/>
      <c r="F187"/>
      <c r="G187"/>
      <c r="H187"/>
      <c r="I187"/>
      <c r="J187"/>
      <c r="K187" s="49">
        <f>IF(G187+H187=0,0,SUM(G187:H187)/#REF!)</f>
        <v>0</v>
      </c>
      <c r="L187" s="49">
        <f t="shared" si="9"/>
        <v>0</v>
      </c>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c r="BI187" s="48"/>
      <c r="BJ187" s="48"/>
      <c r="BK187" s="48"/>
      <c r="BL187" s="48"/>
      <c r="BM187" s="48"/>
      <c r="BN187" s="48"/>
      <c r="BO187" s="48"/>
      <c r="BP187" s="48"/>
      <c r="BQ187" s="48"/>
      <c r="BR187" s="48"/>
      <c r="BS187" s="48"/>
      <c r="BT187" s="48"/>
      <c r="BU187" s="48"/>
      <c r="BV187" s="48"/>
      <c r="BW187" s="48"/>
      <c r="BX187" s="48"/>
      <c r="BY187" s="48"/>
      <c r="BZ187" s="48"/>
      <c r="CA187" s="48"/>
      <c r="CB187" s="48"/>
      <c r="CC187" s="48"/>
      <c r="CD187" s="48"/>
      <c r="CE187" s="48"/>
      <c r="CF187" s="48"/>
      <c r="CG187" s="48"/>
      <c r="CH187" s="48"/>
      <c r="CI187" s="48"/>
      <c r="CJ187" s="48"/>
      <c r="CK187" s="48"/>
      <c r="CL187" s="48"/>
      <c r="CM187" s="48"/>
      <c r="CN187" s="48"/>
      <c r="CO187" s="48"/>
      <c r="CP187" s="48"/>
      <c r="CQ187" s="48"/>
      <c r="CR187" s="48"/>
      <c r="CS187" s="48"/>
      <c r="CT187" s="48"/>
      <c r="CU187" s="48"/>
      <c r="CV187" s="48"/>
      <c r="CW187" s="48"/>
      <c r="CX187" s="48"/>
      <c r="CY187" s="48"/>
      <c r="CZ187" s="48"/>
      <c r="DA187" s="48"/>
      <c r="DB187" s="48"/>
      <c r="DC187" s="48"/>
      <c r="DD187" s="48"/>
      <c r="DE187" s="48"/>
      <c r="DF187" s="48"/>
      <c r="DG187" s="48"/>
      <c r="DH187" s="48"/>
      <c r="DI187" s="48"/>
      <c r="DJ187" s="48"/>
      <c r="DK187" s="48"/>
      <c r="DL187" s="48"/>
      <c r="DM187" s="48"/>
      <c r="DN187" s="48"/>
      <c r="DO187" s="48"/>
      <c r="DP187" s="48"/>
      <c r="DQ187" s="48"/>
      <c r="DR187" s="48"/>
      <c r="DS187" s="48"/>
    </row>
    <row r="188" spans="1:123" ht="15">
      <c r="A188"/>
      <c r="B188"/>
      <c r="C188"/>
      <c r="D188"/>
      <c r="E188"/>
      <c r="F188"/>
      <c r="G188"/>
      <c r="H188"/>
      <c r="I188"/>
      <c r="J188"/>
      <c r="K188" s="49">
        <f>IF(G188+H188=0,0,SUM(G188:H188)/#REF!)</f>
        <v>0</v>
      </c>
      <c r="L188" s="49">
        <f t="shared" si="9"/>
        <v>0</v>
      </c>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8"/>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c r="DC188" s="48"/>
      <c r="DD188" s="48"/>
      <c r="DE188" s="48"/>
      <c r="DF188" s="48"/>
      <c r="DG188" s="48"/>
      <c r="DH188" s="48"/>
      <c r="DI188" s="48"/>
      <c r="DJ188" s="48"/>
      <c r="DK188" s="48"/>
      <c r="DL188" s="48"/>
      <c r="DM188" s="48"/>
      <c r="DN188" s="48"/>
      <c r="DO188" s="48"/>
      <c r="DP188" s="48"/>
      <c r="DQ188" s="48"/>
      <c r="DR188" s="48"/>
      <c r="DS188" s="48"/>
    </row>
    <row r="189" spans="1:123" ht="15">
      <c r="A189"/>
      <c r="B189"/>
      <c r="C189"/>
      <c r="D189"/>
      <c r="E189"/>
      <c r="F189"/>
      <c r="G189"/>
      <c r="H189"/>
      <c r="I189"/>
      <c r="J189"/>
      <c r="K189" s="49">
        <f>IF(G189+H189=0,0,SUM(G189:H189)/#REF!)</f>
        <v>0</v>
      </c>
      <c r="L189" s="49">
        <f t="shared" si="9"/>
        <v>0</v>
      </c>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c r="BI189" s="48"/>
      <c r="BJ189" s="48"/>
      <c r="BK189" s="48"/>
      <c r="BL189" s="48"/>
      <c r="BM189" s="48"/>
      <c r="BN189" s="48"/>
      <c r="BO189" s="48"/>
      <c r="BP189" s="48"/>
      <c r="BQ189" s="48"/>
      <c r="BR189" s="48"/>
      <c r="BS189" s="48"/>
      <c r="BT189" s="48"/>
      <c r="BU189" s="48"/>
      <c r="BV189" s="48"/>
      <c r="BW189" s="48"/>
      <c r="BX189" s="48"/>
      <c r="BY189" s="48"/>
      <c r="BZ189" s="48"/>
      <c r="CA189" s="48"/>
      <c r="CB189" s="48"/>
      <c r="CC189" s="48"/>
      <c r="CD189" s="48"/>
      <c r="CE189" s="48"/>
      <c r="CF189" s="48"/>
      <c r="CG189" s="48"/>
      <c r="CH189" s="48"/>
      <c r="CI189" s="48"/>
      <c r="CJ189" s="48"/>
      <c r="CK189" s="48"/>
      <c r="CL189" s="48"/>
      <c r="CM189" s="48"/>
      <c r="CN189" s="48"/>
      <c r="CO189" s="48"/>
      <c r="CP189" s="48"/>
      <c r="CQ189" s="48"/>
      <c r="CR189" s="48"/>
      <c r="CS189" s="48"/>
      <c r="CT189" s="48"/>
      <c r="CU189" s="48"/>
      <c r="CV189" s="48"/>
      <c r="CW189" s="48"/>
      <c r="CX189" s="48"/>
      <c r="CY189" s="48"/>
      <c r="CZ189" s="48"/>
      <c r="DA189" s="48"/>
      <c r="DB189" s="48"/>
      <c r="DC189" s="48"/>
      <c r="DD189" s="48"/>
      <c r="DE189" s="48"/>
      <c r="DF189" s="48"/>
      <c r="DG189" s="48"/>
      <c r="DH189" s="48"/>
      <c r="DI189" s="48"/>
      <c r="DJ189" s="48"/>
      <c r="DK189" s="48"/>
      <c r="DL189" s="48"/>
      <c r="DM189" s="48"/>
      <c r="DN189" s="48"/>
      <c r="DO189" s="48"/>
      <c r="DP189" s="48"/>
      <c r="DQ189" s="48"/>
      <c r="DR189" s="48"/>
      <c r="DS189" s="48"/>
    </row>
    <row r="190" spans="1:123" ht="15">
      <c r="A190"/>
      <c r="B190"/>
      <c r="C190"/>
      <c r="D190"/>
      <c r="E190"/>
      <c r="F190"/>
      <c r="G190"/>
      <c r="H190"/>
      <c r="I190"/>
      <c r="J190"/>
      <c r="K190" s="49">
        <f>IF(G190+H190=0,0,SUM(G190:H190)/#REF!)</f>
        <v>0</v>
      </c>
      <c r="L190" s="49">
        <f t="shared" si="9"/>
        <v>0</v>
      </c>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8"/>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c r="CW190" s="48"/>
      <c r="CX190" s="48"/>
      <c r="CY190" s="48"/>
      <c r="CZ190" s="48"/>
      <c r="DA190" s="48"/>
      <c r="DB190" s="48"/>
      <c r="DC190" s="48"/>
      <c r="DD190" s="48"/>
      <c r="DE190" s="48"/>
      <c r="DF190" s="48"/>
      <c r="DG190" s="48"/>
      <c r="DH190" s="48"/>
      <c r="DI190" s="48"/>
      <c r="DJ190" s="48"/>
      <c r="DK190" s="48"/>
      <c r="DL190" s="48"/>
      <c r="DM190" s="48"/>
      <c r="DN190" s="48"/>
      <c r="DO190" s="48"/>
      <c r="DP190" s="48"/>
      <c r="DQ190" s="48"/>
      <c r="DR190" s="48"/>
      <c r="DS190" s="48"/>
    </row>
    <row r="191" spans="1:123" ht="15">
      <c r="A191"/>
      <c r="B191"/>
      <c r="C191"/>
      <c r="D191"/>
      <c r="E191"/>
      <c r="F191"/>
      <c r="G191"/>
      <c r="H191"/>
      <c r="I191"/>
      <c r="J191"/>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48"/>
      <c r="BJ191" s="48"/>
      <c r="BK191" s="48"/>
      <c r="BL191" s="48"/>
      <c r="BM191" s="48"/>
      <c r="BN191" s="48"/>
      <c r="BO191" s="48"/>
      <c r="BP191" s="48"/>
      <c r="BQ191" s="48"/>
      <c r="BR191" s="48"/>
      <c r="BS191" s="48"/>
      <c r="BT191" s="48"/>
      <c r="BU191" s="48"/>
      <c r="BV191" s="48"/>
      <c r="BW191" s="48"/>
      <c r="BX191" s="48"/>
      <c r="BY191" s="48"/>
      <c r="BZ191" s="48"/>
      <c r="CA191" s="48"/>
      <c r="CB191" s="48"/>
      <c r="CC191" s="48"/>
      <c r="CD191" s="48"/>
      <c r="CE191" s="48"/>
      <c r="CF191" s="48"/>
      <c r="CG191" s="48"/>
      <c r="CH191" s="48"/>
      <c r="CI191" s="48"/>
      <c r="CJ191" s="48"/>
      <c r="CK191" s="48"/>
      <c r="CL191" s="48"/>
      <c r="CM191" s="48"/>
      <c r="CN191" s="48"/>
      <c r="CO191" s="48"/>
      <c r="CP191" s="48"/>
      <c r="CQ191" s="48"/>
      <c r="CR191" s="48"/>
      <c r="CS191" s="48"/>
      <c r="CT191" s="48"/>
      <c r="CU191" s="48"/>
      <c r="CV191" s="48"/>
      <c r="CW191" s="48"/>
      <c r="CX191" s="48"/>
      <c r="CY191" s="48"/>
      <c r="CZ191" s="48"/>
      <c r="DA191" s="48"/>
      <c r="DB191" s="48"/>
      <c r="DC191" s="48"/>
      <c r="DD191" s="48"/>
      <c r="DE191" s="48"/>
      <c r="DF191" s="48"/>
      <c r="DG191" s="48"/>
      <c r="DH191" s="48"/>
      <c r="DI191" s="48"/>
      <c r="DJ191" s="48"/>
      <c r="DK191" s="48"/>
      <c r="DL191" s="48"/>
      <c r="DM191" s="48"/>
      <c r="DN191" s="48"/>
      <c r="DO191" s="48"/>
      <c r="DP191" s="48"/>
      <c r="DQ191" s="48"/>
      <c r="DR191" s="48"/>
      <c r="DS191" s="48"/>
    </row>
    <row r="192" spans="1:123" ht="15">
      <c r="A192"/>
      <c r="B192"/>
      <c r="C192"/>
      <c r="D192"/>
      <c r="E192"/>
      <c r="F192"/>
      <c r="G192"/>
      <c r="H192"/>
      <c r="I192"/>
      <c r="J192"/>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48"/>
      <c r="BJ192" s="48"/>
      <c r="BK192" s="48"/>
      <c r="BL192" s="48"/>
      <c r="BM192" s="48"/>
      <c r="BN192" s="48"/>
      <c r="BO192" s="48"/>
      <c r="BP192" s="48"/>
      <c r="BQ192" s="48"/>
      <c r="BR192" s="48"/>
      <c r="BS192" s="48"/>
      <c r="BT192" s="48"/>
      <c r="BU192" s="48"/>
      <c r="BV192" s="48"/>
      <c r="BW192" s="48"/>
      <c r="BX192" s="48"/>
      <c r="BY192" s="48"/>
      <c r="BZ192" s="48"/>
      <c r="CA192" s="48"/>
      <c r="CB192" s="48"/>
      <c r="CC192" s="48"/>
      <c r="CD192" s="48"/>
      <c r="CE192" s="48"/>
      <c r="CF192" s="48"/>
      <c r="CG192" s="48"/>
      <c r="CH192" s="48"/>
      <c r="CI192" s="48"/>
      <c r="CJ192" s="48"/>
      <c r="CK192" s="48"/>
      <c r="CL192" s="48"/>
      <c r="CM192" s="48"/>
      <c r="CN192" s="48"/>
      <c r="CO192" s="48"/>
      <c r="CP192" s="48"/>
      <c r="CQ192" s="48"/>
      <c r="CR192" s="48"/>
      <c r="CS192" s="48"/>
      <c r="CT192" s="48"/>
      <c r="CU192" s="48"/>
      <c r="CV192" s="48"/>
      <c r="CW192" s="48"/>
      <c r="CX192" s="48"/>
      <c r="CY192" s="48"/>
      <c r="CZ192" s="48"/>
      <c r="DA192" s="48"/>
      <c r="DB192" s="48"/>
      <c r="DC192" s="48"/>
      <c r="DD192" s="48"/>
      <c r="DE192" s="48"/>
      <c r="DF192" s="48"/>
      <c r="DG192" s="48"/>
      <c r="DH192" s="48"/>
      <c r="DI192" s="48"/>
      <c r="DJ192" s="48"/>
      <c r="DK192" s="48"/>
      <c r="DL192" s="48"/>
      <c r="DM192" s="48"/>
      <c r="DN192" s="48"/>
      <c r="DO192" s="48"/>
      <c r="DP192" s="48"/>
      <c r="DQ192" s="48"/>
      <c r="DR192" s="48"/>
      <c r="DS192" s="48"/>
    </row>
    <row r="193" spans="1:123" ht="15">
      <c r="A193"/>
      <c r="B193"/>
      <c r="C193"/>
      <c r="D193"/>
      <c r="E193"/>
      <c r="F193"/>
      <c r="G193"/>
      <c r="H193"/>
      <c r="I193"/>
      <c r="J193"/>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c r="BM193" s="48"/>
      <c r="BN193" s="48"/>
      <c r="BO193" s="48"/>
      <c r="BP193" s="48"/>
      <c r="BQ193" s="48"/>
      <c r="BR193" s="48"/>
      <c r="BS193" s="48"/>
      <c r="BT193" s="48"/>
      <c r="BU193" s="48"/>
      <c r="BV193" s="48"/>
      <c r="BW193" s="48"/>
      <c r="BX193" s="48"/>
      <c r="BY193" s="48"/>
      <c r="BZ193" s="48"/>
      <c r="CA193" s="48"/>
      <c r="CB193" s="48"/>
      <c r="CC193" s="48"/>
      <c r="CD193" s="48"/>
      <c r="CE193" s="48"/>
      <c r="CF193" s="48"/>
      <c r="CG193" s="48"/>
      <c r="CH193" s="48"/>
      <c r="CI193" s="48"/>
      <c r="CJ193" s="48"/>
      <c r="CK193" s="48"/>
      <c r="CL193" s="48"/>
      <c r="CM193" s="48"/>
      <c r="CN193" s="48"/>
      <c r="CO193" s="48"/>
      <c r="CP193" s="48"/>
      <c r="CQ193" s="48"/>
      <c r="CR193" s="48"/>
      <c r="CS193" s="48"/>
      <c r="CT193" s="48"/>
      <c r="CU193" s="48"/>
      <c r="CV193" s="48"/>
      <c r="CW193" s="48"/>
      <c r="CX193" s="48"/>
      <c r="CY193" s="48"/>
      <c r="CZ193" s="48"/>
      <c r="DA193" s="48"/>
      <c r="DB193" s="48"/>
      <c r="DC193" s="48"/>
      <c r="DD193" s="48"/>
      <c r="DE193" s="48"/>
      <c r="DF193" s="48"/>
      <c r="DG193" s="48"/>
      <c r="DH193" s="48"/>
      <c r="DI193" s="48"/>
      <c r="DJ193" s="48"/>
      <c r="DK193" s="48"/>
      <c r="DL193" s="48"/>
      <c r="DM193" s="48"/>
      <c r="DN193" s="48"/>
      <c r="DO193" s="48"/>
      <c r="DP193" s="48"/>
      <c r="DQ193" s="48"/>
      <c r="DR193" s="48"/>
      <c r="DS193" s="48"/>
    </row>
    <row r="194" spans="1:123" ht="15">
      <c r="A194"/>
      <c r="B194"/>
      <c r="C194"/>
      <c r="D194"/>
      <c r="E194"/>
      <c r="F194"/>
      <c r="G194"/>
      <c r="H194"/>
      <c r="I194"/>
      <c r="J194"/>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8"/>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48"/>
      <c r="CZ194" s="48"/>
      <c r="DA194" s="48"/>
      <c r="DB194" s="48"/>
      <c r="DC194" s="48"/>
      <c r="DD194" s="48"/>
      <c r="DE194" s="48"/>
      <c r="DF194" s="48"/>
      <c r="DG194" s="48"/>
      <c r="DH194" s="48"/>
      <c r="DI194" s="48"/>
      <c r="DJ194" s="48"/>
      <c r="DK194" s="48"/>
      <c r="DL194" s="48"/>
      <c r="DM194" s="48"/>
      <c r="DN194" s="48"/>
      <c r="DO194" s="48"/>
      <c r="DP194" s="48"/>
      <c r="DQ194" s="48"/>
      <c r="DR194" s="48"/>
      <c r="DS194" s="48"/>
    </row>
    <row r="195" spans="1:123" ht="15">
      <c r="A195"/>
      <c r="B195"/>
      <c r="C195"/>
      <c r="D195"/>
      <c r="E195"/>
      <c r="F195"/>
      <c r="G195"/>
      <c r="H195"/>
      <c r="I195"/>
      <c r="J195"/>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c r="BM195" s="48"/>
      <c r="BN195" s="48"/>
      <c r="BO195" s="48"/>
      <c r="BP195" s="48"/>
      <c r="BQ195" s="48"/>
      <c r="BR195" s="48"/>
      <c r="BS195" s="48"/>
      <c r="BT195" s="48"/>
      <c r="BU195" s="48"/>
      <c r="BV195" s="48"/>
      <c r="BW195" s="48"/>
      <c r="BX195" s="48"/>
      <c r="BY195" s="48"/>
      <c r="BZ195" s="48"/>
      <c r="CA195" s="48"/>
      <c r="CB195" s="48"/>
      <c r="CC195" s="48"/>
      <c r="CD195" s="48"/>
      <c r="CE195" s="48"/>
      <c r="CF195" s="48"/>
      <c r="CG195" s="48"/>
      <c r="CH195" s="48"/>
      <c r="CI195" s="48"/>
      <c r="CJ195" s="48"/>
      <c r="CK195" s="48"/>
      <c r="CL195" s="48"/>
      <c r="CM195" s="48"/>
      <c r="CN195" s="48"/>
      <c r="CO195" s="48"/>
      <c r="CP195" s="48"/>
      <c r="CQ195" s="48"/>
      <c r="CR195" s="48"/>
      <c r="CS195" s="48"/>
      <c r="CT195" s="48"/>
      <c r="CU195" s="48"/>
      <c r="CV195" s="48"/>
      <c r="CW195" s="48"/>
      <c r="CX195" s="48"/>
      <c r="CY195" s="48"/>
      <c r="CZ195" s="48"/>
      <c r="DA195" s="48"/>
      <c r="DB195" s="48"/>
      <c r="DC195" s="48"/>
      <c r="DD195" s="48"/>
      <c r="DE195" s="48"/>
      <c r="DF195" s="48"/>
      <c r="DG195" s="48"/>
      <c r="DH195" s="48"/>
      <c r="DI195" s="48"/>
      <c r="DJ195" s="48"/>
      <c r="DK195" s="48"/>
      <c r="DL195" s="48"/>
      <c r="DM195" s="48"/>
      <c r="DN195" s="48"/>
      <c r="DO195" s="48"/>
      <c r="DP195" s="48"/>
      <c r="DQ195" s="48"/>
      <c r="DR195" s="48"/>
      <c r="DS195" s="48"/>
    </row>
    <row r="196" spans="1:123" ht="15">
      <c r="A196"/>
      <c r="B196"/>
      <c r="C196"/>
      <c r="D196"/>
      <c r="E196"/>
      <c r="F196"/>
      <c r="G196"/>
      <c r="H196"/>
      <c r="I196"/>
      <c r="J196"/>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48"/>
      <c r="BH196" s="48"/>
      <c r="BI196" s="48"/>
      <c r="BJ196" s="48"/>
      <c r="BK196" s="48"/>
      <c r="BL196" s="48"/>
      <c r="BM196" s="48"/>
      <c r="BN196" s="48"/>
      <c r="BO196" s="48"/>
      <c r="BP196" s="48"/>
      <c r="BQ196" s="48"/>
      <c r="BR196" s="48"/>
      <c r="BS196" s="48"/>
      <c r="BT196" s="48"/>
      <c r="BU196" s="48"/>
      <c r="BV196" s="48"/>
      <c r="BW196" s="48"/>
      <c r="BX196" s="48"/>
      <c r="BY196" s="48"/>
      <c r="BZ196" s="48"/>
      <c r="CA196" s="48"/>
      <c r="CB196" s="48"/>
      <c r="CC196" s="48"/>
      <c r="CD196" s="48"/>
      <c r="CE196" s="48"/>
      <c r="CF196" s="48"/>
      <c r="CG196" s="48"/>
      <c r="CH196" s="48"/>
      <c r="CI196" s="48"/>
      <c r="CJ196" s="48"/>
      <c r="CK196" s="48"/>
      <c r="CL196" s="48"/>
      <c r="CM196" s="48"/>
      <c r="CN196" s="48"/>
      <c r="CO196" s="48"/>
      <c r="CP196" s="48"/>
      <c r="CQ196" s="48"/>
      <c r="CR196" s="48"/>
      <c r="CS196" s="48"/>
      <c r="CT196" s="48"/>
      <c r="CU196" s="48"/>
      <c r="CV196" s="48"/>
      <c r="CW196" s="48"/>
      <c r="CX196" s="48"/>
      <c r="CY196" s="48"/>
      <c r="CZ196" s="48"/>
      <c r="DA196" s="48"/>
      <c r="DB196" s="48"/>
      <c r="DC196" s="48"/>
      <c r="DD196" s="48"/>
      <c r="DE196" s="48"/>
      <c r="DF196" s="48"/>
      <c r="DG196" s="48"/>
      <c r="DH196" s="48"/>
      <c r="DI196" s="48"/>
      <c r="DJ196" s="48"/>
      <c r="DK196" s="48"/>
      <c r="DL196" s="48"/>
      <c r="DM196" s="48"/>
      <c r="DN196" s="48"/>
      <c r="DO196" s="48"/>
      <c r="DP196" s="48"/>
      <c r="DQ196" s="48"/>
      <c r="DR196" s="48"/>
      <c r="DS196" s="48"/>
    </row>
    <row r="197" spans="1:123" ht="15">
      <c r="A197"/>
      <c r="B197"/>
      <c r="C197"/>
      <c r="D197"/>
      <c r="E197"/>
      <c r="F197"/>
      <c r="G197"/>
      <c r="H197"/>
      <c r="I197"/>
      <c r="J197"/>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48"/>
      <c r="BH197" s="48"/>
      <c r="BI197" s="48"/>
      <c r="BJ197" s="48"/>
      <c r="BK197" s="48"/>
      <c r="BL197" s="48"/>
      <c r="BM197" s="48"/>
      <c r="BN197" s="48"/>
      <c r="BO197" s="48"/>
      <c r="BP197" s="48"/>
      <c r="BQ197" s="48"/>
      <c r="BR197" s="48"/>
      <c r="BS197" s="48"/>
      <c r="BT197" s="48"/>
      <c r="BU197" s="48"/>
      <c r="BV197" s="48"/>
      <c r="BW197" s="48"/>
      <c r="BX197" s="48"/>
      <c r="BY197" s="48"/>
      <c r="BZ197" s="48"/>
      <c r="CA197" s="48"/>
      <c r="CB197" s="48"/>
      <c r="CC197" s="48"/>
      <c r="CD197" s="48"/>
      <c r="CE197" s="48"/>
      <c r="CF197" s="48"/>
      <c r="CG197" s="48"/>
      <c r="CH197" s="48"/>
      <c r="CI197" s="48"/>
      <c r="CJ197" s="48"/>
      <c r="CK197" s="48"/>
      <c r="CL197" s="48"/>
      <c r="CM197" s="48"/>
      <c r="CN197" s="48"/>
      <c r="CO197" s="48"/>
      <c r="CP197" s="48"/>
      <c r="CQ197" s="48"/>
      <c r="CR197" s="48"/>
      <c r="CS197" s="48"/>
      <c r="CT197" s="48"/>
      <c r="CU197" s="48"/>
      <c r="CV197" s="48"/>
      <c r="CW197" s="48"/>
      <c r="CX197" s="48"/>
      <c r="CY197" s="48"/>
      <c r="CZ197" s="48"/>
      <c r="DA197" s="48"/>
      <c r="DB197" s="48"/>
      <c r="DC197" s="48"/>
      <c r="DD197" s="48"/>
      <c r="DE197" s="48"/>
      <c r="DF197" s="48"/>
      <c r="DG197" s="48"/>
      <c r="DH197" s="48"/>
      <c r="DI197" s="48"/>
      <c r="DJ197" s="48"/>
      <c r="DK197" s="48"/>
      <c r="DL197" s="48"/>
      <c r="DM197" s="48"/>
      <c r="DN197" s="48"/>
      <c r="DO197" s="48"/>
      <c r="DP197" s="48"/>
      <c r="DQ197" s="48"/>
      <c r="DR197" s="48"/>
      <c r="DS197" s="48"/>
    </row>
    <row r="198" spans="1:123" ht="15">
      <c r="A198"/>
      <c r="B198"/>
      <c r="C198"/>
      <c r="D198"/>
      <c r="E198"/>
      <c r="F198"/>
      <c r="G198"/>
      <c r="H198"/>
      <c r="I198"/>
      <c r="J19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c r="BM198" s="48"/>
      <c r="BN198" s="48"/>
      <c r="BO198" s="48"/>
      <c r="BP198" s="48"/>
      <c r="BQ198" s="48"/>
      <c r="BR198" s="48"/>
      <c r="BS198" s="48"/>
      <c r="BT198" s="48"/>
      <c r="BU198" s="48"/>
      <c r="BV198" s="48"/>
      <c r="BW198" s="48"/>
      <c r="BX198" s="48"/>
      <c r="BY198" s="48"/>
      <c r="BZ198" s="48"/>
      <c r="CA198" s="48"/>
      <c r="CB198" s="48"/>
      <c r="CC198" s="48"/>
      <c r="CD198" s="48"/>
      <c r="CE198" s="48"/>
      <c r="CF198" s="48"/>
      <c r="CG198" s="48"/>
      <c r="CH198" s="48"/>
      <c r="CI198" s="48"/>
      <c r="CJ198" s="48"/>
      <c r="CK198" s="48"/>
      <c r="CL198" s="48"/>
      <c r="CM198" s="48"/>
      <c r="CN198" s="48"/>
      <c r="CO198" s="48"/>
      <c r="CP198" s="48"/>
      <c r="CQ198" s="48"/>
      <c r="CR198" s="48"/>
      <c r="CS198" s="48"/>
      <c r="CT198" s="48"/>
      <c r="CU198" s="48"/>
      <c r="CV198" s="48"/>
      <c r="CW198" s="48"/>
      <c r="CX198" s="48"/>
      <c r="CY198" s="48"/>
      <c r="CZ198" s="48"/>
      <c r="DA198" s="48"/>
      <c r="DB198" s="48"/>
      <c r="DC198" s="48"/>
      <c r="DD198" s="48"/>
      <c r="DE198" s="48"/>
      <c r="DF198" s="48"/>
      <c r="DG198" s="48"/>
      <c r="DH198" s="48"/>
      <c r="DI198" s="48"/>
      <c r="DJ198" s="48"/>
      <c r="DK198" s="48"/>
      <c r="DL198" s="48"/>
      <c r="DM198" s="48"/>
      <c r="DN198" s="48"/>
      <c r="DO198" s="48"/>
      <c r="DP198" s="48"/>
      <c r="DQ198" s="48"/>
      <c r="DR198" s="48"/>
      <c r="DS198" s="48"/>
    </row>
    <row r="199" spans="1:123" ht="15">
      <c r="A199"/>
      <c r="B199"/>
      <c r="C199"/>
      <c r="D199"/>
      <c r="E199"/>
      <c r="F199"/>
      <c r="G199"/>
      <c r="H199"/>
      <c r="I199"/>
      <c r="J199"/>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8"/>
      <c r="BR199" s="48"/>
      <c r="BS199" s="48"/>
      <c r="BT199" s="48"/>
      <c r="BU199" s="48"/>
      <c r="BV199" s="48"/>
      <c r="BW199" s="48"/>
      <c r="BX199" s="48"/>
      <c r="BY199" s="48"/>
      <c r="BZ199" s="48"/>
      <c r="CA199" s="48"/>
      <c r="CB199" s="48"/>
      <c r="CC199" s="48"/>
      <c r="CD199" s="48"/>
      <c r="CE199" s="48"/>
      <c r="CF199" s="48"/>
      <c r="CG199" s="48"/>
      <c r="CH199" s="48"/>
      <c r="CI199" s="48"/>
      <c r="CJ199" s="48"/>
      <c r="CK199" s="48"/>
      <c r="CL199" s="48"/>
      <c r="CM199" s="48"/>
      <c r="CN199" s="48"/>
      <c r="CO199" s="48"/>
      <c r="CP199" s="48"/>
      <c r="CQ199" s="48"/>
      <c r="CR199" s="48"/>
      <c r="CS199" s="48"/>
      <c r="CT199" s="48"/>
      <c r="CU199" s="48"/>
      <c r="CV199" s="48"/>
      <c r="CW199" s="48"/>
      <c r="CX199" s="48"/>
      <c r="CY199" s="48"/>
      <c r="CZ199" s="48"/>
      <c r="DA199" s="48"/>
      <c r="DB199" s="48"/>
      <c r="DC199" s="48"/>
      <c r="DD199" s="48"/>
      <c r="DE199" s="48"/>
      <c r="DF199" s="48"/>
      <c r="DG199" s="48"/>
      <c r="DH199" s="48"/>
      <c r="DI199" s="48"/>
      <c r="DJ199" s="48"/>
      <c r="DK199" s="48"/>
      <c r="DL199" s="48"/>
      <c r="DM199" s="48"/>
      <c r="DN199" s="48"/>
      <c r="DO199" s="48"/>
      <c r="DP199" s="48"/>
      <c r="DQ199" s="48"/>
      <c r="DR199" s="48"/>
      <c r="DS199" s="48"/>
    </row>
    <row r="200" spans="1:123" ht="15">
      <c r="A200"/>
      <c r="B200"/>
      <c r="C200"/>
      <c r="D200"/>
      <c r="E200"/>
      <c r="F200"/>
      <c r="G200"/>
      <c r="H200"/>
      <c r="I200"/>
      <c r="J200"/>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8"/>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48"/>
      <c r="CZ200" s="48"/>
      <c r="DA200" s="48"/>
      <c r="DB200" s="48"/>
      <c r="DC200" s="48"/>
      <c r="DD200" s="48"/>
      <c r="DE200" s="48"/>
      <c r="DF200" s="48"/>
      <c r="DG200" s="48"/>
      <c r="DH200" s="48"/>
      <c r="DI200" s="48"/>
      <c r="DJ200" s="48"/>
      <c r="DK200" s="48"/>
      <c r="DL200" s="48"/>
      <c r="DM200" s="48"/>
      <c r="DN200" s="48"/>
      <c r="DO200" s="48"/>
      <c r="DP200" s="48"/>
      <c r="DQ200" s="48"/>
      <c r="DR200" s="48"/>
      <c r="DS200" s="48"/>
    </row>
    <row r="201" spans="1:123" ht="15">
      <c r="A201"/>
      <c r="B201"/>
      <c r="C201"/>
      <c r="D201"/>
      <c r="E201"/>
      <c r="F201"/>
      <c r="G201"/>
      <c r="H201"/>
      <c r="I201"/>
      <c r="J201"/>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48"/>
      <c r="BH201" s="48"/>
      <c r="BI201" s="48"/>
      <c r="BJ201" s="48"/>
      <c r="BK201" s="48"/>
      <c r="BL201" s="48"/>
      <c r="BM201" s="48"/>
      <c r="BN201" s="48"/>
      <c r="BO201" s="48"/>
      <c r="BP201" s="48"/>
      <c r="BQ201" s="48"/>
      <c r="BR201" s="48"/>
      <c r="BS201" s="48"/>
      <c r="BT201" s="48"/>
      <c r="BU201" s="48"/>
      <c r="BV201" s="48"/>
      <c r="BW201" s="48"/>
      <c r="BX201" s="48"/>
      <c r="BY201" s="48"/>
      <c r="BZ201" s="48"/>
      <c r="CA201" s="48"/>
      <c r="CB201" s="48"/>
      <c r="CC201" s="48"/>
      <c r="CD201" s="48"/>
      <c r="CE201" s="48"/>
      <c r="CF201" s="48"/>
      <c r="CG201" s="48"/>
      <c r="CH201" s="48"/>
      <c r="CI201" s="48"/>
      <c r="CJ201" s="48"/>
      <c r="CK201" s="48"/>
      <c r="CL201" s="48"/>
      <c r="CM201" s="48"/>
      <c r="CN201" s="48"/>
      <c r="CO201" s="48"/>
      <c r="CP201" s="48"/>
      <c r="CQ201" s="48"/>
      <c r="CR201" s="48"/>
      <c r="CS201" s="48"/>
      <c r="CT201" s="48"/>
      <c r="CU201" s="48"/>
      <c r="CV201" s="48"/>
      <c r="CW201" s="48"/>
      <c r="CX201" s="48"/>
      <c r="CY201" s="48"/>
      <c r="CZ201" s="48"/>
      <c r="DA201" s="48"/>
      <c r="DB201" s="48"/>
      <c r="DC201" s="48"/>
      <c r="DD201" s="48"/>
      <c r="DE201" s="48"/>
      <c r="DF201" s="48"/>
      <c r="DG201" s="48"/>
      <c r="DH201" s="48"/>
      <c r="DI201" s="48"/>
      <c r="DJ201" s="48"/>
      <c r="DK201" s="48"/>
      <c r="DL201" s="48"/>
      <c r="DM201" s="48"/>
      <c r="DN201" s="48"/>
      <c r="DO201" s="48"/>
      <c r="DP201" s="48"/>
      <c r="DQ201" s="48"/>
      <c r="DR201" s="48"/>
      <c r="DS201" s="48"/>
    </row>
    <row r="202" spans="1:123" ht="15">
      <c r="A202"/>
      <c r="B202"/>
      <c r="C202"/>
      <c r="D202"/>
      <c r="E202"/>
      <c r="F202"/>
      <c r="G202"/>
      <c r="H202"/>
      <c r="I202"/>
      <c r="J202"/>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c r="BI202" s="48"/>
      <c r="BJ202" s="48"/>
      <c r="BK202" s="48"/>
      <c r="BL202" s="48"/>
      <c r="BM202" s="48"/>
      <c r="BN202" s="48"/>
      <c r="BO202" s="48"/>
      <c r="BP202" s="48"/>
      <c r="BQ202" s="48"/>
      <c r="BR202" s="48"/>
      <c r="BS202" s="48"/>
      <c r="BT202" s="48"/>
      <c r="BU202" s="48"/>
      <c r="BV202" s="48"/>
      <c r="BW202" s="48"/>
      <c r="BX202" s="48"/>
      <c r="BY202" s="48"/>
      <c r="BZ202" s="48"/>
      <c r="CA202" s="48"/>
      <c r="CB202" s="48"/>
      <c r="CC202" s="48"/>
      <c r="CD202" s="48"/>
      <c r="CE202" s="48"/>
      <c r="CF202" s="48"/>
      <c r="CG202" s="48"/>
      <c r="CH202" s="48"/>
      <c r="CI202" s="48"/>
      <c r="CJ202" s="48"/>
      <c r="CK202" s="48"/>
      <c r="CL202" s="48"/>
      <c r="CM202" s="48"/>
      <c r="CN202" s="48"/>
      <c r="CO202" s="48"/>
      <c r="CP202" s="48"/>
      <c r="CQ202" s="48"/>
      <c r="CR202" s="48"/>
      <c r="CS202" s="48"/>
      <c r="CT202" s="48"/>
      <c r="CU202" s="48"/>
      <c r="CV202" s="48"/>
      <c r="CW202" s="48"/>
      <c r="CX202" s="48"/>
      <c r="CY202" s="48"/>
      <c r="CZ202" s="48"/>
      <c r="DA202" s="48"/>
      <c r="DB202" s="48"/>
      <c r="DC202" s="48"/>
      <c r="DD202" s="48"/>
      <c r="DE202" s="48"/>
      <c r="DF202" s="48"/>
      <c r="DG202" s="48"/>
      <c r="DH202" s="48"/>
      <c r="DI202" s="48"/>
      <c r="DJ202" s="48"/>
      <c r="DK202" s="48"/>
      <c r="DL202" s="48"/>
      <c r="DM202" s="48"/>
      <c r="DN202" s="48"/>
      <c r="DO202" s="48"/>
      <c r="DP202" s="48"/>
      <c r="DQ202" s="48"/>
      <c r="DR202" s="48"/>
      <c r="DS202" s="48"/>
    </row>
    <row r="203" spans="1:123" ht="15">
      <c r="A203"/>
      <c r="B203"/>
      <c r="C203"/>
      <c r="D203"/>
      <c r="E203"/>
      <c r="F203"/>
      <c r="G203"/>
      <c r="H203"/>
      <c r="I203"/>
      <c r="J203"/>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c r="BM203" s="48"/>
      <c r="BN203" s="48"/>
      <c r="BO203" s="48"/>
      <c r="BP203" s="48"/>
      <c r="BQ203" s="48"/>
      <c r="BR203" s="48"/>
      <c r="BS203" s="48"/>
      <c r="BT203" s="48"/>
      <c r="BU203" s="48"/>
      <c r="BV203" s="48"/>
      <c r="BW203" s="48"/>
      <c r="BX203" s="48"/>
      <c r="BY203" s="48"/>
      <c r="BZ203" s="48"/>
      <c r="CA203" s="48"/>
      <c r="CB203" s="48"/>
      <c r="CC203" s="48"/>
      <c r="CD203" s="48"/>
      <c r="CE203" s="48"/>
      <c r="CF203" s="48"/>
      <c r="CG203" s="48"/>
      <c r="CH203" s="48"/>
      <c r="CI203" s="48"/>
      <c r="CJ203" s="48"/>
      <c r="CK203" s="48"/>
      <c r="CL203" s="48"/>
      <c r="CM203" s="48"/>
      <c r="CN203" s="48"/>
      <c r="CO203" s="48"/>
      <c r="CP203" s="48"/>
      <c r="CQ203" s="48"/>
      <c r="CR203" s="48"/>
      <c r="CS203" s="48"/>
      <c r="CT203" s="48"/>
      <c r="CU203" s="48"/>
      <c r="CV203" s="48"/>
      <c r="CW203" s="48"/>
      <c r="CX203" s="48"/>
      <c r="CY203" s="48"/>
      <c r="CZ203" s="48"/>
      <c r="DA203" s="48"/>
      <c r="DB203" s="48"/>
      <c r="DC203" s="48"/>
      <c r="DD203" s="48"/>
      <c r="DE203" s="48"/>
      <c r="DF203" s="48"/>
      <c r="DG203" s="48"/>
      <c r="DH203" s="48"/>
      <c r="DI203" s="48"/>
      <c r="DJ203" s="48"/>
      <c r="DK203" s="48"/>
      <c r="DL203" s="48"/>
      <c r="DM203" s="48"/>
      <c r="DN203" s="48"/>
      <c r="DO203" s="48"/>
      <c r="DP203" s="48"/>
      <c r="DQ203" s="48"/>
      <c r="DR203" s="48"/>
      <c r="DS203" s="48"/>
    </row>
    <row r="204" spans="1:123" ht="15">
      <c r="A204"/>
      <c r="B204"/>
      <c r="C204"/>
      <c r="D204"/>
      <c r="E204"/>
      <c r="F204"/>
      <c r="G204"/>
      <c r="H204"/>
      <c r="I204"/>
      <c r="J204"/>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8"/>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c r="DB204" s="48"/>
      <c r="DC204" s="48"/>
      <c r="DD204" s="48"/>
      <c r="DE204" s="48"/>
      <c r="DF204" s="48"/>
      <c r="DG204" s="48"/>
      <c r="DH204" s="48"/>
      <c r="DI204" s="48"/>
      <c r="DJ204" s="48"/>
      <c r="DK204" s="48"/>
      <c r="DL204" s="48"/>
      <c r="DM204" s="48"/>
      <c r="DN204" s="48"/>
      <c r="DO204" s="48"/>
      <c r="DP204" s="48"/>
      <c r="DQ204" s="48"/>
      <c r="DR204" s="48"/>
      <c r="DS204" s="48"/>
    </row>
    <row r="205" spans="1:123" ht="15">
      <c r="A205"/>
      <c r="B205"/>
      <c r="C205"/>
      <c r="D205"/>
      <c r="E205"/>
      <c r="F205"/>
      <c r="G205"/>
      <c r="H205"/>
      <c r="I205"/>
      <c r="J205"/>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48"/>
      <c r="BH205" s="48"/>
      <c r="BI205" s="48"/>
      <c r="BJ205" s="48"/>
      <c r="BK205" s="48"/>
      <c r="BL205" s="48"/>
      <c r="BM205" s="48"/>
      <c r="BN205" s="48"/>
      <c r="BO205" s="48"/>
      <c r="BP205" s="48"/>
      <c r="BQ205" s="48"/>
      <c r="BR205" s="48"/>
      <c r="BS205" s="48"/>
      <c r="BT205" s="48"/>
      <c r="BU205" s="48"/>
      <c r="BV205" s="48"/>
      <c r="BW205" s="48"/>
      <c r="BX205" s="48"/>
      <c r="BY205" s="48"/>
      <c r="BZ205" s="48"/>
      <c r="CA205" s="48"/>
      <c r="CB205" s="48"/>
      <c r="CC205" s="48"/>
      <c r="CD205" s="48"/>
      <c r="CE205" s="48"/>
      <c r="CF205" s="48"/>
      <c r="CG205" s="48"/>
      <c r="CH205" s="48"/>
      <c r="CI205" s="48"/>
      <c r="CJ205" s="48"/>
      <c r="CK205" s="48"/>
      <c r="CL205" s="48"/>
      <c r="CM205" s="48"/>
      <c r="CN205" s="48"/>
      <c r="CO205" s="48"/>
      <c r="CP205" s="48"/>
      <c r="CQ205" s="48"/>
      <c r="CR205" s="48"/>
      <c r="CS205" s="48"/>
      <c r="CT205" s="48"/>
      <c r="CU205" s="48"/>
      <c r="CV205" s="48"/>
      <c r="CW205" s="48"/>
      <c r="CX205" s="48"/>
      <c r="CY205" s="48"/>
      <c r="CZ205" s="48"/>
      <c r="DA205" s="48"/>
      <c r="DB205" s="48"/>
      <c r="DC205" s="48"/>
      <c r="DD205" s="48"/>
      <c r="DE205" s="48"/>
      <c r="DF205" s="48"/>
      <c r="DG205" s="48"/>
      <c r="DH205" s="48"/>
      <c r="DI205" s="48"/>
      <c r="DJ205" s="48"/>
      <c r="DK205" s="48"/>
      <c r="DL205" s="48"/>
      <c r="DM205" s="48"/>
      <c r="DN205" s="48"/>
      <c r="DO205" s="48"/>
      <c r="DP205" s="48"/>
      <c r="DQ205" s="48"/>
      <c r="DR205" s="48"/>
      <c r="DS205" s="48"/>
    </row>
    <row r="206" spans="1:123" ht="15">
      <c r="A206"/>
      <c r="B206"/>
      <c r="C206"/>
      <c r="D206"/>
      <c r="E206"/>
      <c r="F206"/>
      <c r="G206"/>
      <c r="H206"/>
      <c r="I206"/>
      <c r="J206"/>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48"/>
      <c r="BJ206" s="48"/>
      <c r="BK206" s="48"/>
      <c r="BL206" s="48"/>
      <c r="BM206" s="48"/>
      <c r="BN206" s="48"/>
      <c r="BO206" s="48"/>
      <c r="BP206" s="48"/>
      <c r="BQ206" s="48"/>
      <c r="BR206" s="48"/>
      <c r="BS206" s="48"/>
      <c r="BT206" s="48"/>
      <c r="BU206" s="48"/>
      <c r="BV206" s="48"/>
      <c r="BW206" s="48"/>
      <c r="BX206" s="48"/>
      <c r="BY206" s="48"/>
      <c r="BZ206" s="48"/>
      <c r="CA206" s="48"/>
      <c r="CB206" s="48"/>
      <c r="CC206" s="48"/>
      <c r="CD206" s="48"/>
      <c r="CE206" s="48"/>
      <c r="CF206" s="48"/>
      <c r="CG206" s="48"/>
      <c r="CH206" s="48"/>
      <c r="CI206" s="48"/>
      <c r="CJ206" s="48"/>
      <c r="CK206" s="48"/>
      <c r="CL206" s="48"/>
      <c r="CM206" s="48"/>
      <c r="CN206" s="48"/>
      <c r="CO206" s="48"/>
      <c r="CP206" s="48"/>
      <c r="CQ206" s="48"/>
      <c r="CR206" s="48"/>
      <c r="CS206" s="48"/>
      <c r="CT206" s="48"/>
      <c r="CU206" s="48"/>
      <c r="CV206" s="48"/>
      <c r="CW206" s="48"/>
      <c r="CX206" s="48"/>
      <c r="CY206" s="48"/>
      <c r="CZ206" s="48"/>
      <c r="DA206" s="48"/>
      <c r="DB206" s="48"/>
      <c r="DC206" s="48"/>
      <c r="DD206" s="48"/>
      <c r="DE206" s="48"/>
      <c r="DF206" s="48"/>
      <c r="DG206" s="48"/>
      <c r="DH206" s="48"/>
      <c r="DI206" s="48"/>
      <c r="DJ206" s="48"/>
      <c r="DK206" s="48"/>
      <c r="DL206" s="48"/>
      <c r="DM206" s="48"/>
      <c r="DN206" s="48"/>
      <c r="DO206" s="48"/>
      <c r="DP206" s="48"/>
      <c r="DQ206" s="48"/>
      <c r="DR206" s="48"/>
      <c r="DS206" s="48"/>
    </row>
    <row r="207" spans="1:123" ht="15">
      <c r="A207"/>
      <c r="B207"/>
      <c r="C207"/>
      <c r="D207"/>
      <c r="E207"/>
      <c r="F207"/>
      <c r="G207"/>
      <c r="H207"/>
      <c r="I207"/>
      <c r="J207"/>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c r="BI207" s="48"/>
      <c r="BJ207" s="48"/>
      <c r="BK207" s="48"/>
      <c r="BL207" s="48"/>
      <c r="BM207" s="48"/>
      <c r="BN207" s="48"/>
      <c r="BO207" s="48"/>
      <c r="BP207" s="48"/>
      <c r="BQ207" s="48"/>
      <c r="BR207" s="48"/>
      <c r="BS207" s="48"/>
      <c r="BT207" s="48"/>
      <c r="BU207" s="48"/>
      <c r="BV207" s="48"/>
      <c r="BW207" s="48"/>
      <c r="BX207" s="48"/>
      <c r="BY207" s="48"/>
      <c r="BZ207" s="48"/>
      <c r="CA207" s="48"/>
      <c r="CB207" s="48"/>
      <c r="CC207" s="48"/>
      <c r="CD207" s="48"/>
      <c r="CE207" s="48"/>
      <c r="CF207" s="48"/>
      <c r="CG207" s="48"/>
      <c r="CH207" s="48"/>
      <c r="CI207" s="48"/>
      <c r="CJ207" s="48"/>
      <c r="CK207" s="48"/>
      <c r="CL207" s="48"/>
      <c r="CM207" s="48"/>
      <c r="CN207" s="48"/>
      <c r="CO207" s="48"/>
      <c r="CP207" s="48"/>
      <c r="CQ207" s="48"/>
      <c r="CR207" s="48"/>
      <c r="CS207" s="48"/>
      <c r="CT207" s="48"/>
      <c r="CU207" s="48"/>
      <c r="CV207" s="48"/>
      <c r="CW207" s="48"/>
      <c r="CX207" s="48"/>
      <c r="CY207" s="48"/>
      <c r="CZ207" s="48"/>
      <c r="DA207" s="48"/>
      <c r="DB207" s="48"/>
      <c r="DC207" s="48"/>
      <c r="DD207" s="48"/>
      <c r="DE207" s="48"/>
      <c r="DF207" s="48"/>
      <c r="DG207" s="48"/>
      <c r="DH207" s="48"/>
      <c r="DI207" s="48"/>
      <c r="DJ207" s="48"/>
      <c r="DK207" s="48"/>
      <c r="DL207" s="48"/>
      <c r="DM207" s="48"/>
      <c r="DN207" s="48"/>
      <c r="DO207" s="48"/>
      <c r="DP207" s="48"/>
      <c r="DQ207" s="48"/>
      <c r="DR207" s="48"/>
      <c r="DS207" s="48"/>
    </row>
    <row r="208" spans="1:123" ht="15">
      <c r="A208"/>
      <c r="B208"/>
      <c r="C208"/>
      <c r="D208"/>
      <c r="E208"/>
      <c r="F208"/>
      <c r="G208"/>
      <c r="H208"/>
      <c r="I208"/>
      <c r="J20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48"/>
      <c r="BJ208" s="48"/>
      <c r="BK208" s="48"/>
      <c r="BL208" s="48"/>
      <c r="BM208" s="48"/>
      <c r="BN208" s="48"/>
      <c r="BO208" s="48"/>
      <c r="BP208" s="48"/>
      <c r="BQ208" s="48"/>
      <c r="BR208" s="48"/>
      <c r="BS208" s="48"/>
      <c r="BT208" s="48"/>
      <c r="BU208" s="48"/>
      <c r="BV208" s="48"/>
      <c r="BW208" s="48"/>
      <c r="BX208" s="48"/>
      <c r="BY208" s="48"/>
      <c r="BZ208" s="48"/>
      <c r="CA208" s="48"/>
      <c r="CB208" s="48"/>
      <c r="CC208" s="48"/>
      <c r="CD208" s="48"/>
      <c r="CE208" s="48"/>
      <c r="CF208" s="48"/>
      <c r="CG208" s="48"/>
      <c r="CH208" s="48"/>
      <c r="CI208" s="48"/>
      <c r="CJ208" s="48"/>
      <c r="CK208" s="48"/>
      <c r="CL208" s="48"/>
      <c r="CM208" s="48"/>
      <c r="CN208" s="48"/>
      <c r="CO208" s="48"/>
      <c r="CP208" s="48"/>
      <c r="CQ208" s="48"/>
      <c r="CR208" s="48"/>
      <c r="CS208" s="48"/>
      <c r="CT208" s="48"/>
      <c r="CU208" s="48"/>
      <c r="CV208" s="48"/>
      <c r="CW208" s="48"/>
      <c r="CX208" s="48"/>
      <c r="CY208" s="48"/>
      <c r="CZ208" s="48"/>
      <c r="DA208" s="48"/>
      <c r="DB208" s="48"/>
      <c r="DC208" s="48"/>
      <c r="DD208" s="48"/>
      <c r="DE208" s="48"/>
      <c r="DF208" s="48"/>
      <c r="DG208" s="48"/>
      <c r="DH208" s="48"/>
      <c r="DI208" s="48"/>
      <c r="DJ208" s="48"/>
      <c r="DK208" s="48"/>
      <c r="DL208" s="48"/>
      <c r="DM208" s="48"/>
      <c r="DN208" s="48"/>
      <c r="DO208" s="48"/>
      <c r="DP208" s="48"/>
      <c r="DQ208" s="48"/>
      <c r="DR208" s="48"/>
      <c r="DS208" s="48"/>
    </row>
    <row r="209" spans="1:123" ht="15">
      <c r="A209"/>
      <c r="B209"/>
      <c r="C209"/>
      <c r="D209"/>
      <c r="E209"/>
      <c r="F209"/>
      <c r="G209"/>
      <c r="H209"/>
      <c r="I209"/>
      <c r="J209"/>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48"/>
      <c r="BJ209" s="48"/>
      <c r="BK209" s="48"/>
      <c r="BL209" s="48"/>
      <c r="BM209" s="48"/>
      <c r="BN209" s="48"/>
      <c r="BO209" s="48"/>
      <c r="BP209" s="48"/>
      <c r="BQ209" s="48"/>
      <c r="BR209" s="48"/>
      <c r="BS209" s="48"/>
      <c r="BT209" s="48"/>
      <c r="BU209" s="48"/>
      <c r="BV209" s="48"/>
      <c r="BW209" s="48"/>
      <c r="BX209" s="48"/>
      <c r="BY209" s="48"/>
      <c r="BZ209" s="48"/>
      <c r="CA209" s="48"/>
      <c r="CB209" s="48"/>
      <c r="CC209" s="48"/>
      <c r="CD209" s="48"/>
      <c r="CE209" s="48"/>
      <c r="CF209" s="48"/>
      <c r="CG209" s="48"/>
      <c r="CH209" s="48"/>
      <c r="CI209" s="48"/>
      <c r="CJ209" s="48"/>
      <c r="CK209" s="48"/>
      <c r="CL209" s="48"/>
      <c r="CM209" s="48"/>
      <c r="CN209" s="48"/>
      <c r="CO209" s="48"/>
      <c r="CP209" s="48"/>
      <c r="CQ209" s="48"/>
      <c r="CR209" s="48"/>
      <c r="CS209" s="48"/>
      <c r="CT209" s="48"/>
      <c r="CU209" s="48"/>
      <c r="CV209" s="48"/>
      <c r="CW209" s="48"/>
      <c r="CX209" s="48"/>
      <c r="CY209" s="48"/>
      <c r="CZ209" s="48"/>
      <c r="DA209" s="48"/>
      <c r="DB209" s="48"/>
      <c r="DC209" s="48"/>
      <c r="DD209" s="48"/>
      <c r="DE209" s="48"/>
      <c r="DF209" s="48"/>
      <c r="DG209" s="48"/>
      <c r="DH209" s="48"/>
      <c r="DI209" s="48"/>
      <c r="DJ209" s="48"/>
      <c r="DK209" s="48"/>
      <c r="DL209" s="48"/>
      <c r="DM209" s="48"/>
      <c r="DN209" s="48"/>
      <c r="DO209" s="48"/>
      <c r="DP209" s="48"/>
      <c r="DQ209" s="48"/>
      <c r="DR209" s="48"/>
      <c r="DS209" s="48"/>
    </row>
    <row r="210" spans="1:123" ht="15">
      <c r="A210"/>
      <c r="B210"/>
      <c r="C210"/>
      <c r="D210"/>
      <c r="E210"/>
      <c r="F210"/>
      <c r="G210"/>
      <c r="H210"/>
      <c r="I210"/>
      <c r="J210"/>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8"/>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c r="CZ210" s="48"/>
      <c r="DA210" s="48"/>
      <c r="DB210" s="48"/>
      <c r="DC210" s="48"/>
      <c r="DD210" s="48"/>
      <c r="DE210" s="48"/>
      <c r="DF210" s="48"/>
      <c r="DG210" s="48"/>
      <c r="DH210" s="48"/>
      <c r="DI210" s="48"/>
      <c r="DJ210" s="48"/>
      <c r="DK210" s="48"/>
      <c r="DL210" s="48"/>
      <c r="DM210" s="48"/>
      <c r="DN210" s="48"/>
      <c r="DO210" s="48"/>
      <c r="DP210" s="48"/>
      <c r="DQ210" s="48"/>
      <c r="DR210" s="48"/>
      <c r="DS210" s="48"/>
    </row>
    <row r="211" spans="1:123" ht="15">
      <c r="A211"/>
      <c r="B211"/>
      <c r="C211"/>
      <c r="D211"/>
      <c r="E211"/>
      <c r="F211"/>
      <c r="G211"/>
      <c r="H211"/>
      <c r="I211"/>
      <c r="J211"/>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48"/>
      <c r="BJ211" s="48"/>
      <c r="BK211" s="48"/>
      <c r="BL211" s="48"/>
      <c r="BM211" s="48"/>
      <c r="BN211" s="48"/>
      <c r="BO211" s="48"/>
      <c r="BP211" s="48"/>
      <c r="BQ211" s="48"/>
      <c r="BR211" s="48"/>
      <c r="BS211" s="48"/>
      <c r="BT211" s="48"/>
      <c r="BU211" s="48"/>
      <c r="BV211" s="48"/>
      <c r="BW211" s="48"/>
      <c r="BX211" s="48"/>
      <c r="BY211" s="48"/>
      <c r="BZ211" s="48"/>
      <c r="CA211" s="48"/>
      <c r="CB211" s="48"/>
      <c r="CC211" s="48"/>
      <c r="CD211" s="48"/>
      <c r="CE211" s="48"/>
      <c r="CF211" s="48"/>
      <c r="CG211" s="48"/>
      <c r="CH211" s="48"/>
      <c r="CI211" s="48"/>
      <c r="CJ211" s="48"/>
      <c r="CK211" s="48"/>
      <c r="CL211" s="48"/>
      <c r="CM211" s="48"/>
      <c r="CN211" s="48"/>
      <c r="CO211" s="48"/>
      <c r="CP211" s="48"/>
      <c r="CQ211" s="48"/>
      <c r="CR211" s="48"/>
      <c r="CS211" s="48"/>
      <c r="CT211" s="48"/>
      <c r="CU211" s="48"/>
      <c r="CV211" s="48"/>
      <c r="CW211" s="48"/>
      <c r="CX211" s="48"/>
      <c r="CY211" s="48"/>
      <c r="CZ211" s="48"/>
      <c r="DA211" s="48"/>
      <c r="DB211" s="48"/>
      <c r="DC211" s="48"/>
      <c r="DD211" s="48"/>
      <c r="DE211" s="48"/>
      <c r="DF211" s="48"/>
      <c r="DG211" s="48"/>
      <c r="DH211" s="48"/>
      <c r="DI211" s="48"/>
      <c r="DJ211" s="48"/>
      <c r="DK211" s="48"/>
      <c r="DL211" s="48"/>
      <c r="DM211" s="48"/>
      <c r="DN211" s="48"/>
      <c r="DO211" s="48"/>
      <c r="DP211" s="48"/>
      <c r="DQ211" s="48"/>
      <c r="DR211" s="48"/>
      <c r="DS211" s="48"/>
    </row>
    <row r="212" spans="1:123" ht="15">
      <c r="A212"/>
      <c r="B212"/>
      <c r="C212"/>
      <c r="D212"/>
      <c r="E212"/>
      <c r="F212"/>
      <c r="G212"/>
      <c r="H212"/>
      <c r="I212"/>
      <c r="J212"/>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c r="BO212" s="48"/>
      <c r="BP212" s="48"/>
      <c r="BQ212" s="48"/>
      <c r="BR212" s="48"/>
      <c r="BS212" s="48"/>
      <c r="BT212" s="48"/>
      <c r="BU212" s="48"/>
      <c r="BV212" s="48"/>
      <c r="BW212" s="48"/>
      <c r="BX212" s="48"/>
      <c r="BY212" s="48"/>
      <c r="BZ212" s="48"/>
      <c r="CA212" s="48"/>
      <c r="CB212" s="48"/>
      <c r="CC212" s="48"/>
      <c r="CD212" s="48"/>
      <c r="CE212" s="48"/>
      <c r="CF212" s="48"/>
      <c r="CG212" s="48"/>
      <c r="CH212" s="48"/>
      <c r="CI212" s="48"/>
      <c r="CJ212" s="48"/>
      <c r="CK212" s="48"/>
      <c r="CL212" s="48"/>
      <c r="CM212" s="48"/>
      <c r="CN212" s="48"/>
      <c r="CO212" s="48"/>
      <c r="CP212" s="48"/>
      <c r="CQ212" s="48"/>
      <c r="CR212" s="48"/>
      <c r="CS212" s="48"/>
      <c r="CT212" s="48"/>
      <c r="CU212" s="48"/>
      <c r="CV212" s="48"/>
      <c r="CW212" s="48"/>
      <c r="CX212" s="48"/>
      <c r="CY212" s="48"/>
      <c r="CZ212" s="48"/>
      <c r="DA212" s="48"/>
      <c r="DB212" s="48"/>
      <c r="DC212" s="48"/>
      <c r="DD212" s="48"/>
      <c r="DE212" s="48"/>
      <c r="DF212" s="48"/>
      <c r="DG212" s="48"/>
      <c r="DH212" s="48"/>
      <c r="DI212" s="48"/>
      <c r="DJ212" s="48"/>
      <c r="DK212" s="48"/>
      <c r="DL212" s="48"/>
      <c r="DM212" s="48"/>
      <c r="DN212" s="48"/>
      <c r="DO212" s="48"/>
      <c r="DP212" s="48"/>
      <c r="DQ212" s="48"/>
      <c r="DR212" s="48"/>
      <c r="DS212" s="48"/>
    </row>
    <row r="213" spans="1:123" ht="15">
      <c r="A213"/>
      <c r="B213"/>
      <c r="C213"/>
      <c r="D213"/>
      <c r="E213"/>
      <c r="F213"/>
      <c r="G213"/>
      <c r="H213"/>
      <c r="I213"/>
      <c r="J213"/>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c r="BO213" s="48"/>
      <c r="BP213" s="48"/>
      <c r="BQ213" s="48"/>
      <c r="BR213" s="48"/>
      <c r="BS213" s="48"/>
      <c r="BT213" s="48"/>
      <c r="BU213" s="48"/>
      <c r="BV213" s="48"/>
      <c r="BW213" s="48"/>
      <c r="BX213" s="48"/>
      <c r="BY213" s="48"/>
      <c r="BZ213" s="48"/>
      <c r="CA213" s="48"/>
      <c r="CB213" s="48"/>
      <c r="CC213" s="48"/>
      <c r="CD213" s="48"/>
      <c r="CE213" s="48"/>
      <c r="CF213" s="48"/>
      <c r="CG213" s="48"/>
      <c r="CH213" s="48"/>
      <c r="CI213" s="48"/>
      <c r="CJ213" s="48"/>
      <c r="CK213" s="48"/>
      <c r="CL213" s="48"/>
      <c r="CM213" s="48"/>
      <c r="CN213" s="48"/>
      <c r="CO213" s="48"/>
      <c r="CP213" s="48"/>
      <c r="CQ213" s="48"/>
      <c r="CR213" s="48"/>
      <c r="CS213" s="48"/>
      <c r="CT213" s="48"/>
      <c r="CU213" s="48"/>
      <c r="CV213" s="48"/>
      <c r="CW213" s="48"/>
      <c r="CX213" s="48"/>
      <c r="CY213" s="48"/>
      <c r="CZ213" s="48"/>
      <c r="DA213" s="48"/>
      <c r="DB213" s="48"/>
      <c r="DC213" s="48"/>
      <c r="DD213" s="48"/>
      <c r="DE213" s="48"/>
      <c r="DF213" s="48"/>
      <c r="DG213" s="48"/>
      <c r="DH213" s="48"/>
      <c r="DI213" s="48"/>
      <c r="DJ213" s="48"/>
      <c r="DK213" s="48"/>
      <c r="DL213" s="48"/>
      <c r="DM213" s="48"/>
      <c r="DN213" s="48"/>
      <c r="DO213" s="48"/>
      <c r="DP213" s="48"/>
      <c r="DQ213" s="48"/>
      <c r="DR213" s="48"/>
      <c r="DS213" s="48"/>
    </row>
    <row r="214" spans="1:123" ht="15">
      <c r="A214"/>
      <c r="B214"/>
      <c r="C214"/>
      <c r="D214"/>
      <c r="E214"/>
      <c r="F214"/>
      <c r="G214"/>
      <c r="H214"/>
      <c r="I214"/>
      <c r="J214"/>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8"/>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48"/>
      <c r="CZ214" s="48"/>
      <c r="DA214" s="48"/>
      <c r="DB214" s="48"/>
      <c r="DC214" s="48"/>
      <c r="DD214" s="48"/>
      <c r="DE214" s="48"/>
      <c r="DF214" s="48"/>
      <c r="DG214" s="48"/>
      <c r="DH214" s="48"/>
      <c r="DI214" s="48"/>
      <c r="DJ214" s="48"/>
      <c r="DK214" s="48"/>
      <c r="DL214" s="48"/>
      <c r="DM214" s="48"/>
      <c r="DN214" s="48"/>
      <c r="DO214" s="48"/>
      <c r="DP214" s="48"/>
      <c r="DQ214" s="48"/>
      <c r="DR214" s="48"/>
      <c r="DS214" s="48"/>
    </row>
    <row r="215" spans="1:123" ht="15">
      <c r="A215"/>
      <c r="B215"/>
      <c r="C215"/>
      <c r="D215"/>
      <c r="E215"/>
      <c r="F215"/>
      <c r="G215"/>
      <c r="H215"/>
      <c r="I215"/>
      <c r="J215"/>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c r="BI215" s="48"/>
      <c r="BJ215" s="48"/>
      <c r="BK215" s="48"/>
      <c r="BL215" s="48"/>
      <c r="BM215" s="48"/>
      <c r="BN215" s="48"/>
      <c r="BO215" s="48"/>
      <c r="BP215" s="48"/>
      <c r="BQ215" s="48"/>
      <c r="BR215" s="48"/>
      <c r="BS215" s="48"/>
      <c r="BT215" s="48"/>
      <c r="BU215" s="48"/>
      <c r="BV215" s="48"/>
      <c r="BW215" s="48"/>
      <c r="BX215" s="48"/>
      <c r="BY215" s="48"/>
      <c r="BZ215" s="48"/>
      <c r="CA215" s="48"/>
      <c r="CB215" s="48"/>
      <c r="CC215" s="48"/>
      <c r="CD215" s="48"/>
      <c r="CE215" s="48"/>
      <c r="CF215" s="48"/>
      <c r="CG215" s="48"/>
      <c r="CH215" s="48"/>
      <c r="CI215" s="48"/>
      <c r="CJ215" s="48"/>
      <c r="CK215" s="48"/>
      <c r="CL215" s="48"/>
      <c r="CM215" s="48"/>
      <c r="CN215" s="48"/>
      <c r="CO215" s="48"/>
      <c r="CP215" s="48"/>
      <c r="CQ215" s="48"/>
      <c r="CR215" s="48"/>
      <c r="CS215" s="48"/>
      <c r="CT215" s="48"/>
      <c r="CU215" s="48"/>
      <c r="CV215" s="48"/>
      <c r="CW215" s="48"/>
      <c r="CX215" s="48"/>
      <c r="CY215" s="48"/>
      <c r="CZ215" s="48"/>
      <c r="DA215" s="48"/>
      <c r="DB215" s="48"/>
      <c r="DC215" s="48"/>
      <c r="DD215" s="48"/>
      <c r="DE215" s="48"/>
      <c r="DF215" s="48"/>
      <c r="DG215" s="48"/>
      <c r="DH215" s="48"/>
      <c r="DI215" s="48"/>
      <c r="DJ215" s="48"/>
      <c r="DK215" s="48"/>
      <c r="DL215" s="48"/>
      <c r="DM215" s="48"/>
      <c r="DN215" s="48"/>
      <c r="DO215" s="48"/>
      <c r="DP215" s="48"/>
      <c r="DQ215" s="48"/>
      <c r="DR215" s="48"/>
      <c r="DS215" s="48"/>
    </row>
    <row r="216" spans="1:123" ht="15">
      <c r="A216"/>
      <c r="B216"/>
      <c r="C216"/>
      <c r="D216"/>
      <c r="E216"/>
      <c r="F216"/>
      <c r="G216"/>
      <c r="H216"/>
      <c r="I216"/>
      <c r="J216"/>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c r="BS216" s="48"/>
      <c r="BT216" s="48"/>
      <c r="BU216" s="48"/>
      <c r="BV216" s="48"/>
      <c r="BW216" s="48"/>
      <c r="BX216" s="48"/>
      <c r="BY216" s="48"/>
      <c r="BZ216" s="48"/>
      <c r="CA216" s="48"/>
      <c r="CB216" s="48"/>
      <c r="CC216" s="48"/>
      <c r="CD216" s="48"/>
      <c r="CE216" s="48"/>
      <c r="CF216" s="48"/>
      <c r="CG216" s="48"/>
      <c r="CH216" s="48"/>
      <c r="CI216" s="48"/>
      <c r="CJ216" s="48"/>
      <c r="CK216" s="48"/>
      <c r="CL216" s="48"/>
      <c r="CM216" s="48"/>
      <c r="CN216" s="48"/>
      <c r="CO216" s="48"/>
      <c r="CP216" s="48"/>
      <c r="CQ216" s="48"/>
      <c r="CR216" s="48"/>
      <c r="CS216" s="48"/>
      <c r="CT216" s="48"/>
      <c r="CU216" s="48"/>
      <c r="CV216" s="48"/>
      <c r="CW216" s="48"/>
      <c r="CX216" s="48"/>
      <c r="CY216" s="48"/>
      <c r="CZ216" s="48"/>
      <c r="DA216" s="48"/>
      <c r="DB216" s="48"/>
      <c r="DC216" s="48"/>
      <c r="DD216" s="48"/>
      <c r="DE216" s="48"/>
      <c r="DF216" s="48"/>
      <c r="DG216" s="48"/>
      <c r="DH216" s="48"/>
      <c r="DI216" s="48"/>
      <c r="DJ216" s="48"/>
      <c r="DK216" s="48"/>
      <c r="DL216" s="48"/>
      <c r="DM216" s="48"/>
      <c r="DN216" s="48"/>
      <c r="DO216" s="48"/>
      <c r="DP216" s="48"/>
      <c r="DQ216" s="48"/>
      <c r="DR216" s="48"/>
      <c r="DS216" s="48"/>
    </row>
    <row r="217" spans="1:123" ht="15">
      <c r="A217"/>
      <c r="B217"/>
      <c r="C217"/>
      <c r="D217"/>
      <c r="E217"/>
      <c r="F217"/>
      <c r="G217"/>
      <c r="H217"/>
      <c r="I217"/>
      <c r="J217"/>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48"/>
      <c r="BJ217" s="48"/>
      <c r="BK217" s="48"/>
      <c r="BL217" s="48"/>
      <c r="BM217" s="48"/>
      <c r="BN217" s="48"/>
      <c r="BO217" s="48"/>
      <c r="BP217" s="48"/>
      <c r="BQ217" s="48"/>
      <c r="BR217" s="48"/>
      <c r="BS217" s="48"/>
      <c r="BT217" s="48"/>
      <c r="BU217" s="48"/>
      <c r="BV217" s="48"/>
      <c r="BW217" s="48"/>
      <c r="BX217" s="48"/>
      <c r="BY217" s="48"/>
      <c r="BZ217" s="48"/>
      <c r="CA217" s="48"/>
      <c r="CB217" s="48"/>
      <c r="CC217" s="48"/>
      <c r="CD217" s="48"/>
      <c r="CE217" s="48"/>
      <c r="CF217" s="48"/>
      <c r="CG217" s="48"/>
      <c r="CH217" s="48"/>
      <c r="CI217" s="48"/>
      <c r="CJ217" s="48"/>
      <c r="CK217" s="48"/>
      <c r="CL217" s="48"/>
      <c r="CM217" s="48"/>
      <c r="CN217" s="48"/>
      <c r="CO217" s="48"/>
      <c r="CP217" s="48"/>
      <c r="CQ217" s="48"/>
      <c r="CR217" s="48"/>
      <c r="CS217" s="48"/>
      <c r="CT217" s="48"/>
      <c r="CU217" s="48"/>
      <c r="CV217" s="48"/>
      <c r="CW217" s="48"/>
      <c r="CX217" s="48"/>
      <c r="CY217" s="48"/>
      <c r="CZ217" s="48"/>
      <c r="DA217" s="48"/>
      <c r="DB217" s="48"/>
      <c r="DC217" s="48"/>
      <c r="DD217" s="48"/>
      <c r="DE217" s="48"/>
      <c r="DF217" s="48"/>
      <c r="DG217" s="48"/>
      <c r="DH217" s="48"/>
      <c r="DI217" s="48"/>
      <c r="DJ217" s="48"/>
      <c r="DK217" s="48"/>
      <c r="DL217" s="48"/>
      <c r="DM217" s="48"/>
      <c r="DN217" s="48"/>
      <c r="DO217" s="48"/>
      <c r="DP217" s="48"/>
      <c r="DQ217" s="48"/>
      <c r="DR217" s="48"/>
      <c r="DS217" s="48"/>
    </row>
    <row r="218" spans="1:123" ht="15">
      <c r="A218"/>
      <c r="B218"/>
      <c r="C218"/>
      <c r="D218"/>
      <c r="E218"/>
      <c r="F218"/>
      <c r="G218"/>
      <c r="H218"/>
      <c r="I218"/>
      <c r="J21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c r="BI218" s="48"/>
      <c r="BJ218" s="48"/>
      <c r="BK218" s="48"/>
      <c r="BL218" s="48"/>
      <c r="BM218" s="48"/>
      <c r="BN218" s="48"/>
      <c r="BO218" s="48"/>
      <c r="BP218" s="48"/>
      <c r="BQ218" s="48"/>
      <c r="BR218" s="48"/>
      <c r="BS218" s="48"/>
      <c r="BT218" s="48"/>
      <c r="BU218" s="48"/>
      <c r="BV218" s="48"/>
      <c r="BW218" s="48"/>
      <c r="BX218" s="48"/>
      <c r="BY218" s="48"/>
      <c r="BZ218" s="48"/>
      <c r="CA218" s="48"/>
      <c r="CB218" s="48"/>
      <c r="CC218" s="48"/>
      <c r="CD218" s="48"/>
      <c r="CE218" s="48"/>
      <c r="CF218" s="48"/>
      <c r="CG218" s="48"/>
      <c r="CH218" s="48"/>
      <c r="CI218" s="48"/>
      <c r="CJ218" s="48"/>
      <c r="CK218" s="48"/>
      <c r="CL218" s="48"/>
      <c r="CM218" s="48"/>
      <c r="CN218" s="48"/>
      <c r="CO218" s="48"/>
      <c r="CP218" s="48"/>
      <c r="CQ218" s="48"/>
      <c r="CR218" s="48"/>
      <c r="CS218" s="48"/>
      <c r="CT218" s="48"/>
      <c r="CU218" s="48"/>
      <c r="CV218" s="48"/>
      <c r="CW218" s="48"/>
      <c r="CX218" s="48"/>
      <c r="CY218" s="48"/>
      <c r="CZ218" s="48"/>
      <c r="DA218" s="48"/>
      <c r="DB218" s="48"/>
      <c r="DC218" s="48"/>
      <c r="DD218" s="48"/>
      <c r="DE218" s="48"/>
      <c r="DF218" s="48"/>
      <c r="DG218" s="48"/>
      <c r="DH218" s="48"/>
      <c r="DI218" s="48"/>
      <c r="DJ218" s="48"/>
      <c r="DK218" s="48"/>
      <c r="DL218" s="48"/>
      <c r="DM218" s="48"/>
      <c r="DN218" s="48"/>
      <c r="DO218" s="48"/>
      <c r="DP218" s="48"/>
      <c r="DQ218" s="48"/>
      <c r="DR218" s="48"/>
      <c r="DS218" s="48"/>
    </row>
    <row r="219" spans="1:123" ht="15">
      <c r="A219"/>
      <c r="B219"/>
      <c r="C219"/>
      <c r="D219"/>
      <c r="E219"/>
      <c r="F219"/>
      <c r="G219"/>
      <c r="H219"/>
      <c r="I219"/>
      <c r="J219"/>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48"/>
      <c r="BJ219" s="48"/>
      <c r="BK219" s="48"/>
      <c r="BL219" s="48"/>
      <c r="BM219" s="48"/>
      <c r="BN219" s="48"/>
      <c r="BO219" s="48"/>
      <c r="BP219" s="48"/>
      <c r="BQ219" s="48"/>
      <c r="BR219" s="48"/>
      <c r="BS219" s="48"/>
      <c r="BT219" s="48"/>
      <c r="BU219" s="48"/>
      <c r="BV219" s="48"/>
      <c r="BW219" s="48"/>
      <c r="BX219" s="48"/>
      <c r="BY219" s="48"/>
      <c r="BZ219" s="48"/>
      <c r="CA219" s="48"/>
      <c r="CB219" s="48"/>
      <c r="CC219" s="48"/>
      <c r="CD219" s="48"/>
      <c r="CE219" s="48"/>
      <c r="CF219" s="48"/>
      <c r="CG219" s="48"/>
      <c r="CH219" s="48"/>
      <c r="CI219" s="48"/>
      <c r="CJ219" s="48"/>
      <c r="CK219" s="48"/>
      <c r="CL219" s="48"/>
      <c r="CM219" s="48"/>
      <c r="CN219" s="48"/>
      <c r="CO219" s="48"/>
      <c r="CP219" s="48"/>
      <c r="CQ219" s="48"/>
      <c r="CR219" s="48"/>
      <c r="CS219" s="48"/>
      <c r="CT219" s="48"/>
      <c r="CU219" s="48"/>
      <c r="CV219" s="48"/>
      <c r="CW219" s="48"/>
      <c r="CX219" s="48"/>
      <c r="CY219" s="48"/>
      <c r="CZ219" s="48"/>
      <c r="DA219" s="48"/>
      <c r="DB219" s="48"/>
      <c r="DC219" s="48"/>
      <c r="DD219" s="48"/>
      <c r="DE219" s="48"/>
      <c r="DF219" s="48"/>
      <c r="DG219" s="48"/>
      <c r="DH219" s="48"/>
      <c r="DI219" s="48"/>
      <c r="DJ219" s="48"/>
      <c r="DK219" s="48"/>
      <c r="DL219" s="48"/>
      <c r="DM219" s="48"/>
      <c r="DN219" s="48"/>
      <c r="DO219" s="48"/>
      <c r="DP219" s="48"/>
      <c r="DQ219" s="48"/>
      <c r="DR219" s="48"/>
      <c r="DS219" s="48"/>
    </row>
    <row r="220" spans="1:123" ht="15">
      <c r="A220"/>
      <c r="B220"/>
      <c r="C220"/>
      <c r="D220"/>
      <c r="E220"/>
      <c r="F220"/>
      <c r="G220"/>
      <c r="H220"/>
      <c r="I220"/>
      <c r="J220"/>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8"/>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48"/>
      <c r="CZ220" s="48"/>
      <c r="DA220" s="48"/>
      <c r="DB220" s="48"/>
      <c r="DC220" s="48"/>
      <c r="DD220" s="48"/>
      <c r="DE220" s="48"/>
      <c r="DF220" s="48"/>
      <c r="DG220" s="48"/>
      <c r="DH220" s="48"/>
      <c r="DI220" s="48"/>
      <c r="DJ220" s="48"/>
      <c r="DK220" s="48"/>
      <c r="DL220" s="48"/>
      <c r="DM220" s="48"/>
      <c r="DN220" s="48"/>
      <c r="DO220" s="48"/>
      <c r="DP220" s="48"/>
      <c r="DQ220" s="48"/>
      <c r="DR220" s="48"/>
      <c r="DS220" s="48"/>
    </row>
    <row r="221" spans="1:123" ht="15">
      <c r="A221"/>
      <c r="B221"/>
      <c r="C221"/>
      <c r="D221"/>
      <c r="E221"/>
      <c r="F221"/>
      <c r="G221"/>
      <c r="H221"/>
      <c r="I221"/>
      <c r="J221"/>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c r="BM221" s="48"/>
      <c r="BN221" s="48"/>
      <c r="BO221" s="48"/>
      <c r="BP221" s="48"/>
      <c r="BQ221" s="48"/>
      <c r="BR221" s="48"/>
      <c r="BS221" s="48"/>
      <c r="BT221" s="48"/>
      <c r="BU221" s="48"/>
      <c r="BV221" s="48"/>
      <c r="BW221" s="48"/>
      <c r="BX221" s="48"/>
      <c r="BY221" s="48"/>
      <c r="BZ221" s="48"/>
      <c r="CA221" s="48"/>
      <c r="CB221" s="48"/>
      <c r="CC221" s="48"/>
      <c r="CD221" s="48"/>
      <c r="CE221" s="48"/>
      <c r="CF221" s="48"/>
      <c r="CG221" s="48"/>
      <c r="CH221" s="48"/>
      <c r="CI221" s="48"/>
      <c r="CJ221" s="48"/>
      <c r="CK221" s="48"/>
      <c r="CL221" s="48"/>
      <c r="CM221" s="48"/>
      <c r="CN221" s="48"/>
      <c r="CO221" s="48"/>
      <c r="CP221" s="48"/>
      <c r="CQ221" s="48"/>
      <c r="CR221" s="48"/>
      <c r="CS221" s="48"/>
      <c r="CT221" s="48"/>
      <c r="CU221" s="48"/>
      <c r="CV221" s="48"/>
      <c r="CW221" s="48"/>
      <c r="CX221" s="48"/>
      <c r="CY221" s="48"/>
      <c r="CZ221" s="48"/>
      <c r="DA221" s="48"/>
      <c r="DB221" s="48"/>
      <c r="DC221" s="48"/>
      <c r="DD221" s="48"/>
      <c r="DE221" s="48"/>
      <c r="DF221" s="48"/>
      <c r="DG221" s="48"/>
      <c r="DH221" s="48"/>
      <c r="DI221" s="48"/>
      <c r="DJ221" s="48"/>
      <c r="DK221" s="48"/>
      <c r="DL221" s="48"/>
      <c r="DM221" s="48"/>
      <c r="DN221" s="48"/>
      <c r="DO221" s="48"/>
      <c r="DP221" s="48"/>
      <c r="DQ221" s="48"/>
      <c r="DR221" s="48"/>
      <c r="DS221" s="48"/>
    </row>
    <row r="222" spans="1:123" ht="15">
      <c r="A222"/>
      <c r="B222"/>
      <c r="C222"/>
      <c r="D222"/>
      <c r="E222"/>
      <c r="F222"/>
      <c r="G222"/>
      <c r="H222"/>
      <c r="I222"/>
      <c r="J222"/>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c r="BM222" s="48"/>
      <c r="BN222" s="48"/>
      <c r="BO222" s="48"/>
      <c r="BP222" s="48"/>
      <c r="BQ222" s="48"/>
      <c r="BR222" s="48"/>
      <c r="BS222" s="48"/>
      <c r="BT222" s="48"/>
      <c r="BU222" s="48"/>
      <c r="BV222" s="48"/>
      <c r="BW222" s="48"/>
      <c r="BX222" s="48"/>
      <c r="BY222" s="48"/>
      <c r="BZ222" s="48"/>
      <c r="CA222" s="48"/>
      <c r="CB222" s="48"/>
      <c r="CC222" s="48"/>
      <c r="CD222" s="48"/>
      <c r="CE222" s="48"/>
      <c r="CF222" s="48"/>
      <c r="CG222" s="48"/>
      <c r="CH222" s="48"/>
      <c r="CI222" s="48"/>
      <c r="CJ222" s="48"/>
      <c r="CK222" s="48"/>
      <c r="CL222" s="48"/>
      <c r="CM222" s="48"/>
      <c r="CN222" s="48"/>
      <c r="CO222" s="48"/>
      <c r="CP222" s="48"/>
      <c r="CQ222" s="48"/>
      <c r="CR222" s="48"/>
      <c r="CS222" s="48"/>
      <c r="CT222" s="48"/>
      <c r="CU222" s="48"/>
      <c r="CV222" s="48"/>
      <c r="CW222" s="48"/>
      <c r="CX222" s="48"/>
      <c r="CY222" s="48"/>
      <c r="CZ222" s="48"/>
      <c r="DA222" s="48"/>
      <c r="DB222" s="48"/>
      <c r="DC222" s="48"/>
      <c r="DD222" s="48"/>
      <c r="DE222" s="48"/>
      <c r="DF222" s="48"/>
      <c r="DG222" s="48"/>
      <c r="DH222" s="48"/>
      <c r="DI222" s="48"/>
      <c r="DJ222" s="48"/>
      <c r="DK222" s="48"/>
      <c r="DL222" s="48"/>
      <c r="DM222" s="48"/>
      <c r="DN222" s="48"/>
      <c r="DO222" s="48"/>
      <c r="DP222" s="48"/>
      <c r="DQ222" s="48"/>
      <c r="DR222" s="48"/>
      <c r="DS222" s="48"/>
    </row>
    <row r="223" spans="1:123" ht="15">
      <c r="A223"/>
      <c r="B223"/>
      <c r="C223"/>
      <c r="D223"/>
      <c r="E223"/>
      <c r="F223"/>
      <c r="G223"/>
      <c r="H223"/>
      <c r="I223"/>
      <c r="J223"/>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48"/>
      <c r="BJ223" s="48"/>
      <c r="BK223" s="48"/>
      <c r="BL223" s="48"/>
      <c r="BM223" s="48"/>
      <c r="BN223" s="48"/>
      <c r="BO223" s="48"/>
      <c r="BP223" s="48"/>
      <c r="BQ223" s="48"/>
      <c r="BR223" s="48"/>
      <c r="BS223" s="48"/>
      <c r="BT223" s="48"/>
      <c r="BU223" s="48"/>
      <c r="BV223" s="48"/>
      <c r="BW223" s="48"/>
      <c r="BX223" s="48"/>
      <c r="BY223" s="48"/>
      <c r="BZ223" s="48"/>
      <c r="CA223" s="48"/>
      <c r="CB223" s="48"/>
      <c r="CC223" s="48"/>
      <c r="CD223" s="48"/>
      <c r="CE223" s="48"/>
      <c r="CF223" s="48"/>
      <c r="CG223" s="48"/>
      <c r="CH223" s="48"/>
      <c r="CI223" s="48"/>
      <c r="CJ223" s="48"/>
      <c r="CK223" s="48"/>
      <c r="CL223" s="48"/>
      <c r="CM223" s="48"/>
      <c r="CN223" s="48"/>
      <c r="CO223" s="48"/>
      <c r="CP223" s="48"/>
      <c r="CQ223" s="48"/>
      <c r="CR223" s="48"/>
      <c r="CS223" s="48"/>
      <c r="CT223" s="48"/>
      <c r="CU223" s="48"/>
      <c r="CV223" s="48"/>
      <c r="CW223" s="48"/>
      <c r="CX223" s="48"/>
      <c r="CY223" s="48"/>
      <c r="CZ223" s="48"/>
      <c r="DA223" s="48"/>
      <c r="DB223" s="48"/>
      <c r="DC223" s="48"/>
      <c r="DD223" s="48"/>
      <c r="DE223" s="48"/>
      <c r="DF223" s="48"/>
      <c r="DG223" s="48"/>
      <c r="DH223" s="48"/>
      <c r="DI223" s="48"/>
      <c r="DJ223" s="48"/>
      <c r="DK223" s="48"/>
      <c r="DL223" s="48"/>
      <c r="DM223" s="48"/>
      <c r="DN223" s="48"/>
      <c r="DO223" s="48"/>
      <c r="DP223" s="48"/>
      <c r="DQ223" s="48"/>
      <c r="DR223" s="48"/>
      <c r="DS223" s="48"/>
    </row>
    <row r="224" spans="1:123" ht="15">
      <c r="A224"/>
      <c r="B224"/>
      <c r="C224"/>
      <c r="D224"/>
      <c r="E224"/>
      <c r="F224"/>
      <c r="G224"/>
      <c r="H224"/>
      <c r="I224"/>
      <c r="J224"/>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48"/>
      <c r="BW224" s="48"/>
      <c r="BX224" s="48"/>
      <c r="BY224" s="48"/>
      <c r="BZ224" s="48"/>
      <c r="CA224" s="48"/>
      <c r="CB224" s="48"/>
      <c r="CC224" s="48"/>
      <c r="CD224" s="48"/>
      <c r="CE224" s="48"/>
      <c r="CF224" s="48"/>
      <c r="CG224" s="48"/>
      <c r="CH224" s="48"/>
      <c r="CI224" s="48"/>
      <c r="CJ224" s="48"/>
      <c r="CK224" s="48"/>
      <c r="CL224" s="48"/>
      <c r="CM224" s="48"/>
      <c r="CN224" s="48"/>
      <c r="CO224" s="48"/>
      <c r="CP224" s="48"/>
      <c r="CQ224" s="48"/>
      <c r="CR224" s="48"/>
      <c r="CS224" s="48"/>
      <c r="CT224" s="48"/>
      <c r="CU224" s="48"/>
      <c r="CV224" s="48"/>
      <c r="CW224" s="48"/>
      <c r="CX224" s="48"/>
      <c r="CY224" s="48"/>
      <c r="CZ224" s="48"/>
      <c r="DA224" s="48"/>
      <c r="DB224" s="48"/>
      <c r="DC224" s="48"/>
      <c r="DD224" s="48"/>
      <c r="DE224" s="48"/>
      <c r="DF224" s="48"/>
      <c r="DG224" s="48"/>
      <c r="DH224" s="48"/>
      <c r="DI224" s="48"/>
      <c r="DJ224" s="48"/>
      <c r="DK224" s="48"/>
      <c r="DL224" s="48"/>
      <c r="DM224" s="48"/>
      <c r="DN224" s="48"/>
      <c r="DO224" s="48"/>
      <c r="DP224" s="48"/>
      <c r="DQ224" s="48"/>
      <c r="DR224" s="48"/>
      <c r="DS224" s="48"/>
    </row>
    <row r="225" spans="1:123" ht="15">
      <c r="A225"/>
      <c r="B225"/>
      <c r="C225"/>
      <c r="D225"/>
      <c r="E225"/>
      <c r="F225"/>
      <c r="G225"/>
      <c r="H225"/>
      <c r="I225"/>
      <c r="J225"/>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c r="BM225" s="48"/>
      <c r="BN225" s="48"/>
      <c r="BO225" s="48"/>
      <c r="BP225" s="48"/>
      <c r="BQ225" s="48"/>
      <c r="BR225" s="48"/>
      <c r="BS225" s="48"/>
      <c r="BT225" s="48"/>
      <c r="BU225" s="48"/>
      <c r="BV225" s="48"/>
      <c r="BW225" s="48"/>
      <c r="BX225" s="48"/>
      <c r="BY225" s="48"/>
      <c r="BZ225" s="48"/>
      <c r="CA225" s="48"/>
      <c r="CB225" s="48"/>
      <c r="CC225" s="48"/>
      <c r="CD225" s="48"/>
      <c r="CE225" s="48"/>
      <c r="CF225" s="48"/>
      <c r="CG225" s="48"/>
      <c r="CH225" s="48"/>
      <c r="CI225" s="48"/>
      <c r="CJ225" s="48"/>
      <c r="CK225" s="48"/>
      <c r="CL225" s="48"/>
      <c r="CM225" s="48"/>
      <c r="CN225" s="48"/>
      <c r="CO225" s="48"/>
      <c r="CP225" s="48"/>
      <c r="CQ225" s="48"/>
      <c r="CR225" s="48"/>
      <c r="CS225" s="48"/>
      <c r="CT225" s="48"/>
      <c r="CU225" s="48"/>
      <c r="CV225" s="48"/>
      <c r="CW225" s="48"/>
      <c r="CX225" s="48"/>
      <c r="CY225" s="48"/>
      <c r="CZ225" s="48"/>
      <c r="DA225" s="48"/>
      <c r="DB225" s="48"/>
      <c r="DC225" s="48"/>
      <c r="DD225" s="48"/>
      <c r="DE225" s="48"/>
      <c r="DF225" s="48"/>
      <c r="DG225" s="48"/>
      <c r="DH225" s="48"/>
      <c r="DI225" s="48"/>
      <c r="DJ225" s="48"/>
      <c r="DK225" s="48"/>
      <c r="DL225" s="48"/>
      <c r="DM225" s="48"/>
      <c r="DN225" s="48"/>
      <c r="DO225" s="48"/>
      <c r="DP225" s="48"/>
      <c r="DQ225" s="48"/>
      <c r="DR225" s="48"/>
      <c r="DS225" s="48"/>
    </row>
    <row r="226" spans="1:123" ht="15">
      <c r="A226"/>
      <c r="B226"/>
      <c r="C226"/>
      <c r="D226"/>
      <c r="E226"/>
      <c r="F226"/>
      <c r="G226"/>
      <c r="H226"/>
      <c r="I226"/>
      <c r="J226"/>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8"/>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48"/>
      <c r="CZ226" s="48"/>
      <c r="DA226" s="48"/>
      <c r="DB226" s="48"/>
      <c r="DC226" s="48"/>
      <c r="DD226" s="48"/>
      <c r="DE226" s="48"/>
      <c r="DF226" s="48"/>
      <c r="DG226" s="48"/>
      <c r="DH226" s="48"/>
      <c r="DI226" s="48"/>
      <c r="DJ226" s="48"/>
      <c r="DK226" s="48"/>
      <c r="DL226" s="48"/>
      <c r="DM226" s="48"/>
      <c r="DN226" s="48"/>
      <c r="DO226" s="48"/>
      <c r="DP226" s="48"/>
      <c r="DQ226" s="48"/>
      <c r="DR226" s="48"/>
      <c r="DS226" s="48"/>
    </row>
    <row r="227" spans="1:123" ht="15">
      <c r="A227"/>
      <c r="B227"/>
      <c r="C227"/>
      <c r="D227"/>
      <c r="E227"/>
      <c r="F227"/>
      <c r="G227"/>
      <c r="H227"/>
      <c r="I227"/>
      <c r="J227"/>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c r="BN227" s="48"/>
      <c r="BO227" s="48"/>
      <c r="BP227" s="48"/>
      <c r="BQ227" s="48"/>
      <c r="BR227" s="48"/>
      <c r="BS227" s="48"/>
      <c r="BT227" s="48"/>
      <c r="BU227" s="48"/>
      <c r="BV227" s="48"/>
      <c r="BW227" s="48"/>
      <c r="BX227" s="48"/>
      <c r="BY227" s="48"/>
      <c r="BZ227" s="48"/>
      <c r="CA227" s="48"/>
      <c r="CB227" s="48"/>
      <c r="CC227" s="48"/>
      <c r="CD227" s="48"/>
      <c r="CE227" s="48"/>
      <c r="CF227" s="48"/>
      <c r="CG227" s="48"/>
      <c r="CH227" s="48"/>
      <c r="CI227" s="48"/>
      <c r="CJ227" s="48"/>
      <c r="CK227" s="48"/>
      <c r="CL227" s="48"/>
      <c r="CM227" s="48"/>
      <c r="CN227" s="48"/>
      <c r="CO227" s="48"/>
      <c r="CP227" s="48"/>
      <c r="CQ227" s="48"/>
      <c r="CR227" s="48"/>
      <c r="CS227" s="48"/>
      <c r="CT227" s="48"/>
      <c r="CU227" s="48"/>
      <c r="CV227" s="48"/>
      <c r="CW227" s="48"/>
      <c r="CX227" s="48"/>
      <c r="CY227" s="48"/>
      <c r="CZ227" s="48"/>
      <c r="DA227" s="48"/>
      <c r="DB227" s="48"/>
      <c r="DC227" s="48"/>
      <c r="DD227" s="48"/>
      <c r="DE227" s="48"/>
      <c r="DF227" s="48"/>
      <c r="DG227" s="48"/>
      <c r="DH227" s="48"/>
      <c r="DI227" s="48"/>
      <c r="DJ227" s="48"/>
      <c r="DK227" s="48"/>
      <c r="DL227" s="48"/>
      <c r="DM227" s="48"/>
      <c r="DN227" s="48"/>
      <c r="DO227" s="48"/>
      <c r="DP227" s="48"/>
      <c r="DQ227" s="48"/>
      <c r="DR227" s="48"/>
      <c r="DS227" s="48"/>
    </row>
    <row r="228" spans="1:123" ht="15">
      <c r="A228"/>
      <c r="B228"/>
      <c r="C228"/>
      <c r="D228"/>
      <c r="E228"/>
      <c r="F228"/>
      <c r="G228"/>
      <c r="H228"/>
      <c r="I228"/>
      <c r="J22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c r="BS228" s="48"/>
      <c r="BT228" s="48"/>
      <c r="BU228" s="48"/>
      <c r="BV228" s="48"/>
      <c r="BW228" s="48"/>
      <c r="BX228" s="48"/>
      <c r="BY228" s="48"/>
      <c r="BZ228" s="48"/>
      <c r="CA228" s="48"/>
      <c r="CB228" s="48"/>
      <c r="CC228" s="48"/>
      <c r="CD228" s="48"/>
      <c r="CE228" s="48"/>
      <c r="CF228" s="48"/>
      <c r="CG228" s="48"/>
      <c r="CH228" s="48"/>
      <c r="CI228" s="48"/>
      <c r="CJ228" s="48"/>
      <c r="CK228" s="48"/>
      <c r="CL228" s="48"/>
      <c r="CM228" s="48"/>
      <c r="CN228" s="48"/>
      <c r="CO228" s="48"/>
      <c r="CP228" s="48"/>
      <c r="CQ228" s="48"/>
      <c r="CR228" s="48"/>
      <c r="CS228" s="48"/>
      <c r="CT228" s="48"/>
      <c r="CU228" s="48"/>
      <c r="CV228" s="48"/>
      <c r="CW228" s="48"/>
      <c r="CX228" s="48"/>
      <c r="CY228" s="48"/>
      <c r="CZ228" s="48"/>
      <c r="DA228" s="48"/>
      <c r="DB228" s="48"/>
      <c r="DC228" s="48"/>
      <c r="DD228" s="48"/>
      <c r="DE228" s="48"/>
      <c r="DF228" s="48"/>
      <c r="DG228" s="48"/>
      <c r="DH228" s="48"/>
      <c r="DI228" s="48"/>
      <c r="DJ228" s="48"/>
      <c r="DK228" s="48"/>
      <c r="DL228" s="48"/>
      <c r="DM228" s="48"/>
      <c r="DN228" s="48"/>
      <c r="DO228" s="48"/>
      <c r="DP228" s="48"/>
      <c r="DQ228" s="48"/>
      <c r="DR228" s="48"/>
      <c r="DS228" s="48"/>
    </row>
    <row r="229" spans="1:123" ht="15">
      <c r="A229"/>
      <c r="B229"/>
      <c r="C229"/>
      <c r="D229"/>
      <c r="E229"/>
      <c r="F229"/>
      <c r="G229"/>
      <c r="H229"/>
      <c r="I229"/>
      <c r="J229"/>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48"/>
      <c r="BS229" s="48"/>
      <c r="BT229" s="48"/>
      <c r="BU229" s="48"/>
      <c r="BV229" s="48"/>
      <c r="BW229" s="48"/>
      <c r="BX229" s="48"/>
      <c r="BY229" s="48"/>
      <c r="BZ229" s="48"/>
      <c r="CA229" s="48"/>
      <c r="CB229" s="48"/>
      <c r="CC229" s="48"/>
      <c r="CD229" s="48"/>
      <c r="CE229" s="48"/>
      <c r="CF229" s="48"/>
      <c r="CG229" s="48"/>
      <c r="CH229" s="48"/>
      <c r="CI229" s="48"/>
      <c r="CJ229" s="48"/>
      <c r="CK229" s="48"/>
      <c r="CL229" s="48"/>
      <c r="CM229" s="48"/>
      <c r="CN229" s="48"/>
      <c r="CO229" s="48"/>
      <c r="CP229" s="48"/>
      <c r="CQ229" s="48"/>
      <c r="CR229" s="48"/>
      <c r="CS229" s="48"/>
      <c r="CT229" s="48"/>
      <c r="CU229" s="48"/>
      <c r="CV229" s="48"/>
      <c r="CW229" s="48"/>
      <c r="CX229" s="48"/>
      <c r="CY229" s="48"/>
      <c r="CZ229" s="48"/>
      <c r="DA229" s="48"/>
      <c r="DB229" s="48"/>
      <c r="DC229" s="48"/>
      <c r="DD229" s="48"/>
      <c r="DE229" s="48"/>
      <c r="DF229" s="48"/>
      <c r="DG229" s="48"/>
      <c r="DH229" s="48"/>
      <c r="DI229" s="48"/>
      <c r="DJ229" s="48"/>
      <c r="DK229" s="48"/>
      <c r="DL229" s="48"/>
      <c r="DM229" s="48"/>
      <c r="DN229" s="48"/>
      <c r="DO229" s="48"/>
      <c r="DP229" s="48"/>
      <c r="DQ229" s="48"/>
      <c r="DR229" s="48"/>
      <c r="DS229" s="48"/>
    </row>
    <row r="230" spans="1:123" ht="15">
      <c r="A230"/>
      <c r="B230"/>
      <c r="C230"/>
      <c r="D230"/>
      <c r="E230"/>
      <c r="F230"/>
      <c r="G230"/>
      <c r="H230"/>
      <c r="I230"/>
      <c r="J230"/>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c r="BS230" s="48"/>
      <c r="BT230" s="48"/>
      <c r="BU230" s="48"/>
      <c r="BV230" s="48"/>
      <c r="BW230" s="48"/>
      <c r="BX230" s="48"/>
      <c r="BY230" s="48"/>
      <c r="BZ230" s="48"/>
      <c r="CA230" s="48"/>
      <c r="CB230" s="48"/>
      <c r="CC230" s="48"/>
      <c r="CD230" s="48"/>
      <c r="CE230" s="48"/>
      <c r="CF230" s="48"/>
      <c r="CG230" s="48"/>
      <c r="CH230" s="48"/>
      <c r="CI230" s="48"/>
      <c r="CJ230" s="48"/>
      <c r="CK230" s="48"/>
      <c r="CL230" s="48"/>
      <c r="CM230" s="48"/>
      <c r="CN230" s="48"/>
      <c r="CO230" s="48"/>
      <c r="CP230" s="48"/>
      <c r="CQ230" s="48"/>
      <c r="CR230" s="48"/>
      <c r="CS230" s="48"/>
      <c r="CT230" s="48"/>
      <c r="CU230" s="48"/>
      <c r="CV230" s="48"/>
      <c r="CW230" s="48"/>
      <c r="CX230" s="48"/>
      <c r="CY230" s="48"/>
      <c r="CZ230" s="48"/>
      <c r="DA230" s="48"/>
      <c r="DB230" s="48"/>
      <c r="DC230" s="48"/>
      <c r="DD230" s="48"/>
      <c r="DE230" s="48"/>
      <c r="DF230" s="48"/>
      <c r="DG230" s="48"/>
      <c r="DH230" s="48"/>
      <c r="DI230" s="48"/>
      <c r="DJ230" s="48"/>
      <c r="DK230" s="48"/>
      <c r="DL230" s="48"/>
      <c r="DM230" s="48"/>
      <c r="DN230" s="48"/>
      <c r="DO230" s="48"/>
      <c r="DP230" s="48"/>
      <c r="DQ230" s="48"/>
      <c r="DR230" s="48"/>
      <c r="DS230" s="48"/>
    </row>
    <row r="231" spans="1:123" ht="15">
      <c r="A231"/>
      <c r="B231"/>
      <c r="C231"/>
      <c r="D231"/>
      <c r="E231"/>
      <c r="F231"/>
      <c r="G231"/>
      <c r="H231"/>
      <c r="I231"/>
      <c r="J231"/>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c r="BM231" s="48"/>
      <c r="BN231" s="48"/>
      <c r="BO231" s="48"/>
      <c r="BP231" s="48"/>
      <c r="BQ231" s="48"/>
      <c r="BR231" s="48"/>
      <c r="BS231" s="48"/>
      <c r="BT231" s="48"/>
      <c r="BU231" s="48"/>
      <c r="BV231" s="48"/>
      <c r="BW231" s="48"/>
      <c r="BX231" s="48"/>
      <c r="BY231" s="48"/>
      <c r="BZ231" s="48"/>
      <c r="CA231" s="48"/>
      <c r="CB231" s="48"/>
      <c r="CC231" s="48"/>
      <c r="CD231" s="48"/>
      <c r="CE231" s="48"/>
      <c r="CF231" s="48"/>
      <c r="CG231" s="48"/>
      <c r="CH231" s="48"/>
      <c r="CI231" s="48"/>
      <c r="CJ231" s="48"/>
      <c r="CK231" s="48"/>
      <c r="CL231" s="48"/>
      <c r="CM231" s="48"/>
      <c r="CN231" s="48"/>
      <c r="CO231" s="48"/>
      <c r="CP231" s="48"/>
      <c r="CQ231" s="48"/>
      <c r="CR231" s="48"/>
      <c r="CS231" s="48"/>
      <c r="CT231" s="48"/>
      <c r="CU231" s="48"/>
      <c r="CV231" s="48"/>
      <c r="CW231" s="48"/>
      <c r="CX231" s="48"/>
      <c r="CY231" s="48"/>
      <c r="CZ231" s="48"/>
      <c r="DA231" s="48"/>
      <c r="DB231" s="48"/>
      <c r="DC231" s="48"/>
      <c r="DD231" s="48"/>
      <c r="DE231" s="48"/>
      <c r="DF231" s="48"/>
      <c r="DG231" s="48"/>
      <c r="DH231" s="48"/>
      <c r="DI231" s="48"/>
      <c r="DJ231" s="48"/>
      <c r="DK231" s="48"/>
      <c r="DL231" s="48"/>
      <c r="DM231" s="48"/>
      <c r="DN231" s="48"/>
      <c r="DO231" s="48"/>
      <c r="DP231" s="48"/>
      <c r="DQ231" s="48"/>
      <c r="DR231" s="48"/>
      <c r="DS231" s="48"/>
    </row>
    <row r="232" spans="1:123" ht="15">
      <c r="A232"/>
      <c r="B232"/>
      <c r="C232"/>
      <c r="D232"/>
      <c r="E232"/>
      <c r="F232"/>
      <c r="G232"/>
      <c r="H232"/>
      <c r="I232"/>
      <c r="J232"/>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8"/>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48"/>
      <c r="CZ232" s="48"/>
      <c r="DA232" s="48"/>
      <c r="DB232" s="48"/>
      <c r="DC232" s="48"/>
      <c r="DD232" s="48"/>
      <c r="DE232" s="48"/>
      <c r="DF232" s="48"/>
      <c r="DG232" s="48"/>
      <c r="DH232" s="48"/>
      <c r="DI232" s="48"/>
      <c r="DJ232" s="48"/>
      <c r="DK232" s="48"/>
      <c r="DL232" s="48"/>
      <c r="DM232" s="48"/>
      <c r="DN232" s="48"/>
      <c r="DO232" s="48"/>
      <c r="DP232" s="48"/>
      <c r="DQ232" s="48"/>
      <c r="DR232" s="48"/>
      <c r="DS232" s="48"/>
    </row>
    <row r="233" spans="1:123" ht="15">
      <c r="A233"/>
      <c r="B233"/>
      <c r="C233"/>
      <c r="D233"/>
      <c r="E233"/>
      <c r="F233"/>
      <c r="G233"/>
      <c r="H233"/>
      <c r="I233"/>
      <c r="J233"/>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c r="BS233" s="48"/>
      <c r="BT233" s="48"/>
      <c r="BU233" s="48"/>
      <c r="BV233" s="48"/>
      <c r="BW233" s="48"/>
      <c r="BX233" s="48"/>
      <c r="BY233" s="48"/>
      <c r="BZ233" s="48"/>
      <c r="CA233" s="48"/>
      <c r="CB233" s="48"/>
      <c r="CC233" s="48"/>
      <c r="CD233" s="48"/>
      <c r="CE233" s="48"/>
      <c r="CF233" s="48"/>
      <c r="CG233" s="48"/>
      <c r="CH233" s="48"/>
      <c r="CI233" s="48"/>
      <c r="CJ233" s="48"/>
      <c r="CK233" s="48"/>
      <c r="CL233" s="48"/>
      <c r="CM233" s="48"/>
      <c r="CN233" s="48"/>
      <c r="CO233" s="48"/>
      <c r="CP233" s="48"/>
      <c r="CQ233" s="48"/>
      <c r="CR233" s="48"/>
      <c r="CS233" s="48"/>
      <c r="CT233" s="48"/>
      <c r="CU233" s="48"/>
      <c r="CV233" s="48"/>
      <c r="CW233" s="48"/>
      <c r="CX233" s="48"/>
      <c r="CY233" s="48"/>
      <c r="CZ233" s="48"/>
      <c r="DA233" s="48"/>
      <c r="DB233" s="48"/>
      <c r="DC233" s="48"/>
      <c r="DD233" s="48"/>
      <c r="DE233" s="48"/>
      <c r="DF233" s="48"/>
      <c r="DG233" s="48"/>
      <c r="DH233" s="48"/>
      <c r="DI233" s="48"/>
      <c r="DJ233" s="48"/>
      <c r="DK233" s="48"/>
      <c r="DL233" s="48"/>
      <c r="DM233" s="48"/>
      <c r="DN233" s="48"/>
      <c r="DO233" s="48"/>
      <c r="DP233" s="48"/>
      <c r="DQ233" s="48"/>
      <c r="DR233" s="48"/>
      <c r="DS233" s="48"/>
    </row>
    <row r="234" spans="1:123" ht="15">
      <c r="A234"/>
      <c r="B234"/>
      <c r="C234"/>
      <c r="D234"/>
      <c r="E234"/>
      <c r="F234"/>
      <c r="G234"/>
      <c r="H234"/>
      <c r="I234"/>
      <c r="J234"/>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c r="BS234" s="48"/>
      <c r="BT234" s="48"/>
      <c r="BU234" s="48"/>
      <c r="BV234" s="48"/>
      <c r="BW234" s="48"/>
      <c r="BX234" s="48"/>
      <c r="BY234" s="48"/>
      <c r="BZ234" s="48"/>
      <c r="CA234" s="48"/>
      <c r="CB234" s="48"/>
      <c r="CC234" s="48"/>
      <c r="CD234" s="48"/>
      <c r="CE234" s="48"/>
      <c r="CF234" s="48"/>
      <c r="CG234" s="48"/>
      <c r="CH234" s="48"/>
      <c r="CI234" s="48"/>
      <c r="CJ234" s="48"/>
      <c r="CK234" s="48"/>
      <c r="CL234" s="48"/>
      <c r="CM234" s="48"/>
      <c r="CN234" s="48"/>
      <c r="CO234" s="48"/>
      <c r="CP234" s="48"/>
      <c r="CQ234" s="48"/>
      <c r="CR234" s="48"/>
      <c r="CS234" s="48"/>
      <c r="CT234" s="48"/>
      <c r="CU234" s="48"/>
      <c r="CV234" s="48"/>
      <c r="CW234" s="48"/>
      <c r="CX234" s="48"/>
      <c r="CY234" s="48"/>
      <c r="CZ234" s="48"/>
      <c r="DA234" s="48"/>
      <c r="DB234" s="48"/>
      <c r="DC234" s="48"/>
      <c r="DD234" s="48"/>
      <c r="DE234" s="48"/>
      <c r="DF234" s="48"/>
      <c r="DG234" s="48"/>
      <c r="DH234" s="48"/>
      <c r="DI234" s="48"/>
      <c r="DJ234" s="48"/>
      <c r="DK234" s="48"/>
      <c r="DL234" s="48"/>
      <c r="DM234" s="48"/>
      <c r="DN234" s="48"/>
      <c r="DO234" s="48"/>
      <c r="DP234" s="48"/>
      <c r="DQ234" s="48"/>
      <c r="DR234" s="48"/>
      <c r="DS234" s="48"/>
    </row>
    <row r="235" spans="1:123" ht="15">
      <c r="A235"/>
      <c r="B235"/>
      <c r="C235"/>
      <c r="D235"/>
      <c r="E235"/>
      <c r="F235"/>
      <c r="G235"/>
      <c r="H235"/>
      <c r="I235"/>
      <c r="J235"/>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c r="BM235" s="48"/>
      <c r="BN235" s="48"/>
      <c r="BO235" s="48"/>
      <c r="BP235" s="48"/>
      <c r="BQ235" s="48"/>
      <c r="BR235" s="48"/>
      <c r="BS235" s="48"/>
      <c r="BT235" s="48"/>
      <c r="BU235" s="48"/>
      <c r="BV235" s="48"/>
      <c r="BW235" s="48"/>
      <c r="BX235" s="48"/>
      <c r="BY235" s="48"/>
      <c r="BZ235" s="48"/>
      <c r="CA235" s="48"/>
      <c r="CB235" s="48"/>
      <c r="CC235" s="48"/>
      <c r="CD235" s="48"/>
      <c r="CE235" s="48"/>
      <c r="CF235" s="48"/>
      <c r="CG235" s="48"/>
      <c r="CH235" s="48"/>
      <c r="CI235" s="48"/>
      <c r="CJ235" s="48"/>
      <c r="CK235" s="48"/>
      <c r="CL235" s="48"/>
      <c r="CM235" s="48"/>
      <c r="CN235" s="48"/>
      <c r="CO235" s="48"/>
      <c r="CP235" s="48"/>
      <c r="CQ235" s="48"/>
      <c r="CR235" s="48"/>
      <c r="CS235" s="48"/>
      <c r="CT235" s="48"/>
      <c r="CU235" s="48"/>
      <c r="CV235" s="48"/>
      <c r="CW235" s="48"/>
      <c r="CX235" s="48"/>
      <c r="CY235" s="48"/>
      <c r="CZ235" s="48"/>
      <c r="DA235" s="48"/>
      <c r="DB235" s="48"/>
      <c r="DC235" s="48"/>
      <c r="DD235" s="48"/>
      <c r="DE235" s="48"/>
      <c r="DF235" s="48"/>
      <c r="DG235" s="48"/>
      <c r="DH235" s="48"/>
      <c r="DI235" s="48"/>
      <c r="DJ235" s="48"/>
      <c r="DK235" s="48"/>
      <c r="DL235" s="48"/>
      <c r="DM235" s="48"/>
      <c r="DN235" s="48"/>
      <c r="DO235" s="48"/>
      <c r="DP235" s="48"/>
      <c r="DQ235" s="48"/>
      <c r="DR235" s="48"/>
      <c r="DS235" s="48"/>
    </row>
    <row r="236" spans="1:123" ht="15">
      <c r="A236"/>
      <c r="B236"/>
      <c r="C236"/>
      <c r="D236"/>
      <c r="E236"/>
      <c r="F236"/>
      <c r="G236"/>
      <c r="H236"/>
      <c r="I236"/>
      <c r="J236"/>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c r="BS236" s="48"/>
      <c r="BT236" s="48"/>
      <c r="BU236" s="48"/>
      <c r="BV236" s="48"/>
      <c r="BW236" s="48"/>
      <c r="BX236" s="48"/>
      <c r="BY236" s="48"/>
      <c r="BZ236" s="48"/>
      <c r="CA236" s="48"/>
      <c r="CB236" s="48"/>
      <c r="CC236" s="48"/>
      <c r="CD236" s="48"/>
      <c r="CE236" s="48"/>
      <c r="CF236" s="48"/>
      <c r="CG236" s="48"/>
      <c r="CH236" s="48"/>
      <c r="CI236" s="48"/>
      <c r="CJ236" s="48"/>
      <c r="CK236" s="48"/>
      <c r="CL236" s="48"/>
      <c r="CM236" s="48"/>
      <c r="CN236" s="48"/>
      <c r="CO236" s="48"/>
      <c r="CP236" s="48"/>
      <c r="CQ236" s="48"/>
      <c r="CR236" s="48"/>
      <c r="CS236" s="48"/>
      <c r="CT236" s="48"/>
      <c r="CU236" s="48"/>
      <c r="CV236" s="48"/>
      <c r="CW236" s="48"/>
      <c r="CX236" s="48"/>
      <c r="CY236" s="48"/>
      <c r="CZ236" s="48"/>
      <c r="DA236" s="48"/>
      <c r="DB236" s="48"/>
      <c r="DC236" s="48"/>
      <c r="DD236" s="48"/>
      <c r="DE236" s="48"/>
      <c r="DF236" s="48"/>
      <c r="DG236" s="48"/>
      <c r="DH236" s="48"/>
      <c r="DI236" s="48"/>
      <c r="DJ236" s="48"/>
      <c r="DK236" s="48"/>
      <c r="DL236" s="48"/>
      <c r="DM236" s="48"/>
      <c r="DN236" s="48"/>
      <c r="DO236" s="48"/>
      <c r="DP236" s="48"/>
      <c r="DQ236" s="48"/>
      <c r="DR236" s="48"/>
      <c r="DS236" s="48"/>
    </row>
    <row r="237" spans="1:123" ht="15">
      <c r="A237"/>
      <c r="B237"/>
      <c r="C237"/>
      <c r="D237"/>
      <c r="E237"/>
      <c r="F237"/>
      <c r="G237"/>
      <c r="H237"/>
      <c r="I237"/>
      <c r="J237"/>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c r="BY237" s="48"/>
      <c r="BZ237" s="48"/>
      <c r="CA237" s="48"/>
      <c r="CB237" s="48"/>
      <c r="CC237" s="48"/>
      <c r="CD237" s="48"/>
      <c r="CE237" s="48"/>
      <c r="CF237" s="48"/>
      <c r="CG237" s="48"/>
      <c r="CH237" s="48"/>
      <c r="CI237" s="48"/>
      <c r="CJ237" s="48"/>
      <c r="CK237" s="48"/>
      <c r="CL237" s="48"/>
      <c r="CM237" s="48"/>
      <c r="CN237" s="48"/>
      <c r="CO237" s="48"/>
      <c r="CP237" s="48"/>
      <c r="CQ237" s="48"/>
      <c r="CR237" s="48"/>
      <c r="CS237" s="48"/>
      <c r="CT237" s="48"/>
      <c r="CU237" s="48"/>
      <c r="CV237" s="48"/>
      <c r="CW237" s="48"/>
      <c r="CX237" s="48"/>
      <c r="CY237" s="48"/>
      <c r="CZ237" s="48"/>
      <c r="DA237" s="48"/>
      <c r="DB237" s="48"/>
      <c r="DC237" s="48"/>
      <c r="DD237" s="48"/>
      <c r="DE237" s="48"/>
      <c r="DF237" s="48"/>
      <c r="DG237" s="48"/>
      <c r="DH237" s="48"/>
      <c r="DI237" s="48"/>
      <c r="DJ237" s="48"/>
      <c r="DK237" s="48"/>
      <c r="DL237" s="48"/>
      <c r="DM237" s="48"/>
      <c r="DN237" s="48"/>
      <c r="DO237" s="48"/>
      <c r="DP237" s="48"/>
      <c r="DQ237" s="48"/>
      <c r="DR237" s="48"/>
      <c r="DS237" s="48"/>
    </row>
    <row r="238" spans="1:123" ht="15">
      <c r="A238"/>
      <c r="B238"/>
      <c r="C238"/>
      <c r="D238"/>
      <c r="E238"/>
      <c r="F238"/>
      <c r="G238"/>
      <c r="H238"/>
      <c r="I238"/>
      <c r="J23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c r="BM238" s="48"/>
      <c r="BN238" s="48"/>
      <c r="BO238" s="48"/>
      <c r="BP238" s="48"/>
      <c r="BQ238" s="48"/>
      <c r="BR238" s="48"/>
      <c r="BS238" s="48"/>
      <c r="BT238" s="48"/>
      <c r="BU238" s="48"/>
      <c r="BV238" s="48"/>
      <c r="BW238" s="48"/>
      <c r="BX238" s="48"/>
      <c r="BY238" s="48"/>
      <c r="BZ238" s="48"/>
      <c r="CA238" s="48"/>
      <c r="CB238" s="48"/>
      <c r="CC238" s="48"/>
      <c r="CD238" s="48"/>
      <c r="CE238" s="48"/>
      <c r="CF238" s="48"/>
      <c r="CG238" s="48"/>
      <c r="CH238" s="48"/>
      <c r="CI238" s="48"/>
      <c r="CJ238" s="48"/>
      <c r="CK238" s="48"/>
      <c r="CL238" s="48"/>
      <c r="CM238" s="48"/>
      <c r="CN238" s="48"/>
      <c r="CO238" s="48"/>
      <c r="CP238" s="48"/>
      <c r="CQ238" s="48"/>
      <c r="CR238" s="48"/>
      <c r="CS238" s="48"/>
      <c r="CT238" s="48"/>
      <c r="CU238" s="48"/>
      <c r="CV238" s="48"/>
      <c r="CW238" s="48"/>
      <c r="CX238" s="48"/>
      <c r="CY238" s="48"/>
      <c r="CZ238" s="48"/>
      <c r="DA238" s="48"/>
      <c r="DB238" s="48"/>
      <c r="DC238" s="48"/>
      <c r="DD238" s="48"/>
      <c r="DE238" s="48"/>
      <c r="DF238" s="48"/>
      <c r="DG238" s="48"/>
      <c r="DH238" s="48"/>
      <c r="DI238" s="48"/>
      <c r="DJ238" s="48"/>
      <c r="DK238" s="48"/>
      <c r="DL238" s="48"/>
      <c r="DM238" s="48"/>
      <c r="DN238" s="48"/>
      <c r="DO238" s="48"/>
      <c r="DP238" s="48"/>
      <c r="DQ238" s="48"/>
      <c r="DR238" s="48"/>
      <c r="DS238" s="48"/>
    </row>
    <row r="239" spans="1:123" ht="15">
      <c r="A239"/>
      <c r="B239"/>
      <c r="C239"/>
      <c r="D239"/>
      <c r="E239"/>
      <c r="F239"/>
      <c r="G239"/>
      <c r="H239"/>
      <c r="I239"/>
      <c r="J239"/>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c r="BS239" s="48"/>
      <c r="BT239" s="48"/>
      <c r="BU239" s="48"/>
      <c r="BV239" s="48"/>
      <c r="BW239" s="48"/>
      <c r="BX239" s="48"/>
      <c r="BY239" s="48"/>
      <c r="BZ239" s="48"/>
      <c r="CA239" s="48"/>
      <c r="CB239" s="48"/>
      <c r="CC239" s="48"/>
      <c r="CD239" s="48"/>
      <c r="CE239" s="48"/>
      <c r="CF239" s="48"/>
      <c r="CG239" s="48"/>
      <c r="CH239" s="48"/>
      <c r="CI239" s="48"/>
      <c r="CJ239" s="48"/>
      <c r="CK239" s="48"/>
      <c r="CL239" s="48"/>
      <c r="CM239" s="48"/>
      <c r="CN239" s="48"/>
      <c r="CO239" s="48"/>
      <c r="CP239" s="48"/>
      <c r="CQ239" s="48"/>
      <c r="CR239" s="48"/>
      <c r="CS239" s="48"/>
      <c r="CT239" s="48"/>
      <c r="CU239" s="48"/>
      <c r="CV239" s="48"/>
      <c r="CW239" s="48"/>
      <c r="CX239" s="48"/>
      <c r="CY239" s="48"/>
      <c r="CZ239" s="48"/>
      <c r="DA239" s="48"/>
      <c r="DB239" s="48"/>
      <c r="DC239" s="48"/>
      <c r="DD239" s="48"/>
      <c r="DE239" s="48"/>
      <c r="DF239" s="48"/>
      <c r="DG239" s="48"/>
      <c r="DH239" s="48"/>
      <c r="DI239" s="48"/>
      <c r="DJ239" s="48"/>
      <c r="DK239" s="48"/>
      <c r="DL239" s="48"/>
      <c r="DM239" s="48"/>
      <c r="DN239" s="48"/>
      <c r="DO239" s="48"/>
      <c r="DP239" s="48"/>
      <c r="DQ239" s="48"/>
      <c r="DR239" s="48"/>
      <c r="DS239" s="48"/>
    </row>
    <row r="240" spans="1:123" ht="15">
      <c r="A240"/>
      <c r="B240"/>
      <c r="C240"/>
      <c r="D240"/>
      <c r="E240"/>
      <c r="F240"/>
      <c r="G240"/>
      <c r="H240"/>
      <c r="I240"/>
      <c r="J240"/>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8"/>
      <c r="BK240" s="48"/>
      <c r="BL240" s="48"/>
      <c r="BM240" s="48"/>
      <c r="BN240" s="48"/>
      <c r="BO240" s="48"/>
      <c r="BP240" s="48"/>
      <c r="BQ240" s="48"/>
      <c r="BR240" s="48"/>
      <c r="BS240" s="48"/>
      <c r="BT240" s="48"/>
      <c r="BU240" s="48"/>
      <c r="BV240" s="48"/>
      <c r="BW240" s="48"/>
      <c r="BX240" s="48"/>
      <c r="BY240" s="48"/>
      <c r="BZ240" s="48"/>
      <c r="CA240" s="48"/>
      <c r="CB240" s="48"/>
      <c r="CC240" s="48"/>
      <c r="CD240" s="48"/>
      <c r="CE240" s="48"/>
      <c r="CF240" s="48"/>
      <c r="CG240" s="48"/>
      <c r="CH240" s="48"/>
      <c r="CI240" s="48"/>
      <c r="CJ240" s="48"/>
      <c r="CK240" s="48"/>
      <c r="CL240" s="48"/>
      <c r="CM240" s="48"/>
      <c r="CN240" s="48"/>
      <c r="CO240" s="48"/>
      <c r="CP240" s="48"/>
      <c r="CQ240" s="48"/>
      <c r="CR240" s="48"/>
      <c r="CS240" s="48"/>
      <c r="CT240" s="48"/>
      <c r="CU240" s="48"/>
      <c r="CV240" s="48"/>
      <c r="CW240" s="48"/>
      <c r="CX240" s="48"/>
      <c r="CY240" s="48"/>
      <c r="CZ240" s="48"/>
      <c r="DA240" s="48"/>
      <c r="DB240" s="48"/>
      <c r="DC240" s="48"/>
      <c r="DD240" s="48"/>
      <c r="DE240" s="48"/>
      <c r="DF240" s="48"/>
      <c r="DG240" s="48"/>
      <c r="DH240" s="48"/>
      <c r="DI240" s="48"/>
      <c r="DJ240" s="48"/>
      <c r="DK240" s="48"/>
      <c r="DL240" s="48"/>
      <c r="DM240" s="48"/>
      <c r="DN240" s="48"/>
      <c r="DO240" s="48"/>
      <c r="DP240" s="48"/>
      <c r="DQ240" s="48"/>
      <c r="DR240" s="48"/>
      <c r="DS240" s="48"/>
    </row>
    <row r="241" spans="1:123" ht="15">
      <c r="A241"/>
      <c r="B241"/>
      <c r="C241"/>
      <c r="D241"/>
      <c r="E241"/>
      <c r="F241"/>
      <c r="G241"/>
      <c r="H241"/>
      <c r="I241"/>
      <c r="J241"/>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8"/>
      <c r="BK241" s="48"/>
      <c r="BL241" s="48"/>
      <c r="BM241" s="48"/>
      <c r="BN241" s="48"/>
      <c r="BO241" s="48"/>
      <c r="BP241" s="48"/>
      <c r="BQ241" s="48"/>
      <c r="BR241" s="48"/>
      <c r="BS241" s="48"/>
      <c r="BT241" s="48"/>
      <c r="BU241" s="48"/>
      <c r="BV241" s="48"/>
      <c r="BW241" s="48"/>
      <c r="BX241" s="48"/>
      <c r="BY241" s="48"/>
      <c r="BZ241" s="48"/>
      <c r="CA241" s="48"/>
      <c r="CB241" s="48"/>
      <c r="CC241" s="48"/>
      <c r="CD241" s="48"/>
      <c r="CE241" s="48"/>
      <c r="CF241" s="48"/>
      <c r="CG241" s="48"/>
      <c r="CH241" s="48"/>
      <c r="CI241" s="48"/>
      <c r="CJ241" s="48"/>
      <c r="CK241" s="48"/>
      <c r="CL241" s="48"/>
      <c r="CM241" s="48"/>
      <c r="CN241" s="48"/>
      <c r="CO241" s="48"/>
      <c r="CP241" s="48"/>
      <c r="CQ241" s="48"/>
      <c r="CR241" s="48"/>
      <c r="CS241" s="48"/>
      <c r="CT241" s="48"/>
      <c r="CU241" s="48"/>
      <c r="CV241" s="48"/>
      <c r="CW241" s="48"/>
      <c r="CX241" s="48"/>
      <c r="CY241" s="48"/>
      <c r="CZ241" s="48"/>
      <c r="DA241" s="48"/>
      <c r="DB241" s="48"/>
      <c r="DC241" s="48"/>
      <c r="DD241" s="48"/>
      <c r="DE241" s="48"/>
      <c r="DF241" s="48"/>
      <c r="DG241" s="48"/>
      <c r="DH241" s="48"/>
      <c r="DI241" s="48"/>
      <c r="DJ241" s="48"/>
      <c r="DK241" s="48"/>
      <c r="DL241" s="48"/>
      <c r="DM241" s="48"/>
      <c r="DN241" s="48"/>
      <c r="DO241" s="48"/>
      <c r="DP241" s="48"/>
      <c r="DQ241" s="48"/>
      <c r="DR241" s="48"/>
      <c r="DS241" s="48"/>
    </row>
    <row r="242" spans="1:123" ht="15">
      <c r="A242"/>
      <c r="B242"/>
      <c r="C242"/>
      <c r="D242"/>
      <c r="E242"/>
      <c r="F242"/>
      <c r="G242"/>
      <c r="H242"/>
      <c r="I242"/>
      <c r="J242"/>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c r="BI242" s="48"/>
      <c r="BJ242" s="48"/>
      <c r="BK242" s="48"/>
      <c r="BL242" s="48"/>
      <c r="BM242" s="48"/>
      <c r="BN242" s="48"/>
      <c r="BO242" s="48"/>
      <c r="BP242" s="48"/>
      <c r="BQ242" s="48"/>
      <c r="BR242" s="48"/>
      <c r="BS242" s="48"/>
      <c r="BT242" s="48"/>
      <c r="BU242" s="48"/>
      <c r="BV242" s="48"/>
      <c r="BW242" s="48"/>
      <c r="BX242" s="48"/>
      <c r="BY242" s="48"/>
      <c r="BZ242" s="48"/>
      <c r="CA242" s="48"/>
      <c r="CB242" s="48"/>
      <c r="CC242" s="48"/>
      <c r="CD242" s="48"/>
      <c r="CE242" s="48"/>
      <c r="CF242" s="48"/>
      <c r="CG242" s="48"/>
      <c r="CH242" s="48"/>
      <c r="CI242" s="48"/>
      <c r="CJ242" s="48"/>
      <c r="CK242" s="48"/>
      <c r="CL242" s="48"/>
      <c r="CM242" s="48"/>
      <c r="CN242" s="48"/>
      <c r="CO242" s="48"/>
      <c r="CP242" s="48"/>
      <c r="CQ242" s="48"/>
      <c r="CR242" s="48"/>
      <c r="CS242" s="48"/>
      <c r="CT242" s="48"/>
      <c r="CU242" s="48"/>
      <c r="CV242" s="48"/>
      <c r="CW242" s="48"/>
      <c r="CX242" s="48"/>
      <c r="CY242" s="48"/>
      <c r="CZ242" s="48"/>
      <c r="DA242" s="48"/>
      <c r="DB242" s="48"/>
      <c r="DC242" s="48"/>
      <c r="DD242" s="48"/>
      <c r="DE242" s="48"/>
      <c r="DF242" s="48"/>
      <c r="DG242" s="48"/>
      <c r="DH242" s="48"/>
      <c r="DI242" s="48"/>
      <c r="DJ242" s="48"/>
      <c r="DK242" s="48"/>
      <c r="DL242" s="48"/>
      <c r="DM242" s="48"/>
      <c r="DN242" s="48"/>
      <c r="DO242" s="48"/>
      <c r="DP242" s="48"/>
      <c r="DQ242" s="48"/>
      <c r="DR242" s="48"/>
      <c r="DS242" s="48"/>
    </row>
    <row r="243" spans="1:123" ht="15">
      <c r="A243"/>
      <c r="B243"/>
      <c r="C243"/>
      <c r="D243"/>
      <c r="E243"/>
      <c r="F243"/>
      <c r="G243"/>
      <c r="H243"/>
      <c r="I243"/>
      <c r="J243"/>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c r="BQ243" s="48"/>
      <c r="BR243" s="48"/>
      <c r="BS243" s="48"/>
      <c r="BT243" s="48"/>
      <c r="BU243" s="48"/>
      <c r="BV243" s="48"/>
      <c r="BW243" s="48"/>
      <c r="BX243" s="48"/>
      <c r="BY243" s="48"/>
      <c r="BZ243" s="48"/>
      <c r="CA243" s="48"/>
      <c r="CB243" s="48"/>
      <c r="CC243" s="48"/>
      <c r="CD243" s="48"/>
      <c r="CE243" s="48"/>
      <c r="CF243" s="48"/>
      <c r="CG243" s="48"/>
      <c r="CH243" s="48"/>
      <c r="CI243" s="48"/>
      <c r="CJ243" s="48"/>
      <c r="CK243" s="48"/>
      <c r="CL243" s="48"/>
      <c r="CM243" s="48"/>
      <c r="CN243" s="48"/>
      <c r="CO243" s="48"/>
      <c r="CP243" s="48"/>
      <c r="CQ243" s="48"/>
      <c r="CR243" s="48"/>
      <c r="CS243" s="48"/>
      <c r="CT243" s="48"/>
      <c r="CU243" s="48"/>
      <c r="CV243" s="48"/>
      <c r="CW243" s="48"/>
      <c r="CX243" s="48"/>
      <c r="CY243" s="48"/>
      <c r="CZ243" s="48"/>
      <c r="DA243" s="48"/>
      <c r="DB243" s="48"/>
      <c r="DC243" s="48"/>
      <c r="DD243" s="48"/>
      <c r="DE243" s="48"/>
      <c r="DF243" s="48"/>
      <c r="DG243" s="48"/>
      <c r="DH243" s="48"/>
      <c r="DI243" s="48"/>
      <c r="DJ243" s="48"/>
      <c r="DK243" s="48"/>
      <c r="DL243" s="48"/>
      <c r="DM243" s="48"/>
      <c r="DN243" s="48"/>
      <c r="DO243" s="48"/>
      <c r="DP243" s="48"/>
      <c r="DQ243" s="48"/>
      <c r="DR243" s="48"/>
      <c r="DS243" s="48"/>
    </row>
    <row r="244" spans="1:123" ht="15">
      <c r="A244"/>
      <c r="B244"/>
      <c r="C244"/>
      <c r="D244"/>
      <c r="E244"/>
      <c r="F244"/>
      <c r="G244"/>
      <c r="H244"/>
      <c r="I244"/>
      <c r="J244"/>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c r="BM244" s="48"/>
      <c r="BN244" s="48"/>
      <c r="BO244" s="48"/>
      <c r="BP244" s="48"/>
      <c r="BQ244" s="48"/>
      <c r="BR244" s="48"/>
      <c r="BS244" s="48"/>
      <c r="BT244" s="48"/>
      <c r="BU244" s="48"/>
      <c r="BV244" s="48"/>
      <c r="BW244" s="48"/>
      <c r="BX244" s="48"/>
      <c r="BY244" s="48"/>
      <c r="BZ244" s="48"/>
      <c r="CA244" s="48"/>
      <c r="CB244" s="48"/>
      <c r="CC244" s="48"/>
      <c r="CD244" s="48"/>
      <c r="CE244" s="48"/>
      <c r="CF244" s="48"/>
      <c r="CG244" s="48"/>
      <c r="CH244" s="48"/>
      <c r="CI244" s="48"/>
      <c r="CJ244" s="48"/>
      <c r="CK244" s="48"/>
      <c r="CL244" s="48"/>
      <c r="CM244" s="48"/>
      <c r="CN244" s="48"/>
      <c r="CO244" s="48"/>
      <c r="CP244" s="48"/>
      <c r="CQ244" s="48"/>
      <c r="CR244" s="48"/>
      <c r="CS244" s="48"/>
      <c r="CT244" s="48"/>
      <c r="CU244" s="48"/>
      <c r="CV244" s="48"/>
      <c r="CW244" s="48"/>
      <c r="CX244" s="48"/>
      <c r="CY244" s="48"/>
      <c r="CZ244" s="48"/>
      <c r="DA244" s="48"/>
      <c r="DB244" s="48"/>
      <c r="DC244" s="48"/>
      <c r="DD244" s="48"/>
      <c r="DE244" s="48"/>
      <c r="DF244" s="48"/>
      <c r="DG244" s="48"/>
      <c r="DH244" s="48"/>
      <c r="DI244" s="48"/>
      <c r="DJ244" s="48"/>
      <c r="DK244" s="48"/>
      <c r="DL244" s="48"/>
      <c r="DM244" s="48"/>
      <c r="DN244" s="48"/>
      <c r="DO244" s="48"/>
      <c r="DP244" s="48"/>
      <c r="DQ244" s="48"/>
      <c r="DR244" s="48"/>
      <c r="DS244" s="48"/>
    </row>
    <row r="245" spans="1:123" ht="15">
      <c r="A245"/>
      <c r="B245"/>
      <c r="C245"/>
      <c r="D245"/>
      <c r="E245"/>
      <c r="F245"/>
      <c r="G245"/>
      <c r="H245"/>
      <c r="I245"/>
      <c r="J245"/>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8"/>
      <c r="BV245" s="48"/>
      <c r="BW245" s="48"/>
      <c r="BX245" s="48"/>
      <c r="BY245" s="48"/>
      <c r="BZ245" s="48"/>
      <c r="CA245" s="48"/>
      <c r="CB245" s="48"/>
      <c r="CC245" s="48"/>
      <c r="CD245" s="48"/>
      <c r="CE245" s="48"/>
      <c r="CF245" s="48"/>
      <c r="CG245" s="48"/>
      <c r="CH245" s="48"/>
      <c r="CI245" s="48"/>
      <c r="CJ245" s="48"/>
      <c r="CK245" s="48"/>
      <c r="CL245" s="48"/>
      <c r="CM245" s="48"/>
      <c r="CN245" s="48"/>
      <c r="CO245" s="48"/>
      <c r="CP245" s="48"/>
      <c r="CQ245" s="48"/>
      <c r="CR245" s="48"/>
      <c r="CS245" s="48"/>
      <c r="CT245" s="48"/>
      <c r="CU245" s="48"/>
      <c r="CV245" s="48"/>
      <c r="CW245" s="48"/>
      <c r="CX245" s="48"/>
      <c r="CY245" s="48"/>
      <c r="CZ245" s="48"/>
      <c r="DA245" s="48"/>
      <c r="DB245" s="48"/>
      <c r="DC245" s="48"/>
      <c r="DD245" s="48"/>
      <c r="DE245" s="48"/>
      <c r="DF245" s="48"/>
      <c r="DG245" s="48"/>
      <c r="DH245" s="48"/>
      <c r="DI245" s="48"/>
      <c r="DJ245" s="48"/>
      <c r="DK245" s="48"/>
      <c r="DL245" s="48"/>
      <c r="DM245" s="48"/>
      <c r="DN245" s="48"/>
      <c r="DO245" s="48"/>
      <c r="DP245" s="48"/>
      <c r="DQ245" s="48"/>
      <c r="DR245" s="48"/>
      <c r="DS245" s="48"/>
    </row>
    <row r="246" spans="1:123" ht="15">
      <c r="A246"/>
      <c r="B246"/>
      <c r="C246"/>
      <c r="D246"/>
      <c r="E246"/>
      <c r="F246"/>
      <c r="G246"/>
      <c r="H246"/>
      <c r="I246"/>
      <c r="J246"/>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8"/>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c r="CW246" s="48"/>
      <c r="CX246" s="48"/>
      <c r="CY246" s="48"/>
      <c r="CZ246" s="48"/>
      <c r="DA246" s="48"/>
      <c r="DB246" s="48"/>
      <c r="DC246" s="48"/>
      <c r="DD246" s="48"/>
      <c r="DE246" s="48"/>
      <c r="DF246" s="48"/>
      <c r="DG246" s="48"/>
      <c r="DH246" s="48"/>
      <c r="DI246" s="48"/>
      <c r="DJ246" s="48"/>
      <c r="DK246" s="48"/>
      <c r="DL246" s="48"/>
      <c r="DM246" s="48"/>
      <c r="DN246" s="48"/>
      <c r="DO246" s="48"/>
      <c r="DP246" s="48"/>
      <c r="DQ246" s="48"/>
      <c r="DR246" s="48"/>
      <c r="DS246" s="48"/>
    </row>
    <row r="247" spans="1:123" ht="15">
      <c r="A247"/>
      <c r="B247"/>
      <c r="C247"/>
      <c r="D247"/>
      <c r="E247"/>
      <c r="F247"/>
      <c r="G247"/>
      <c r="H247"/>
      <c r="I247"/>
      <c r="J247"/>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8"/>
      <c r="BK247" s="48"/>
      <c r="BL247" s="48"/>
      <c r="BM247" s="48"/>
      <c r="BN247" s="48"/>
      <c r="BO247" s="48"/>
      <c r="BP247" s="48"/>
      <c r="BQ247" s="48"/>
      <c r="BR247" s="48"/>
      <c r="BS247" s="48"/>
      <c r="BT247" s="48"/>
      <c r="BU247" s="48"/>
      <c r="BV247" s="48"/>
      <c r="BW247" s="48"/>
      <c r="BX247" s="48"/>
      <c r="BY247" s="48"/>
      <c r="BZ247" s="48"/>
      <c r="CA247" s="48"/>
      <c r="CB247" s="48"/>
      <c r="CC247" s="48"/>
      <c r="CD247" s="48"/>
      <c r="CE247" s="48"/>
      <c r="CF247" s="48"/>
      <c r="CG247" s="48"/>
      <c r="CH247" s="48"/>
      <c r="CI247" s="48"/>
      <c r="CJ247" s="48"/>
      <c r="CK247" s="48"/>
      <c r="CL247" s="48"/>
      <c r="CM247" s="48"/>
      <c r="CN247" s="48"/>
      <c r="CO247" s="48"/>
      <c r="CP247" s="48"/>
      <c r="CQ247" s="48"/>
      <c r="CR247" s="48"/>
      <c r="CS247" s="48"/>
      <c r="CT247" s="48"/>
      <c r="CU247" s="48"/>
      <c r="CV247" s="48"/>
      <c r="CW247" s="48"/>
      <c r="CX247" s="48"/>
      <c r="CY247" s="48"/>
      <c r="CZ247" s="48"/>
      <c r="DA247" s="48"/>
      <c r="DB247" s="48"/>
      <c r="DC247" s="48"/>
      <c r="DD247" s="48"/>
      <c r="DE247" s="48"/>
      <c r="DF247" s="48"/>
      <c r="DG247" s="48"/>
      <c r="DH247" s="48"/>
      <c r="DI247" s="48"/>
      <c r="DJ247" s="48"/>
      <c r="DK247" s="48"/>
      <c r="DL247" s="48"/>
      <c r="DM247" s="48"/>
      <c r="DN247" s="48"/>
      <c r="DO247" s="48"/>
      <c r="DP247" s="48"/>
      <c r="DQ247" s="48"/>
      <c r="DR247" s="48"/>
      <c r="DS247" s="48"/>
    </row>
    <row r="248" spans="1:123" ht="15">
      <c r="A248"/>
      <c r="B248"/>
      <c r="C248"/>
      <c r="D248"/>
      <c r="E248"/>
      <c r="F248"/>
      <c r="G248"/>
      <c r="H248"/>
      <c r="I248"/>
      <c r="J2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48"/>
      <c r="BH248" s="48"/>
      <c r="BI248" s="48"/>
      <c r="BJ248" s="48"/>
      <c r="BK248" s="48"/>
      <c r="BL248" s="48"/>
      <c r="BM248" s="48"/>
      <c r="BN248" s="48"/>
      <c r="BO248" s="48"/>
      <c r="BP248" s="48"/>
      <c r="BQ248" s="48"/>
      <c r="BR248" s="48"/>
      <c r="BS248" s="48"/>
      <c r="BT248" s="48"/>
      <c r="BU248" s="48"/>
      <c r="BV248" s="48"/>
      <c r="BW248" s="48"/>
      <c r="BX248" s="48"/>
      <c r="BY248" s="48"/>
      <c r="BZ248" s="48"/>
      <c r="CA248" s="48"/>
      <c r="CB248" s="48"/>
      <c r="CC248" s="48"/>
      <c r="CD248" s="48"/>
      <c r="CE248" s="48"/>
      <c r="CF248" s="48"/>
      <c r="CG248" s="48"/>
      <c r="CH248" s="48"/>
      <c r="CI248" s="48"/>
      <c r="CJ248" s="48"/>
      <c r="CK248" s="48"/>
      <c r="CL248" s="48"/>
      <c r="CM248" s="48"/>
      <c r="CN248" s="48"/>
      <c r="CO248" s="48"/>
      <c r="CP248" s="48"/>
      <c r="CQ248" s="48"/>
      <c r="CR248" s="48"/>
      <c r="CS248" s="48"/>
      <c r="CT248" s="48"/>
      <c r="CU248" s="48"/>
      <c r="CV248" s="48"/>
      <c r="CW248" s="48"/>
      <c r="CX248" s="48"/>
      <c r="CY248" s="48"/>
      <c r="CZ248" s="48"/>
      <c r="DA248" s="48"/>
      <c r="DB248" s="48"/>
      <c r="DC248" s="48"/>
      <c r="DD248" s="48"/>
      <c r="DE248" s="48"/>
      <c r="DF248" s="48"/>
      <c r="DG248" s="48"/>
      <c r="DH248" s="48"/>
      <c r="DI248" s="48"/>
      <c r="DJ248" s="48"/>
      <c r="DK248" s="48"/>
      <c r="DL248" s="48"/>
      <c r="DM248" s="48"/>
      <c r="DN248" s="48"/>
      <c r="DO248" s="48"/>
      <c r="DP248" s="48"/>
      <c r="DQ248" s="48"/>
      <c r="DR248" s="48"/>
      <c r="DS248" s="48"/>
    </row>
    <row r="249" spans="1:123" ht="15">
      <c r="A249"/>
      <c r="B249"/>
      <c r="C249"/>
      <c r="D249"/>
      <c r="E249"/>
      <c r="F249"/>
      <c r="G249"/>
      <c r="H249"/>
      <c r="I249"/>
      <c r="J249"/>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8"/>
      <c r="BJ249" s="48"/>
      <c r="BK249" s="48"/>
      <c r="BL249" s="48"/>
      <c r="BM249" s="48"/>
      <c r="BN249" s="48"/>
      <c r="BO249" s="48"/>
      <c r="BP249" s="48"/>
      <c r="BQ249" s="48"/>
      <c r="BR249" s="48"/>
      <c r="BS249" s="48"/>
      <c r="BT249" s="48"/>
      <c r="BU249" s="48"/>
      <c r="BV249" s="48"/>
      <c r="BW249" s="48"/>
      <c r="BX249" s="48"/>
      <c r="BY249" s="48"/>
      <c r="BZ249" s="48"/>
      <c r="CA249" s="48"/>
      <c r="CB249" s="48"/>
      <c r="CC249" s="48"/>
      <c r="CD249" s="48"/>
      <c r="CE249" s="48"/>
      <c r="CF249" s="48"/>
      <c r="CG249" s="48"/>
      <c r="CH249" s="48"/>
      <c r="CI249" s="48"/>
      <c r="CJ249" s="48"/>
      <c r="CK249" s="48"/>
      <c r="CL249" s="48"/>
      <c r="CM249" s="48"/>
      <c r="CN249" s="48"/>
      <c r="CO249" s="48"/>
      <c r="CP249" s="48"/>
      <c r="CQ249" s="48"/>
      <c r="CR249" s="48"/>
      <c r="CS249" s="48"/>
      <c r="CT249" s="48"/>
      <c r="CU249" s="48"/>
      <c r="CV249" s="48"/>
      <c r="CW249" s="48"/>
      <c r="CX249" s="48"/>
      <c r="CY249" s="48"/>
      <c r="CZ249" s="48"/>
      <c r="DA249" s="48"/>
      <c r="DB249" s="48"/>
      <c r="DC249" s="48"/>
      <c r="DD249" s="48"/>
      <c r="DE249" s="48"/>
      <c r="DF249" s="48"/>
      <c r="DG249" s="48"/>
      <c r="DH249" s="48"/>
      <c r="DI249" s="48"/>
      <c r="DJ249" s="48"/>
      <c r="DK249" s="48"/>
      <c r="DL249" s="48"/>
      <c r="DM249" s="48"/>
      <c r="DN249" s="48"/>
      <c r="DO249" s="48"/>
      <c r="DP249" s="48"/>
      <c r="DQ249" s="48"/>
      <c r="DR249" s="48"/>
      <c r="DS249" s="48"/>
    </row>
    <row r="250" spans="1:123" ht="15">
      <c r="A250"/>
      <c r="B250"/>
      <c r="C250"/>
      <c r="D250"/>
      <c r="E250"/>
      <c r="F250"/>
      <c r="G250"/>
      <c r="H250"/>
      <c r="I250"/>
      <c r="J250"/>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c r="AX250" s="48"/>
      <c r="AY250" s="48"/>
      <c r="AZ250" s="48"/>
      <c r="BA250" s="48"/>
      <c r="BB250" s="48"/>
      <c r="BC250" s="48"/>
      <c r="BD250" s="48"/>
      <c r="BE250" s="48"/>
      <c r="BF250" s="48"/>
      <c r="BG250" s="48"/>
      <c r="BH250" s="48"/>
      <c r="BI250" s="48"/>
      <c r="BJ250" s="48"/>
      <c r="BK250" s="48"/>
      <c r="BL250" s="48"/>
      <c r="BM250" s="48"/>
      <c r="BN250" s="48"/>
      <c r="BO250" s="48"/>
      <c r="BP250" s="48"/>
      <c r="BQ250" s="48"/>
      <c r="BR250" s="48"/>
      <c r="BS250" s="48"/>
      <c r="BT250" s="48"/>
      <c r="BU250" s="48"/>
      <c r="BV250" s="48"/>
      <c r="BW250" s="48"/>
      <c r="BX250" s="48"/>
      <c r="BY250" s="48"/>
      <c r="BZ250" s="48"/>
      <c r="CA250" s="48"/>
      <c r="CB250" s="48"/>
      <c r="CC250" s="48"/>
      <c r="CD250" s="48"/>
      <c r="CE250" s="48"/>
      <c r="CF250" s="48"/>
      <c r="CG250" s="48"/>
      <c r="CH250" s="48"/>
      <c r="CI250" s="48"/>
      <c r="CJ250" s="48"/>
      <c r="CK250" s="48"/>
      <c r="CL250" s="48"/>
      <c r="CM250" s="48"/>
      <c r="CN250" s="48"/>
      <c r="CO250" s="48"/>
      <c r="CP250" s="48"/>
      <c r="CQ250" s="48"/>
      <c r="CR250" s="48"/>
      <c r="CS250" s="48"/>
      <c r="CT250" s="48"/>
      <c r="CU250" s="48"/>
      <c r="CV250" s="48"/>
      <c r="CW250" s="48"/>
      <c r="CX250" s="48"/>
      <c r="CY250" s="48"/>
      <c r="CZ250" s="48"/>
      <c r="DA250" s="48"/>
      <c r="DB250" s="48"/>
      <c r="DC250" s="48"/>
      <c r="DD250" s="48"/>
      <c r="DE250" s="48"/>
      <c r="DF250" s="48"/>
      <c r="DG250" s="48"/>
      <c r="DH250" s="48"/>
      <c r="DI250" s="48"/>
      <c r="DJ250" s="48"/>
      <c r="DK250" s="48"/>
      <c r="DL250" s="48"/>
      <c r="DM250" s="48"/>
      <c r="DN250" s="48"/>
      <c r="DO250" s="48"/>
      <c r="DP250" s="48"/>
      <c r="DQ250" s="48"/>
      <c r="DR250" s="48"/>
      <c r="DS250" s="48"/>
    </row>
    <row r="251" spans="1:123" ht="15">
      <c r="A251"/>
      <c r="B251"/>
      <c r="C251"/>
      <c r="D251"/>
      <c r="E251"/>
      <c r="F251"/>
      <c r="G251"/>
      <c r="H251"/>
      <c r="I251"/>
      <c r="J251"/>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48"/>
      <c r="BJ251" s="48"/>
      <c r="BK251" s="48"/>
      <c r="BL251" s="48"/>
      <c r="BM251" s="48"/>
      <c r="BN251" s="48"/>
      <c r="BO251" s="48"/>
      <c r="BP251" s="48"/>
      <c r="BQ251" s="48"/>
      <c r="BR251" s="48"/>
      <c r="BS251" s="48"/>
      <c r="BT251" s="48"/>
      <c r="BU251" s="48"/>
      <c r="BV251" s="48"/>
      <c r="BW251" s="48"/>
      <c r="BX251" s="48"/>
      <c r="BY251" s="48"/>
      <c r="BZ251" s="48"/>
      <c r="CA251" s="48"/>
      <c r="CB251" s="48"/>
      <c r="CC251" s="48"/>
      <c r="CD251" s="48"/>
      <c r="CE251" s="48"/>
      <c r="CF251" s="48"/>
      <c r="CG251" s="48"/>
      <c r="CH251" s="48"/>
      <c r="CI251" s="48"/>
      <c r="CJ251" s="48"/>
      <c r="CK251" s="48"/>
      <c r="CL251" s="48"/>
      <c r="CM251" s="48"/>
      <c r="CN251" s="48"/>
      <c r="CO251" s="48"/>
      <c r="CP251" s="48"/>
      <c r="CQ251" s="48"/>
      <c r="CR251" s="48"/>
      <c r="CS251" s="48"/>
      <c r="CT251" s="48"/>
      <c r="CU251" s="48"/>
      <c r="CV251" s="48"/>
      <c r="CW251" s="48"/>
      <c r="CX251" s="48"/>
      <c r="CY251" s="48"/>
      <c r="CZ251" s="48"/>
      <c r="DA251" s="48"/>
      <c r="DB251" s="48"/>
      <c r="DC251" s="48"/>
      <c r="DD251" s="48"/>
      <c r="DE251" s="48"/>
      <c r="DF251" s="48"/>
      <c r="DG251" s="48"/>
      <c r="DH251" s="48"/>
      <c r="DI251" s="48"/>
      <c r="DJ251" s="48"/>
      <c r="DK251" s="48"/>
      <c r="DL251" s="48"/>
      <c r="DM251" s="48"/>
      <c r="DN251" s="48"/>
      <c r="DO251" s="48"/>
      <c r="DP251" s="48"/>
      <c r="DQ251" s="48"/>
      <c r="DR251" s="48"/>
      <c r="DS251" s="48"/>
    </row>
    <row r="252" spans="1:123" ht="15">
      <c r="A252"/>
      <c r="B252"/>
      <c r="C252"/>
      <c r="D252"/>
      <c r="E252"/>
      <c r="F252"/>
      <c r="G252"/>
      <c r="H252"/>
      <c r="I252"/>
      <c r="J252"/>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c r="BS252" s="48"/>
      <c r="BT252" s="48"/>
      <c r="BU252" s="48"/>
      <c r="BV252" s="48"/>
      <c r="BW252" s="48"/>
      <c r="BX252" s="48"/>
      <c r="BY252" s="48"/>
      <c r="BZ252" s="48"/>
      <c r="CA252" s="48"/>
      <c r="CB252" s="48"/>
      <c r="CC252" s="48"/>
      <c r="CD252" s="48"/>
      <c r="CE252" s="48"/>
      <c r="CF252" s="48"/>
      <c r="CG252" s="48"/>
      <c r="CH252" s="48"/>
      <c r="CI252" s="48"/>
      <c r="CJ252" s="48"/>
      <c r="CK252" s="48"/>
      <c r="CL252" s="48"/>
      <c r="CM252" s="48"/>
      <c r="CN252" s="48"/>
      <c r="CO252" s="48"/>
      <c r="CP252" s="48"/>
      <c r="CQ252" s="48"/>
      <c r="CR252" s="48"/>
      <c r="CS252" s="48"/>
      <c r="CT252" s="48"/>
      <c r="CU252" s="48"/>
      <c r="CV252" s="48"/>
      <c r="CW252" s="48"/>
      <c r="CX252" s="48"/>
      <c r="CY252" s="48"/>
      <c r="CZ252" s="48"/>
      <c r="DA252" s="48"/>
      <c r="DB252" s="48"/>
      <c r="DC252" s="48"/>
      <c r="DD252" s="48"/>
      <c r="DE252" s="48"/>
      <c r="DF252" s="48"/>
      <c r="DG252" s="48"/>
      <c r="DH252" s="48"/>
      <c r="DI252" s="48"/>
      <c r="DJ252" s="48"/>
      <c r="DK252" s="48"/>
      <c r="DL252" s="48"/>
      <c r="DM252" s="48"/>
      <c r="DN252" s="48"/>
      <c r="DO252" s="48"/>
      <c r="DP252" s="48"/>
      <c r="DQ252" s="48"/>
      <c r="DR252" s="48"/>
      <c r="DS252" s="48"/>
    </row>
    <row r="253" spans="1:123" ht="15">
      <c r="A253"/>
      <c r="B253"/>
      <c r="C253"/>
      <c r="D253"/>
      <c r="E253"/>
      <c r="F253"/>
      <c r="G253"/>
      <c r="H253"/>
      <c r="I253"/>
      <c r="J253"/>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8"/>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48"/>
      <c r="CZ253" s="48"/>
      <c r="DA253" s="48"/>
      <c r="DB253" s="48"/>
      <c r="DC253" s="48"/>
      <c r="DD253" s="48"/>
      <c r="DE253" s="48"/>
      <c r="DF253" s="48"/>
      <c r="DG253" s="48"/>
      <c r="DH253" s="48"/>
      <c r="DI253" s="48"/>
      <c r="DJ253" s="48"/>
      <c r="DK253" s="48"/>
      <c r="DL253" s="48"/>
      <c r="DM253" s="48"/>
      <c r="DN253" s="48"/>
      <c r="DO253" s="48"/>
      <c r="DP253" s="48"/>
      <c r="DQ253" s="48"/>
      <c r="DR253" s="48"/>
      <c r="DS253" s="48"/>
    </row>
    <row r="254" spans="1:123" ht="15">
      <c r="A254"/>
      <c r="B254"/>
      <c r="C254"/>
      <c r="D254"/>
      <c r="E254"/>
      <c r="F254"/>
      <c r="G254"/>
      <c r="H254"/>
      <c r="I254"/>
      <c r="J254"/>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48"/>
      <c r="BH254" s="48"/>
      <c r="BI254" s="48"/>
      <c r="BJ254" s="48"/>
      <c r="BK254" s="48"/>
      <c r="BL254" s="48"/>
      <c r="BM254" s="48"/>
      <c r="BN254" s="48"/>
      <c r="BO254" s="48"/>
      <c r="BP254" s="48"/>
      <c r="BQ254" s="48"/>
      <c r="BR254" s="48"/>
      <c r="BS254" s="48"/>
      <c r="BT254" s="48"/>
      <c r="BU254" s="48"/>
      <c r="BV254" s="48"/>
      <c r="BW254" s="48"/>
      <c r="BX254" s="48"/>
      <c r="BY254" s="48"/>
      <c r="BZ254" s="48"/>
      <c r="CA254" s="48"/>
      <c r="CB254" s="48"/>
      <c r="CC254" s="48"/>
      <c r="CD254" s="48"/>
      <c r="CE254" s="48"/>
      <c r="CF254" s="48"/>
      <c r="CG254" s="48"/>
      <c r="CH254" s="48"/>
      <c r="CI254" s="48"/>
      <c r="CJ254" s="48"/>
      <c r="CK254" s="48"/>
      <c r="CL254" s="48"/>
      <c r="CM254" s="48"/>
      <c r="CN254" s="48"/>
      <c r="CO254" s="48"/>
      <c r="CP254" s="48"/>
      <c r="CQ254" s="48"/>
      <c r="CR254" s="48"/>
      <c r="CS254" s="48"/>
      <c r="CT254" s="48"/>
      <c r="CU254" s="48"/>
      <c r="CV254" s="48"/>
      <c r="CW254" s="48"/>
      <c r="CX254" s="48"/>
      <c r="CY254" s="48"/>
      <c r="CZ254" s="48"/>
      <c r="DA254" s="48"/>
      <c r="DB254" s="48"/>
      <c r="DC254" s="48"/>
      <c r="DD254" s="48"/>
      <c r="DE254" s="48"/>
      <c r="DF254" s="48"/>
      <c r="DG254" s="48"/>
      <c r="DH254" s="48"/>
      <c r="DI254" s="48"/>
      <c r="DJ254" s="48"/>
      <c r="DK254" s="48"/>
      <c r="DL254" s="48"/>
      <c r="DM254" s="48"/>
      <c r="DN254" s="48"/>
      <c r="DO254" s="48"/>
      <c r="DP254" s="48"/>
      <c r="DQ254" s="48"/>
      <c r="DR254" s="48"/>
      <c r="DS254" s="48"/>
    </row>
    <row r="255" spans="1:123" ht="15">
      <c r="A255"/>
      <c r="B255"/>
      <c r="C255"/>
      <c r="D255"/>
      <c r="E255"/>
      <c r="F255"/>
      <c r="G255"/>
      <c r="H255"/>
      <c r="I255"/>
      <c r="J255"/>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8"/>
      <c r="BJ255" s="48"/>
      <c r="BK255" s="48"/>
      <c r="BL255" s="48"/>
      <c r="BM255" s="48"/>
      <c r="BN255" s="48"/>
      <c r="BO255" s="48"/>
      <c r="BP255" s="48"/>
      <c r="BQ255" s="48"/>
      <c r="BR255" s="48"/>
      <c r="BS255" s="48"/>
      <c r="BT255" s="48"/>
      <c r="BU255" s="48"/>
      <c r="BV255" s="48"/>
      <c r="BW255" s="48"/>
      <c r="BX255" s="48"/>
      <c r="BY255" s="48"/>
      <c r="BZ255" s="48"/>
      <c r="CA255" s="48"/>
      <c r="CB255" s="48"/>
      <c r="CC255" s="48"/>
      <c r="CD255" s="48"/>
      <c r="CE255" s="48"/>
      <c r="CF255" s="48"/>
      <c r="CG255" s="48"/>
      <c r="CH255" s="48"/>
      <c r="CI255" s="48"/>
      <c r="CJ255" s="48"/>
      <c r="CK255" s="48"/>
      <c r="CL255" s="48"/>
      <c r="CM255" s="48"/>
      <c r="CN255" s="48"/>
      <c r="CO255" s="48"/>
      <c r="CP255" s="48"/>
      <c r="CQ255" s="48"/>
      <c r="CR255" s="48"/>
      <c r="CS255" s="48"/>
      <c r="CT255" s="48"/>
      <c r="CU255" s="48"/>
      <c r="CV255" s="48"/>
      <c r="CW255" s="48"/>
      <c r="CX255" s="48"/>
      <c r="CY255" s="48"/>
      <c r="CZ255" s="48"/>
      <c r="DA255" s="48"/>
      <c r="DB255" s="48"/>
      <c r="DC255" s="48"/>
      <c r="DD255" s="48"/>
      <c r="DE255" s="48"/>
      <c r="DF255" s="48"/>
      <c r="DG255" s="48"/>
      <c r="DH255" s="48"/>
      <c r="DI255" s="48"/>
      <c r="DJ255" s="48"/>
      <c r="DK255" s="48"/>
      <c r="DL255" s="48"/>
      <c r="DM255" s="48"/>
      <c r="DN255" s="48"/>
      <c r="DO255" s="48"/>
      <c r="DP255" s="48"/>
      <c r="DQ255" s="48"/>
      <c r="DR255" s="48"/>
      <c r="DS255" s="48"/>
    </row>
    <row r="256" spans="1:123" ht="15">
      <c r="A256"/>
      <c r="B256"/>
      <c r="C256"/>
      <c r="D256"/>
      <c r="E256"/>
      <c r="F256"/>
      <c r="G256"/>
      <c r="H256"/>
      <c r="I256"/>
      <c r="J256"/>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c r="BM256" s="48"/>
      <c r="BN256" s="48"/>
      <c r="BO256" s="48"/>
      <c r="BP256" s="48"/>
      <c r="BQ256" s="48"/>
      <c r="BR256" s="48"/>
      <c r="BS256" s="48"/>
      <c r="BT256" s="48"/>
      <c r="BU256" s="48"/>
      <c r="BV256" s="48"/>
      <c r="BW256" s="48"/>
      <c r="BX256" s="48"/>
      <c r="BY256" s="48"/>
      <c r="BZ256" s="48"/>
      <c r="CA256" s="48"/>
      <c r="CB256" s="48"/>
      <c r="CC256" s="48"/>
      <c r="CD256" s="48"/>
      <c r="CE256" s="48"/>
      <c r="CF256" s="48"/>
      <c r="CG256" s="48"/>
      <c r="CH256" s="48"/>
      <c r="CI256" s="48"/>
      <c r="CJ256" s="48"/>
      <c r="CK256" s="48"/>
      <c r="CL256" s="48"/>
      <c r="CM256" s="48"/>
      <c r="CN256" s="48"/>
      <c r="CO256" s="48"/>
      <c r="CP256" s="48"/>
      <c r="CQ256" s="48"/>
      <c r="CR256" s="48"/>
      <c r="CS256" s="48"/>
      <c r="CT256" s="48"/>
      <c r="CU256" s="48"/>
      <c r="CV256" s="48"/>
      <c r="CW256" s="48"/>
      <c r="CX256" s="48"/>
      <c r="CY256" s="48"/>
      <c r="CZ256" s="48"/>
      <c r="DA256" s="48"/>
      <c r="DB256" s="48"/>
      <c r="DC256" s="48"/>
      <c r="DD256" s="48"/>
      <c r="DE256" s="48"/>
      <c r="DF256" s="48"/>
      <c r="DG256" s="48"/>
      <c r="DH256" s="48"/>
      <c r="DI256" s="48"/>
      <c r="DJ256" s="48"/>
      <c r="DK256" s="48"/>
      <c r="DL256" s="48"/>
      <c r="DM256" s="48"/>
      <c r="DN256" s="48"/>
      <c r="DO256" s="48"/>
      <c r="DP256" s="48"/>
      <c r="DQ256" s="48"/>
      <c r="DR256" s="48"/>
      <c r="DS256" s="48"/>
    </row>
    <row r="257" spans="1:123" ht="15">
      <c r="A257"/>
      <c r="B257"/>
      <c r="C257"/>
      <c r="D257"/>
      <c r="E257"/>
      <c r="F257"/>
      <c r="G257"/>
      <c r="H257"/>
      <c r="I257"/>
      <c r="J257"/>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c r="BM257" s="48"/>
      <c r="BN257" s="48"/>
      <c r="BO257" s="48"/>
      <c r="BP257" s="48"/>
      <c r="BQ257" s="48"/>
      <c r="BR257" s="48"/>
      <c r="BS257" s="48"/>
      <c r="BT257" s="48"/>
      <c r="BU257" s="48"/>
      <c r="BV257" s="48"/>
      <c r="BW257" s="48"/>
      <c r="BX257" s="48"/>
      <c r="BY257" s="48"/>
      <c r="BZ257" s="48"/>
      <c r="CA257" s="48"/>
      <c r="CB257" s="48"/>
      <c r="CC257" s="48"/>
      <c r="CD257" s="48"/>
      <c r="CE257" s="48"/>
      <c r="CF257" s="48"/>
      <c r="CG257" s="48"/>
      <c r="CH257" s="48"/>
      <c r="CI257" s="48"/>
      <c r="CJ257" s="48"/>
      <c r="CK257" s="48"/>
      <c r="CL257" s="48"/>
      <c r="CM257" s="48"/>
      <c r="CN257" s="48"/>
      <c r="CO257" s="48"/>
      <c r="CP257" s="48"/>
      <c r="CQ257" s="48"/>
      <c r="CR257" s="48"/>
      <c r="CS257" s="48"/>
      <c r="CT257" s="48"/>
      <c r="CU257" s="48"/>
      <c r="CV257" s="48"/>
      <c r="CW257" s="48"/>
      <c r="CX257" s="48"/>
      <c r="CY257" s="48"/>
      <c r="CZ257" s="48"/>
      <c r="DA257" s="48"/>
      <c r="DB257" s="48"/>
      <c r="DC257" s="48"/>
      <c r="DD257" s="48"/>
      <c r="DE257" s="48"/>
      <c r="DF257" s="48"/>
      <c r="DG257" s="48"/>
      <c r="DH257" s="48"/>
      <c r="DI257" s="48"/>
      <c r="DJ257" s="48"/>
      <c r="DK257" s="48"/>
      <c r="DL257" s="48"/>
      <c r="DM257" s="48"/>
      <c r="DN257" s="48"/>
      <c r="DO257" s="48"/>
      <c r="DP257" s="48"/>
      <c r="DQ257" s="48"/>
      <c r="DR257" s="48"/>
      <c r="DS257" s="48"/>
    </row>
    <row r="258" spans="1:123" ht="15">
      <c r="A258"/>
      <c r="B258"/>
      <c r="C258"/>
      <c r="D258"/>
      <c r="E258"/>
      <c r="F258"/>
      <c r="G258"/>
      <c r="H258"/>
      <c r="I258"/>
      <c r="J25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c r="BM258" s="48"/>
      <c r="BN258" s="48"/>
      <c r="BO258" s="48"/>
      <c r="BP258" s="48"/>
      <c r="BQ258" s="48"/>
      <c r="BR258" s="48"/>
      <c r="BS258" s="48"/>
      <c r="BT258" s="48"/>
      <c r="BU258" s="48"/>
      <c r="BV258" s="48"/>
      <c r="BW258" s="48"/>
      <c r="BX258" s="48"/>
      <c r="BY258" s="48"/>
      <c r="BZ258" s="48"/>
      <c r="CA258" s="48"/>
      <c r="CB258" s="48"/>
      <c r="CC258" s="48"/>
      <c r="CD258" s="48"/>
      <c r="CE258" s="48"/>
      <c r="CF258" s="48"/>
      <c r="CG258" s="48"/>
      <c r="CH258" s="48"/>
      <c r="CI258" s="48"/>
      <c r="CJ258" s="48"/>
      <c r="CK258" s="48"/>
      <c r="CL258" s="48"/>
      <c r="CM258" s="48"/>
      <c r="CN258" s="48"/>
      <c r="CO258" s="48"/>
      <c r="CP258" s="48"/>
      <c r="CQ258" s="48"/>
      <c r="CR258" s="48"/>
      <c r="CS258" s="48"/>
      <c r="CT258" s="48"/>
      <c r="CU258" s="48"/>
      <c r="CV258" s="48"/>
      <c r="CW258" s="48"/>
      <c r="CX258" s="48"/>
      <c r="CY258" s="48"/>
      <c r="CZ258" s="48"/>
      <c r="DA258" s="48"/>
      <c r="DB258" s="48"/>
      <c r="DC258" s="48"/>
      <c r="DD258" s="48"/>
      <c r="DE258" s="48"/>
      <c r="DF258" s="48"/>
      <c r="DG258" s="48"/>
      <c r="DH258" s="48"/>
      <c r="DI258" s="48"/>
      <c r="DJ258" s="48"/>
      <c r="DK258" s="48"/>
      <c r="DL258" s="48"/>
      <c r="DM258" s="48"/>
      <c r="DN258" s="48"/>
      <c r="DO258" s="48"/>
      <c r="DP258" s="48"/>
      <c r="DQ258" s="48"/>
      <c r="DR258" s="48"/>
      <c r="DS258" s="48"/>
    </row>
    <row r="259" spans="1:123" ht="15">
      <c r="A259"/>
      <c r="B259"/>
      <c r="C259"/>
      <c r="D259"/>
      <c r="E259"/>
      <c r="F259"/>
      <c r="G259"/>
      <c r="H259"/>
      <c r="I259"/>
      <c r="J259"/>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48"/>
      <c r="BH259" s="48"/>
      <c r="BI259" s="48"/>
      <c r="BJ259" s="48"/>
      <c r="BK259" s="48"/>
      <c r="BL259" s="48"/>
      <c r="BM259" s="48"/>
      <c r="BN259" s="48"/>
      <c r="BO259" s="48"/>
      <c r="BP259" s="48"/>
      <c r="BQ259" s="48"/>
      <c r="BR259" s="48"/>
      <c r="BS259" s="48"/>
      <c r="BT259" s="48"/>
      <c r="BU259" s="48"/>
      <c r="BV259" s="48"/>
      <c r="BW259" s="48"/>
      <c r="BX259" s="48"/>
      <c r="BY259" s="48"/>
      <c r="BZ259" s="48"/>
      <c r="CA259" s="48"/>
      <c r="CB259" s="48"/>
      <c r="CC259" s="48"/>
      <c r="CD259" s="48"/>
      <c r="CE259" s="48"/>
      <c r="CF259" s="48"/>
      <c r="CG259" s="48"/>
      <c r="CH259" s="48"/>
      <c r="CI259" s="48"/>
      <c r="CJ259" s="48"/>
      <c r="CK259" s="48"/>
      <c r="CL259" s="48"/>
      <c r="CM259" s="48"/>
      <c r="CN259" s="48"/>
      <c r="CO259" s="48"/>
      <c r="CP259" s="48"/>
      <c r="CQ259" s="48"/>
      <c r="CR259" s="48"/>
      <c r="CS259" s="48"/>
      <c r="CT259" s="48"/>
      <c r="CU259" s="48"/>
      <c r="CV259" s="48"/>
      <c r="CW259" s="48"/>
      <c r="CX259" s="48"/>
      <c r="CY259" s="48"/>
      <c r="CZ259" s="48"/>
      <c r="DA259" s="48"/>
      <c r="DB259" s="48"/>
      <c r="DC259" s="48"/>
      <c r="DD259" s="48"/>
      <c r="DE259" s="48"/>
      <c r="DF259" s="48"/>
      <c r="DG259" s="48"/>
      <c r="DH259" s="48"/>
      <c r="DI259" s="48"/>
      <c r="DJ259" s="48"/>
      <c r="DK259" s="48"/>
      <c r="DL259" s="48"/>
      <c r="DM259" s="48"/>
      <c r="DN259" s="48"/>
      <c r="DO259" s="48"/>
      <c r="DP259" s="48"/>
      <c r="DQ259" s="48"/>
      <c r="DR259" s="48"/>
      <c r="DS259" s="48"/>
    </row>
    <row r="260" spans="1:123" ht="15">
      <c r="A260"/>
      <c r="B260"/>
      <c r="C260"/>
      <c r="D260"/>
      <c r="E260"/>
      <c r="F260"/>
      <c r="G260"/>
      <c r="H260"/>
      <c r="I260"/>
      <c r="J260"/>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c r="BM260" s="48"/>
      <c r="BN260" s="48"/>
      <c r="BO260" s="48"/>
      <c r="BP260" s="48"/>
      <c r="BQ260" s="48"/>
      <c r="BR260" s="48"/>
      <c r="BS260" s="48"/>
      <c r="BT260" s="48"/>
      <c r="BU260" s="48"/>
      <c r="BV260" s="48"/>
      <c r="BW260" s="48"/>
      <c r="BX260" s="48"/>
      <c r="BY260" s="48"/>
      <c r="BZ260" s="48"/>
      <c r="CA260" s="48"/>
      <c r="CB260" s="48"/>
      <c r="CC260" s="48"/>
      <c r="CD260" s="48"/>
      <c r="CE260" s="48"/>
      <c r="CF260" s="48"/>
      <c r="CG260" s="48"/>
      <c r="CH260" s="48"/>
      <c r="CI260" s="48"/>
      <c r="CJ260" s="48"/>
      <c r="CK260" s="48"/>
      <c r="CL260" s="48"/>
      <c r="CM260" s="48"/>
      <c r="CN260" s="48"/>
      <c r="CO260" s="48"/>
      <c r="CP260" s="48"/>
      <c r="CQ260" s="48"/>
      <c r="CR260" s="48"/>
      <c r="CS260" s="48"/>
      <c r="CT260" s="48"/>
      <c r="CU260" s="48"/>
      <c r="CV260" s="48"/>
      <c r="CW260" s="48"/>
      <c r="CX260" s="48"/>
      <c r="CY260" s="48"/>
      <c r="CZ260" s="48"/>
      <c r="DA260" s="48"/>
      <c r="DB260" s="48"/>
      <c r="DC260" s="48"/>
      <c r="DD260" s="48"/>
      <c r="DE260" s="48"/>
      <c r="DF260" s="48"/>
      <c r="DG260" s="48"/>
      <c r="DH260" s="48"/>
      <c r="DI260" s="48"/>
      <c r="DJ260" s="48"/>
      <c r="DK260" s="48"/>
      <c r="DL260" s="48"/>
      <c r="DM260" s="48"/>
      <c r="DN260" s="48"/>
      <c r="DO260" s="48"/>
      <c r="DP260" s="48"/>
      <c r="DQ260" s="48"/>
      <c r="DR260" s="48"/>
      <c r="DS260" s="48"/>
    </row>
    <row r="261" spans="1:123" ht="15">
      <c r="A261"/>
      <c r="B261"/>
      <c r="C261"/>
      <c r="D261"/>
      <c r="E261"/>
      <c r="F261"/>
      <c r="G261"/>
      <c r="H261"/>
      <c r="I261"/>
      <c r="J261"/>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48"/>
      <c r="BH261" s="48"/>
      <c r="BI261" s="48"/>
      <c r="BJ261" s="48"/>
      <c r="BK261" s="48"/>
      <c r="BL261" s="48"/>
      <c r="BM261" s="48"/>
      <c r="BN261" s="48"/>
      <c r="BO261" s="48"/>
      <c r="BP261" s="48"/>
      <c r="BQ261" s="48"/>
      <c r="BR261" s="48"/>
      <c r="BS261" s="48"/>
      <c r="BT261" s="48"/>
      <c r="BU261" s="48"/>
      <c r="BV261" s="48"/>
      <c r="BW261" s="48"/>
      <c r="BX261" s="48"/>
      <c r="BY261" s="48"/>
      <c r="BZ261" s="48"/>
      <c r="CA261" s="48"/>
      <c r="CB261" s="48"/>
      <c r="CC261" s="48"/>
      <c r="CD261" s="48"/>
      <c r="CE261" s="48"/>
      <c r="CF261" s="48"/>
      <c r="CG261" s="48"/>
      <c r="CH261" s="48"/>
      <c r="CI261" s="48"/>
      <c r="CJ261" s="48"/>
      <c r="CK261" s="48"/>
      <c r="CL261" s="48"/>
      <c r="CM261" s="48"/>
      <c r="CN261" s="48"/>
      <c r="CO261" s="48"/>
      <c r="CP261" s="48"/>
      <c r="CQ261" s="48"/>
      <c r="CR261" s="48"/>
      <c r="CS261" s="48"/>
      <c r="CT261" s="48"/>
      <c r="CU261" s="48"/>
      <c r="CV261" s="48"/>
      <c r="CW261" s="48"/>
      <c r="CX261" s="48"/>
      <c r="CY261" s="48"/>
      <c r="CZ261" s="48"/>
      <c r="DA261" s="48"/>
      <c r="DB261" s="48"/>
      <c r="DC261" s="48"/>
      <c r="DD261" s="48"/>
      <c r="DE261" s="48"/>
      <c r="DF261" s="48"/>
      <c r="DG261" s="48"/>
      <c r="DH261" s="48"/>
      <c r="DI261" s="48"/>
      <c r="DJ261" s="48"/>
      <c r="DK261" s="48"/>
      <c r="DL261" s="48"/>
      <c r="DM261" s="48"/>
      <c r="DN261" s="48"/>
      <c r="DO261" s="48"/>
      <c r="DP261" s="48"/>
      <c r="DQ261" s="48"/>
      <c r="DR261" s="48"/>
      <c r="DS261" s="48"/>
    </row>
    <row r="262" spans="1:123" ht="15">
      <c r="A262"/>
      <c r="B262"/>
      <c r="C262"/>
      <c r="D262"/>
      <c r="E262"/>
      <c r="F262"/>
      <c r="G262"/>
      <c r="H262"/>
      <c r="I262"/>
      <c r="J262"/>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8"/>
      <c r="BK262" s="48"/>
      <c r="BL262" s="48"/>
      <c r="BM262" s="48"/>
      <c r="BN262" s="48"/>
      <c r="BO262" s="48"/>
      <c r="BP262" s="48"/>
      <c r="BQ262" s="48"/>
      <c r="BR262" s="48"/>
      <c r="BS262" s="48"/>
      <c r="BT262" s="48"/>
      <c r="BU262" s="48"/>
      <c r="BV262" s="48"/>
      <c r="BW262" s="48"/>
      <c r="BX262" s="48"/>
      <c r="BY262" s="48"/>
      <c r="BZ262" s="48"/>
      <c r="CA262" s="48"/>
      <c r="CB262" s="48"/>
      <c r="CC262" s="48"/>
      <c r="CD262" s="48"/>
      <c r="CE262" s="48"/>
      <c r="CF262" s="48"/>
      <c r="CG262" s="48"/>
      <c r="CH262" s="48"/>
      <c r="CI262" s="48"/>
      <c r="CJ262" s="48"/>
      <c r="CK262" s="48"/>
      <c r="CL262" s="48"/>
      <c r="CM262" s="48"/>
      <c r="CN262" s="48"/>
      <c r="CO262" s="48"/>
      <c r="CP262" s="48"/>
      <c r="CQ262" s="48"/>
      <c r="CR262" s="48"/>
      <c r="CS262" s="48"/>
      <c r="CT262" s="48"/>
      <c r="CU262" s="48"/>
      <c r="CV262" s="48"/>
      <c r="CW262" s="48"/>
      <c r="CX262" s="48"/>
      <c r="CY262" s="48"/>
      <c r="CZ262" s="48"/>
      <c r="DA262" s="48"/>
      <c r="DB262" s="48"/>
      <c r="DC262" s="48"/>
      <c r="DD262" s="48"/>
      <c r="DE262" s="48"/>
      <c r="DF262" s="48"/>
      <c r="DG262" s="48"/>
      <c r="DH262" s="48"/>
      <c r="DI262" s="48"/>
      <c r="DJ262" s="48"/>
      <c r="DK262" s="48"/>
      <c r="DL262" s="48"/>
      <c r="DM262" s="48"/>
      <c r="DN262" s="48"/>
      <c r="DO262" s="48"/>
      <c r="DP262" s="48"/>
      <c r="DQ262" s="48"/>
      <c r="DR262" s="48"/>
      <c r="DS262" s="48"/>
    </row>
    <row r="263" spans="1:123" ht="15">
      <c r="A263"/>
      <c r="B263"/>
      <c r="C263"/>
      <c r="D263"/>
      <c r="E263"/>
      <c r="F263"/>
      <c r="G263"/>
      <c r="H263"/>
      <c r="I263"/>
      <c r="J263"/>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8"/>
      <c r="BK263" s="48"/>
      <c r="BL263" s="48"/>
      <c r="BM263" s="48"/>
      <c r="BN263" s="48"/>
      <c r="BO263" s="48"/>
      <c r="BP263" s="48"/>
      <c r="BQ263" s="48"/>
      <c r="BR263" s="48"/>
      <c r="BS263" s="48"/>
      <c r="BT263" s="48"/>
      <c r="BU263" s="48"/>
      <c r="BV263" s="48"/>
      <c r="BW263" s="48"/>
      <c r="BX263" s="48"/>
      <c r="BY263" s="48"/>
      <c r="BZ263" s="48"/>
      <c r="CA263" s="48"/>
      <c r="CB263" s="48"/>
      <c r="CC263" s="48"/>
      <c r="CD263" s="48"/>
      <c r="CE263" s="48"/>
      <c r="CF263" s="48"/>
      <c r="CG263" s="48"/>
      <c r="CH263" s="48"/>
      <c r="CI263" s="48"/>
      <c r="CJ263" s="48"/>
      <c r="CK263" s="48"/>
      <c r="CL263" s="48"/>
      <c r="CM263" s="48"/>
      <c r="CN263" s="48"/>
      <c r="CO263" s="48"/>
      <c r="CP263" s="48"/>
      <c r="CQ263" s="48"/>
      <c r="CR263" s="48"/>
      <c r="CS263" s="48"/>
      <c r="CT263" s="48"/>
      <c r="CU263" s="48"/>
      <c r="CV263" s="48"/>
      <c r="CW263" s="48"/>
      <c r="CX263" s="48"/>
      <c r="CY263" s="48"/>
      <c r="CZ263" s="48"/>
      <c r="DA263" s="48"/>
      <c r="DB263" s="48"/>
      <c r="DC263" s="48"/>
      <c r="DD263" s="48"/>
      <c r="DE263" s="48"/>
      <c r="DF263" s="48"/>
      <c r="DG263" s="48"/>
      <c r="DH263" s="48"/>
      <c r="DI263" s="48"/>
      <c r="DJ263" s="48"/>
      <c r="DK263" s="48"/>
      <c r="DL263" s="48"/>
      <c r="DM263" s="48"/>
      <c r="DN263" s="48"/>
      <c r="DO263" s="48"/>
      <c r="DP263" s="48"/>
      <c r="DQ263" s="48"/>
      <c r="DR263" s="48"/>
      <c r="DS263" s="48"/>
    </row>
    <row r="264" spans="1:123" ht="15">
      <c r="A264"/>
      <c r="B264"/>
      <c r="C264"/>
      <c r="D264"/>
      <c r="E264"/>
      <c r="F264"/>
      <c r="G264"/>
      <c r="H264"/>
      <c r="I264"/>
      <c r="J264"/>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8"/>
      <c r="BJ264" s="48"/>
      <c r="BK264" s="48"/>
      <c r="BL264" s="48"/>
      <c r="BM264" s="48"/>
      <c r="BN264" s="48"/>
      <c r="BO264" s="48"/>
      <c r="BP264" s="48"/>
      <c r="BQ264" s="48"/>
      <c r="BR264" s="48"/>
      <c r="BS264" s="48"/>
      <c r="BT264" s="48"/>
      <c r="BU264" s="48"/>
      <c r="BV264" s="48"/>
      <c r="BW264" s="48"/>
      <c r="BX264" s="48"/>
      <c r="BY264" s="48"/>
      <c r="BZ264" s="48"/>
      <c r="CA264" s="48"/>
      <c r="CB264" s="48"/>
      <c r="CC264" s="48"/>
      <c r="CD264" s="48"/>
      <c r="CE264" s="48"/>
      <c r="CF264" s="48"/>
      <c r="CG264" s="48"/>
      <c r="CH264" s="48"/>
      <c r="CI264" s="48"/>
      <c r="CJ264" s="48"/>
      <c r="CK264" s="48"/>
      <c r="CL264" s="48"/>
      <c r="CM264" s="48"/>
      <c r="CN264" s="48"/>
      <c r="CO264" s="48"/>
      <c r="CP264" s="48"/>
      <c r="CQ264" s="48"/>
      <c r="CR264" s="48"/>
      <c r="CS264" s="48"/>
      <c r="CT264" s="48"/>
      <c r="CU264" s="48"/>
      <c r="CV264" s="48"/>
      <c r="CW264" s="48"/>
      <c r="CX264" s="48"/>
      <c r="CY264" s="48"/>
      <c r="CZ264" s="48"/>
      <c r="DA264" s="48"/>
      <c r="DB264" s="48"/>
      <c r="DC264" s="48"/>
      <c r="DD264" s="48"/>
      <c r="DE264" s="48"/>
      <c r="DF264" s="48"/>
      <c r="DG264" s="48"/>
      <c r="DH264" s="48"/>
      <c r="DI264" s="48"/>
      <c r="DJ264" s="48"/>
      <c r="DK264" s="48"/>
      <c r="DL264" s="48"/>
      <c r="DM264" s="48"/>
      <c r="DN264" s="48"/>
      <c r="DO264" s="48"/>
      <c r="DP264" s="48"/>
      <c r="DQ264" s="48"/>
      <c r="DR264" s="48"/>
      <c r="DS264" s="48"/>
    </row>
    <row r="265" spans="1:123" ht="15">
      <c r="A265"/>
      <c r="B265"/>
      <c r="C265"/>
      <c r="D265"/>
      <c r="E265"/>
      <c r="F265"/>
      <c r="G265"/>
      <c r="H265"/>
      <c r="I265"/>
      <c r="J265"/>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8"/>
      <c r="BJ265" s="48"/>
      <c r="BK265" s="48"/>
      <c r="BL265" s="48"/>
      <c r="BM265" s="48"/>
      <c r="BN265" s="48"/>
      <c r="BO265" s="48"/>
      <c r="BP265" s="48"/>
      <c r="BQ265" s="48"/>
      <c r="BR265" s="48"/>
      <c r="BS265" s="48"/>
      <c r="BT265" s="48"/>
      <c r="BU265" s="48"/>
      <c r="BV265" s="48"/>
      <c r="BW265" s="48"/>
      <c r="BX265" s="48"/>
      <c r="BY265" s="48"/>
      <c r="BZ265" s="48"/>
      <c r="CA265" s="48"/>
      <c r="CB265" s="48"/>
      <c r="CC265" s="48"/>
      <c r="CD265" s="48"/>
      <c r="CE265" s="48"/>
      <c r="CF265" s="48"/>
      <c r="CG265" s="48"/>
      <c r="CH265" s="48"/>
      <c r="CI265" s="48"/>
      <c r="CJ265" s="48"/>
      <c r="CK265" s="48"/>
      <c r="CL265" s="48"/>
      <c r="CM265" s="48"/>
      <c r="CN265" s="48"/>
      <c r="CO265" s="48"/>
      <c r="CP265" s="48"/>
      <c r="CQ265" s="48"/>
      <c r="CR265" s="48"/>
      <c r="CS265" s="48"/>
      <c r="CT265" s="48"/>
      <c r="CU265" s="48"/>
      <c r="CV265" s="48"/>
      <c r="CW265" s="48"/>
      <c r="CX265" s="48"/>
      <c r="CY265" s="48"/>
      <c r="CZ265" s="48"/>
      <c r="DA265" s="48"/>
      <c r="DB265" s="48"/>
      <c r="DC265" s="48"/>
      <c r="DD265" s="48"/>
      <c r="DE265" s="48"/>
      <c r="DF265" s="48"/>
      <c r="DG265" s="48"/>
      <c r="DH265" s="48"/>
      <c r="DI265" s="48"/>
      <c r="DJ265" s="48"/>
      <c r="DK265" s="48"/>
      <c r="DL265" s="48"/>
      <c r="DM265" s="48"/>
      <c r="DN265" s="48"/>
      <c r="DO265" s="48"/>
      <c r="DP265" s="48"/>
      <c r="DQ265" s="48"/>
      <c r="DR265" s="48"/>
      <c r="DS265" s="48"/>
    </row>
    <row r="266" spans="1:123" ht="15">
      <c r="A266"/>
      <c r="B266"/>
      <c r="C266"/>
      <c r="D266"/>
      <c r="E266"/>
      <c r="F266"/>
      <c r="G266"/>
      <c r="H266"/>
      <c r="I266"/>
      <c r="J266"/>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8"/>
      <c r="BK266" s="48"/>
      <c r="BL266" s="48"/>
      <c r="BM266" s="48"/>
      <c r="BN266" s="48"/>
      <c r="BO266" s="48"/>
      <c r="BP266" s="48"/>
      <c r="BQ266" s="48"/>
      <c r="BR266" s="48"/>
      <c r="BS266" s="48"/>
      <c r="BT266" s="48"/>
      <c r="BU266" s="48"/>
      <c r="BV266" s="48"/>
      <c r="BW266" s="48"/>
      <c r="BX266" s="48"/>
      <c r="BY266" s="48"/>
      <c r="BZ266" s="48"/>
      <c r="CA266" s="48"/>
      <c r="CB266" s="48"/>
      <c r="CC266" s="48"/>
      <c r="CD266" s="48"/>
      <c r="CE266" s="48"/>
      <c r="CF266" s="48"/>
      <c r="CG266" s="48"/>
      <c r="CH266" s="48"/>
      <c r="CI266" s="48"/>
      <c r="CJ266" s="48"/>
      <c r="CK266" s="48"/>
      <c r="CL266" s="48"/>
      <c r="CM266" s="48"/>
      <c r="CN266" s="48"/>
      <c r="CO266" s="48"/>
      <c r="CP266" s="48"/>
      <c r="CQ266" s="48"/>
      <c r="CR266" s="48"/>
      <c r="CS266" s="48"/>
      <c r="CT266" s="48"/>
      <c r="CU266" s="48"/>
      <c r="CV266" s="48"/>
      <c r="CW266" s="48"/>
      <c r="CX266" s="48"/>
      <c r="CY266" s="48"/>
      <c r="CZ266" s="48"/>
      <c r="DA266" s="48"/>
      <c r="DB266" s="48"/>
      <c r="DC266" s="48"/>
      <c r="DD266" s="48"/>
      <c r="DE266" s="48"/>
      <c r="DF266" s="48"/>
      <c r="DG266" s="48"/>
      <c r="DH266" s="48"/>
      <c r="DI266" s="48"/>
      <c r="DJ266" s="48"/>
      <c r="DK266" s="48"/>
      <c r="DL266" s="48"/>
      <c r="DM266" s="48"/>
      <c r="DN266" s="48"/>
      <c r="DO266" s="48"/>
      <c r="DP266" s="48"/>
      <c r="DQ266" s="48"/>
      <c r="DR266" s="48"/>
      <c r="DS266" s="48"/>
    </row>
    <row r="267" spans="1:123" ht="15">
      <c r="A267"/>
      <c r="B267"/>
      <c r="C267"/>
      <c r="D267"/>
      <c r="E267"/>
      <c r="F267"/>
      <c r="G267"/>
      <c r="H267"/>
      <c r="I267"/>
      <c r="J267"/>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c r="BS267" s="48"/>
      <c r="BT267" s="48"/>
      <c r="BU267" s="48"/>
      <c r="BV267" s="48"/>
      <c r="BW267" s="48"/>
      <c r="BX267" s="48"/>
      <c r="BY267" s="48"/>
      <c r="BZ267" s="48"/>
      <c r="CA267" s="48"/>
      <c r="CB267" s="48"/>
      <c r="CC267" s="48"/>
      <c r="CD267" s="48"/>
      <c r="CE267" s="48"/>
      <c r="CF267" s="48"/>
      <c r="CG267" s="48"/>
      <c r="CH267" s="48"/>
      <c r="CI267" s="48"/>
      <c r="CJ267" s="48"/>
      <c r="CK267" s="48"/>
      <c r="CL267" s="48"/>
      <c r="CM267" s="48"/>
      <c r="CN267" s="48"/>
      <c r="CO267" s="48"/>
      <c r="CP267" s="48"/>
      <c r="CQ267" s="48"/>
      <c r="CR267" s="48"/>
      <c r="CS267" s="48"/>
      <c r="CT267" s="48"/>
      <c r="CU267" s="48"/>
      <c r="CV267" s="48"/>
      <c r="CW267" s="48"/>
      <c r="CX267" s="48"/>
      <c r="CY267" s="48"/>
      <c r="CZ267" s="48"/>
      <c r="DA267" s="48"/>
      <c r="DB267" s="48"/>
      <c r="DC267" s="48"/>
      <c r="DD267" s="48"/>
      <c r="DE267" s="48"/>
      <c r="DF267" s="48"/>
      <c r="DG267" s="48"/>
      <c r="DH267" s="48"/>
      <c r="DI267" s="48"/>
      <c r="DJ267" s="48"/>
      <c r="DK267" s="48"/>
      <c r="DL267" s="48"/>
      <c r="DM267" s="48"/>
      <c r="DN267" s="48"/>
      <c r="DO267" s="48"/>
      <c r="DP267" s="48"/>
      <c r="DQ267" s="48"/>
      <c r="DR267" s="48"/>
      <c r="DS267" s="48"/>
    </row>
    <row r="268" spans="1:123" ht="15">
      <c r="A268"/>
      <c r="B268"/>
      <c r="C268"/>
      <c r="D268"/>
      <c r="E268"/>
      <c r="F268"/>
      <c r="G268"/>
      <c r="H268"/>
      <c r="I268"/>
      <c r="J26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8"/>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c r="CW268" s="48"/>
      <c r="CX268" s="48"/>
      <c r="CY268" s="48"/>
      <c r="CZ268" s="48"/>
      <c r="DA268" s="48"/>
      <c r="DB268" s="48"/>
      <c r="DC268" s="48"/>
      <c r="DD268" s="48"/>
      <c r="DE268" s="48"/>
      <c r="DF268" s="48"/>
      <c r="DG268" s="48"/>
      <c r="DH268" s="48"/>
      <c r="DI268" s="48"/>
      <c r="DJ268" s="48"/>
      <c r="DK268" s="48"/>
      <c r="DL268" s="48"/>
      <c r="DM268" s="48"/>
      <c r="DN268" s="48"/>
      <c r="DO268" s="48"/>
      <c r="DP268" s="48"/>
      <c r="DQ268" s="48"/>
      <c r="DR268" s="48"/>
      <c r="DS268" s="48"/>
    </row>
    <row r="269" spans="1:123" ht="15">
      <c r="A269"/>
      <c r="B269"/>
      <c r="C269"/>
      <c r="D269"/>
      <c r="E269"/>
      <c r="F269"/>
      <c r="G269"/>
      <c r="H269"/>
      <c r="I269"/>
      <c r="J269"/>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c r="BO269" s="48"/>
      <c r="BP269" s="48"/>
      <c r="BQ269" s="48"/>
      <c r="BR269" s="48"/>
      <c r="BS269" s="48"/>
      <c r="BT269" s="48"/>
      <c r="BU269" s="48"/>
      <c r="BV269" s="48"/>
      <c r="BW269" s="48"/>
      <c r="BX269" s="48"/>
      <c r="BY269" s="48"/>
      <c r="BZ269" s="48"/>
      <c r="CA269" s="48"/>
      <c r="CB269" s="48"/>
      <c r="CC269" s="48"/>
      <c r="CD269" s="48"/>
      <c r="CE269" s="48"/>
      <c r="CF269" s="48"/>
      <c r="CG269" s="48"/>
      <c r="CH269" s="48"/>
      <c r="CI269" s="48"/>
      <c r="CJ269" s="48"/>
      <c r="CK269" s="48"/>
      <c r="CL269" s="48"/>
      <c r="CM269" s="48"/>
      <c r="CN269" s="48"/>
      <c r="CO269" s="48"/>
      <c r="CP269" s="48"/>
      <c r="CQ269" s="48"/>
      <c r="CR269" s="48"/>
      <c r="CS269" s="48"/>
      <c r="CT269" s="48"/>
      <c r="CU269" s="48"/>
      <c r="CV269" s="48"/>
      <c r="CW269" s="48"/>
      <c r="CX269" s="48"/>
      <c r="CY269" s="48"/>
      <c r="CZ269" s="48"/>
      <c r="DA269" s="48"/>
      <c r="DB269" s="48"/>
      <c r="DC269" s="48"/>
      <c r="DD269" s="48"/>
      <c r="DE269" s="48"/>
      <c r="DF269" s="48"/>
      <c r="DG269" s="48"/>
      <c r="DH269" s="48"/>
      <c r="DI269" s="48"/>
      <c r="DJ269" s="48"/>
      <c r="DK269" s="48"/>
      <c r="DL269" s="48"/>
      <c r="DM269" s="48"/>
      <c r="DN269" s="48"/>
      <c r="DO269" s="48"/>
      <c r="DP269" s="48"/>
      <c r="DQ269" s="48"/>
      <c r="DR269" s="48"/>
      <c r="DS269" s="48"/>
    </row>
    <row r="270" spans="1:123" ht="15">
      <c r="A270"/>
      <c r="B270"/>
      <c r="C270"/>
      <c r="D270"/>
      <c r="E270"/>
      <c r="F270"/>
      <c r="G270"/>
      <c r="H270"/>
      <c r="I270"/>
      <c r="J270"/>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8"/>
      <c r="BK270" s="48"/>
      <c r="BL270" s="48"/>
      <c r="BM270" s="48"/>
      <c r="BN270" s="48"/>
      <c r="BO270" s="48"/>
      <c r="BP270" s="48"/>
      <c r="BQ270" s="48"/>
      <c r="BR270" s="48"/>
      <c r="BS270" s="48"/>
      <c r="BT270" s="48"/>
      <c r="BU270" s="48"/>
      <c r="BV270" s="48"/>
      <c r="BW270" s="48"/>
      <c r="BX270" s="48"/>
      <c r="BY270" s="48"/>
      <c r="BZ270" s="48"/>
      <c r="CA270" s="48"/>
      <c r="CB270" s="48"/>
      <c r="CC270" s="48"/>
      <c r="CD270" s="48"/>
      <c r="CE270" s="48"/>
      <c r="CF270" s="48"/>
      <c r="CG270" s="48"/>
      <c r="CH270" s="48"/>
      <c r="CI270" s="48"/>
      <c r="CJ270" s="48"/>
      <c r="CK270" s="48"/>
      <c r="CL270" s="48"/>
      <c r="CM270" s="48"/>
      <c r="CN270" s="48"/>
      <c r="CO270" s="48"/>
      <c r="CP270" s="48"/>
      <c r="CQ270" s="48"/>
      <c r="CR270" s="48"/>
      <c r="CS270" s="48"/>
      <c r="CT270" s="48"/>
      <c r="CU270" s="48"/>
      <c r="CV270" s="48"/>
      <c r="CW270" s="48"/>
      <c r="CX270" s="48"/>
      <c r="CY270" s="48"/>
      <c r="CZ270" s="48"/>
      <c r="DA270" s="48"/>
      <c r="DB270" s="48"/>
      <c r="DC270" s="48"/>
      <c r="DD270" s="48"/>
      <c r="DE270" s="48"/>
      <c r="DF270" s="48"/>
      <c r="DG270" s="48"/>
      <c r="DH270" s="48"/>
      <c r="DI270" s="48"/>
      <c r="DJ270" s="48"/>
      <c r="DK270" s="48"/>
      <c r="DL270" s="48"/>
      <c r="DM270" s="48"/>
      <c r="DN270" s="48"/>
      <c r="DO270" s="48"/>
      <c r="DP270" s="48"/>
      <c r="DQ270" s="48"/>
      <c r="DR270" s="48"/>
      <c r="DS270" s="48"/>
    </row>
    <row r="271" spans="1:123" ht="15">
      <c r="A271"/>
      <c r="B271"/>
      <c r="C271"/>
      <c r="D271"/>
      <c r="E271"/>
      <c r="F271"/>
      <c r="G271"/>
      <c r="H271"/>
      <c r="I271"/>
      <c r="J271"/>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c r="BM271" s="48"/>
      <c r="BN271" s="48"/>
      <c r="BO271" s="48"/>
      <c r="BP271" s="48"/>
      <c r="BQ271" s="48"/>
      <c r="BR271" s="48"/>
      <c r="BS271" s="48"/>
      <c r="BT271" s="48"/>
      <c r="BU271" s="48"/>
      <c r="BV271" s="48"/>
      <c r="BW271" s="48"/>
      <c r="BX271" s="48"/>
      <c r="BY271" s="48"/>
      <c r="BZ271" s="48"/>
      <c r="CA271" s="48"/>
      <c r="CB271" s="48"/>
      <c r="CC271" s="48"/>
      <c r="CD271" s="48"/>
      <c r="CE271" s="48"/>
      <c r="CF271" s="48"/>
      <c r="CG271" s="48"/>
      <c r="CH271" s="48"/>
      <c r="CI271" s="48"/>
      <c r="CJ271" s="48"/>
      <c r="CK271" s="48"/>
      <c r="CL271" s="48"/>
      <c r="CM271" s="48"/>
      <c r="CN271" s="48"/>
      <c r="CO271" s="48"/>
      <c r="CP271" s="48"/>
      <c r="CQ271" s="48"/>
      <c r="CR271" s="48"/>
      <c r="CS271" s="48"/>
      <c r="CT271" s="48"/>
      <c r="CU271" s="48"/>
      <c r="CV271" s="48"/>
      <c r="CW271" s="48"/>
      <c r="CX271" s="48"/>
      <c r="CY271" s="48"/>
      <c r="CZ271" s="48"/>
      <c r="DA271" s="48"/>
      <c r="DB271" s="48"/>
      <c r="DC271" s="48"/>
      <c r="DD271" s="48"/>
      <c r="DE271" s="48"/>
      <c r="DF271" s="48"/>
      <c r="DG271" s="48"/>
      <c r="DH271" s="48"/>
      <c r="DI271" s="48"/>
      <c r="DJ271" s="48"/>
      <c r="DK271" s="48"/>
      <c r="DL271" s="48"/>
      <c r="DM271" s="48"/>
      <c r="DN271" s="48"/>
      <c r="DO271" s="48"/>
      <c r="DP271" s="48"/>
      <c r="DQ271" s="48"/>
      <c r="DR271" s="48"/>
      <c r="DS271" s="48"/>
    </row>
    <row r="272" spans="1:123" ht="15">
      <c r="A272"/>
      <c r="B272"/>
      <c r="C272"/>
      <c r="D272"/>
      <c r="E272"/>
      <c r="F272"/>
      <c r="G272"/>
      <c r="H272"/>
      <c r="I272"/>
      <c r="J272"/>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c r="BM272" s="48"/>
      <c r="BN272" s="48"/>
      <c r="BO272" s="48"/>
      <c r="BP272" s="48"/>
      <c r="BQ272" s="48"/>
      <c r="BR272" s="48"/>
      <c r="BS272" s="48"/>
      <c r="BT272" s="48"/>
      <c r="BU272" s="48"/>
      <c r="BV272" s="48"/>
      <c r="BW272" s="48"/>
      <c r="BX272" s="48"/>
      <c r="BY272" s="48"/>
      <c r="BZ272" s="48"/>
      <c r="CA272" s="48"/>
      <c r="CB272" s="48"/>
      <c r="CC272" s="48"/>
      <c r="CD272" s="48"/>
      <c r="CE272" s="48"/>
      <c r="CF272" s="48"/>
      <c r="CG272" s="48"/>
      <c r="CH272" s="48"/>
      <c r="CI272" s="48"/>
      <c r="CJ272" s="48"/>
      <c r="CK272" s="48"/>
      <c r="CL272" s="48"/>
      <c r="CM272" s="48"/>
      <c r="CN272" s="48"/>
      <c r="CO272" s="48"/>
      <c r="CP272" s="48"/>
      <c r="CQ272" s="48"/>
      <c r="CR272" s="48"/>
      <c r="CS272" s="48"/>
      <c r="CT272" s="48"/>
      <c r="CU272" s="48"/>
      <c r="CV272" s="48"/>
      <c r="CW272" s="48"/>
      <c r="CX272" s="48"/>
      <c r="CY272" s="48"/>
      <c r="CZ272" s="48"/>
      <c r="DA272" s="48"/>
      <c r="DB272" s="48"/>
      <c r="DC272" s="48"/>
      <c r="DD272" s="48"/>
      <c r="DE272" s="48"/>
      <c r="DF272" s="48"/>
      <c r="DG272" s="48"/>
      <c r="DH272" s="48"/>
      <c r="DI272" s="48"/>
      <c r="DJ272" s="48"/>
      <c r="DK272" s="48"/>
      <c r="DL272" s="48"/>
      <c r="DM272" s="48"/>
      <c r="DN272" s="48"/>
      <c r="DO272" s="48"/>
      <c r="DP272" s="48"/>
      <c r="DQ272" s="48"/>
      <c r="DR272" s="48"/>
      <c r="DS272" s="48"/>
    </row>
    <row r="273" spans="1:123" ht="15">
      <c r="A273"/>
      <c r="B273"/>
      <c r="C273"/>
      <c r="D273"/>
      <c r="E273"/>
      <c r="F273"/>
      <c r="G273"/>
      <c r="H273"/>
      <c r="I273"/>
      <c r="J273"/>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8"/>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48"/>
      <c r="CX273" s="48"/>
      <c r="CY273" s="48"/>
      <c r="CZ273" s="48"/>
      <c r="DA273" s="48"/>
      <c r="DB273" s="48"/>
      <c r="DC273" s="48"/>
      <c r="DD273" s="48"/>
      <c r="DE273" s="48"/>
      <c r="DF273" s="48"/>
      <c r="DG273" s="48"/>
      <c r="DH273" s="48"/>
      <c r="DI273" s="48"/>
      <c r="DJ273" s="48"/>
      <c r="DK273" s="48"/>
      <c r="DL273" s="48"/>
      <c r="DM273" s="48"/>
      <c r="DN273" s="48"/>
      <c r="DO273" s="48"/>
      <c r="DP273" s="48"/>
      <c r="DQ273" s="48"/>
      <c r="DR273" s="48"/>
      <c r="DS273" s="48"/>
    </row>
    <row r="274" spans="1:123" ht="15">
      <c r="A274"/>
      <c r="B274"/>
      <c r="C274"/>
      <c r="D274"/>
      <c r="E274"/>
      <c r="F274"/>
      <c r="G274"/>
      <c r="H274"/>
      <c r="I274"/>
      <c r="J274"/>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c r="BQ274" s="48"/>
      <c r="BR274" s="48"/>
      <c r="BS274" s="48"/>
      <c r="BT274" s="48"/>
      <c r="BU274" s="48"/>
      <c r="BV274" s="48"/>
      <c r="BW274" s="48"/>
      <c r="BX274" s="48"/>
      <c r="BY274" s="48"/>
      <c r="BZ274" s="48"/>
      <c r="CA274" s="48"/>
      <c r="CB274" s="48"/>
      <c r="CC274" s="48"/>
      <c r="CD274" s="48"/>
      <c r="CE274" s="48"/>
      <c r="CF274" s="48"/>
      <c r="CG274" s="48"/>
      <c r="CH274" s="48"/>
      <c r="CI274" s="48"/>
      <c r="CJ274" s="48"/>
      <c r="CK274" s="48"/>
      <c r="CL274" s="48"/>
      <c r="CM274" s="48"/>
      <c r="CN274" s="48"/>
      <c r="CO274" s="48"/>
      <c r="CP274" s="48"/>
      <c r="CQ274" s="48"/>
      <c r="CR274" s="48"/>
      <c r="CS274" s="48"/>
      <c r="CT274" s="48"/>
      <c r="CU274" s="48"/>
      <c r="CV274" s="48"/>
      <c r="CW274" s="48"/>
      <c r="CX274" s="48"/>
      <c r="CY274" s="48"/>
      <c r="CZ274" s="48"/>
      <c r="DA274" s="48"/>
      <c r="DB274" s="48"/>
      <c r="DC274" s="48"/>
      <c r="DD274" s="48"/>
      <c r="DE274" s="48"/>
      <c r="DF274" s="48"/>
      <c r="DG274" s="48"/>
      <c r="DH274" s="48"/>
      <c r="DI274" s="48"/>
      <c r="DJ274" s="48"/>
      <c r="DK274" s="48"/>
      <c r="DL274" s="48"/>
      <c r="DM274" s="48"/>
      <c r="DN274" s="48"/>
      <c r="DO274" s="48"/>
      <c r="DP274" s="48"/>
      <c r="DQ274" s="48"/>
      <c r="DR274" s="48"/>
      <c r="DS274" s="48"/>
    </row>
    <row r="275" spans="1:123" ht="15">
      <c r="A275"/>
      <c r="B275"/>
      <c r="C275"/>
      <c r="D275"/>
      <c r="E275"/>
      <c r="F275"/>
      <c r="G275"/>
      <c r="H275"/>
      <c r="I275"/>
      <c r="J275"/>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c r="BM275" s="48"/>
      <c r="BN275" s="48"/>
      <c r="BO275" s="48"/>
      <c r="BP275" s="48"/>
      <c r="BQ275" s="48"/>
      <c r="BR275" s="48"/>
      <c r="BS275" s="48"/>
      <c r="BT275" s="48"/>
      <c r="BU275" s="48"/>
      <c r="BV275" s="48"/>
      <c r="BW275" s="48"/>
      <c r="BX275" s="48"/>
      <c r="BY275" s="48"/>
      <c r="BZ275" s="48"/>
      <c r="CA275" s="48"/>
      <c r="CB275" s="48"/>
      <c r="CC275" s="48"/>
      <c r="CD275" s="48"/>
      <c r="CE275" s="48"/>
      <c r="CF275" s="48"/>
      <c r="CG275" s="48"/>
      <c r="CH275" s="48"/>
      <c r="CI275" s="48"/>
      <c r="CJ275" s="48"/>
      <c r="CK275" s="48"/>
      <c r="CL275" s="48"/>
      <c r="CM275" s="48"/>
      <c r="CN275" s="48"/>
      <c r="CO275" s="48"/>
      <c r="CP275" s="48"/>
      <c r="CQ275" s="48"/>
      <c r="CR275" s="48"/>
      <c r="CS275" s="48"/>
      <c r="CT275" s="48"/>
      <c r="CU275" s="48"/>
      <c r="CV275" s="48"/>
      <c r="CW275" s="48"/>
      <c r="CX275" s="48"/>
      <c r="CY275" s="48"/>
      <c r="CZ275" s="48"/>
      <c r="DA275" s="48"/>
      <c r="DB275" s="48"/>
      <c r="DC275" s="48"/>
      <c r="DD275" s="48"/>
      <c r="DE275" s="48"/>
      <c r="DF275" s="48"/>
      <c r="DG275" s="48"/>
      <c r="DH275" s="48"/>
      <c r="DI275" s="48"/>
      <c r="DJ275" s="48"/>
      <c r="DK275" s="48"/>
      <c r="DL275" s="48"/>
      <c r="DM275" s="48"/>
      <c r="DN275" s="48"/>
      <c r="DO275" s="48"/>
      <c r="DP275" s="48"/>
      <c r="DQ275" s="48"/>
      <c r="DR275" s="48"/>
      <c r="DS275" s="48"/>
    </row>
    <row r="276" spans="1:123" ht="15">
      <c r="A276"/>
      <c r="B276"/>
      <c r="C276"/>
      <c r="D276"/>
      <c r="E276"/>
      <c r="F276"/>
      <c r="G276"/>
      <c r="H276"/>
      <c r="I276"/>
      <c r="J276"/>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8"/>
      <c r="BK276" s="48"/>
      <c r="BL276" s="48"/>
      <c r="BM276" s="48"/>
      <c r="BN276" s="48"/>
      <c r="BO276" s="48"/>
      <c r="BP276" s="48"/>
      <c r="BQ276" s="48"/>
      <c r="BR276" s="48"/>
      <c r="BS276" s="48"/>
      <c r="BT276" s="48"/>
      <c r="BU276" s="48"/>
      <c r="BV276" s="48"/>
      <c r="BW276" s="48"/>
      <c r="BX276" s="48"/>
      <c r="BY276" s="48"/>
      <c r="BZ276" s="48"/>
      <c r="CA276" s="48"/>
      <c r="CB276" s="48"/>
      <c r="CC276" s="48"/>
      <c r="CD276" s="48"/>
      <c r="CE276" s="48"/>
      <c r="CF276" s="48"/>
      <c r="CG276" s="48"/>
      <c r="CH276" s="48"/>
      <c r="CI276" s="48"/>
      <c r="CJ276" s="48"/>
      <c r="CK276" s="48"/>
      <c r="CL276" s="48"/>
      <c r="CM276" s="48"/>
      <c r="CN276" s="48"/>
      <c r="CO276" s="48"/>
      <c r="CP276" s="48"/>
      <c r="CQ276" s="48"/>
      <c r="CR276" s="48"/>
      <c r="CS276" s="48"/>
      <c r="CT276" s="48"/>
      <c r="CU276" s="48"/>
      <c r="CV276" s="48"/>
      <c r="CW276" s="48"/>
      <c r="CX276" s="48"/>
      <c r="CY276" s="48"/>
      <c r="CZ276" s="48"/>
      <c r="DA276" s="48"/>
      <c r="DB276" s="48"/>
      <c r="DC276" s="48"/>
      <c r="DD276" s="48"/>
      <c r="DE276" s="48"/>
      <c r="DF276" s="48"/>
      <c r="DG276" s="48"/>
      <c r="DH276" s="48"/>
      <c r="DI276" s="48"/>
      <c r="DJ276" s="48"/>
      <c r="DK276" s="48"/>
      <c r="DL276" s="48"/>
      <c r="DM276" s="48"/>
      <c r="DN276" s="48"/>
      <c r="DO276" s="48"/>
      <c r="DP276" s="48"/>
      <c r="DQ276" s="48"/>
      <c r="DR276" s="48"/>
      <c r="DS276" s="48"/>
    </row>
    <row r="277" spans="1:123" ht="15">
      <c r="A277"/>
      <c r="B277"/>
      <c r="C277"/>
      <c r="D277"/>
      <c r="E277"/>
      <c r="F277"/>
      <c r="G277"/>
      <c r="H277"/>
      <c r="I277"/>
      <c r="J277"/>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8"/>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48"/>
      <c r="CX277" s="48"/>
      <c r="CY277" s="48"/>
      <c r="CZ277" s="48"/>
      <c r="DA277" s="48"/>
      <c r="DB277" s="48"/>
      <c r="DC277" s="48"/>
      <c r="DD277" s="48"/>
      <c r="DE277" s="48"/>
      <c r="DF277" s="48"/>
      <c r="DG277" s="48"/>
      <c r="DH277" s="48"/>
      <c r="DI277" s="48"/>
      <c r="DJ277" s="48"/>
      <c r="DK277" s="48"/>
      <c r="DL277" s="48"/>
      <c r="DM277" s="48"/>
      <c r="DN277" s="48"/>
      <c r="DO277" s="48"/>
      <c r="DP277" s="48"/>
      <c r="DQ277" s="48"/>
      <c r="DR277" s="48"/>
      <c r="DS277" s="48"/>
    </row>
    <row r="278" spans="1:123" ht="15">
      <c r="A278"/>
      <c r="B278"/>
      <c r="C278"/>
      <c r="D278"/>
      <c r="E278"/>
      <c r="F278"/>
      <c r="G278"/>
      <c r="H278"/>
      <c r="I278"/>
      <c r="J27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48"/>
      <c r="BH278" s="48"/>
      <c r="BI278" s="48"/>
      <c r="BJ278" s="48"/>
      <c r="BK278" s="48"/>
      <c r="BL278" s="48"/>
      <c r="BM278" s="48"/>
      <c r="BN278" s="48"/>
      <c r="BO278" s="48"/>
      <c r="BP278" s="48"/>
      <c r="BQ278" s="48"/>
      <c r="BR278" s="48"/>
      <c r="BS278" s="48"/>
      <c r="BT278" s="48"/>
      <c r="BU278" s="48"/>
      <c r="BV278" s="48"/>
      <c r="BW278" s="48"/>
      <c r="BX278" s="48"/>
      <c r="BY278" s="48"/>
      <c r="BZ278" s="48"/>
      <c r="CA278" s="48"/>
      <c r="CB278" s="48"/>
      <c r="CC278" s="48"/>
      <c r="CD278" s="48"/>
      <c r="CE278" s="48"/>
      <c r="CF278" s="48"/>
      <c r="CG278" s="48"/>
      <c r="CH278" s="48"/>
      <c r="CI278" s="48"/>
      <c r="CJ278" s="48"/>
      <c r="CK278" s="48"/>
      <c r="CL278" s="48"/>
      <c r="CM278" s="48"/>
      <c r="CN278" s="48"/>
      <c r="CO278" s="48"/>
      <c r="CP278" s="48"/>
      <c r="CQ278" s="48"/>
      <c r="CR278" s="48"/>
      <c r="CS278" s="48"/>
      <c r="CT278" s="48"/>
      <c r="CU278" s="48"/>
      <c r="CV278" s="48"/>
      <c r="CW278" s="48"/>
      <c r="CX278" s="48"/>
      <c r="CY278" s="48"/>
      <c r="CZ278" s="48"/>
      <c r="DA278" s="48"/>
      <c r="DB278" s="48"/>
      <c r="DC278" s="48"/>
      <c r="DD278" s="48"/>
      <c r="DE278" s="48"/>
      <c r="DF278" s="48"/>
      <c r="DG278" s="48"/>
      <c r="DH278" s="48"/>
      <c r="DI278" s="48"/>
      <c r="DJ278" s="48"/>
      <c r="DK278" s="48"/>
      <c r="DL278" s="48"/>
      <c r="DM278" s="48"/>
      <c r="DN278" s="48"/>
      <c r="DO278" s="48"/>
      <c r="DP278" s="48"/>
      <c r="DQ278" s="48"/>
      <c r="DR278" s="48"/>
      <c r="DS278" s="48"/>
    </row>
    <row r="279" spans="1:123" ht="15">
      <c r="A279"/>
      <c r="B279"/>
      <c r="C279"/>
      <c r="D279"/>
      <c r="E279"/>
      <c r="F279"/>
      <c r="G279"/>
      <c r="H279"/>
      <c r="I279"/>
      <c r="J279"/>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8"/>
      <c r="BJ279" s="48"/>
      <c r="BK279" s="48"/>
      <c r="BL279" s="48"/>
      <c r="BM279" s="48"/>
      <c r="BN279" s="48"/>
      <c r="BO279" s="48"/>
      <c r="BP279" s="48"/>
      <c r="BQ279" s="48"/>
      <c r="BR279" s="48"/>
      <c r="BS279" s="48"/>
      <c r="BT279" s="48"/>
      <c r="BU279" s="48"/>
      <c r="BV279" s="48"/>
      <c r="BW279" s="48"/>
      <c r="BX279" s="48"/>
      <c r="BY279" s="48"/>
      <c r="BZ279" s="48"/>
      <c r="CA279" s="48"/>
      <c r="CB279" s="48"/>
      <c r="CC279" s="48"/>
      <c r="CD279" s="48"/>
      <c r="CE279" s="48"/>
      <c r="CF279" s="48"/>
      <c r="CG279" s="48"/>
      <c r="CH279" s="48"/>
      <c r="CI279" s="48"/>
      <c r="CJ279" s="48"/>
      <c r="CK279" s="48"/>
      <c r="CL279" s="48"/>
      <c r="CM279" s="48"/>
      <c r="CN279" s="48"/>
      <c r="CO279" s="48"/>
      <c r="CP279" s="48"/>
      <c r="CQ279" s="48"/>
      <c r="CR279" s="48"/>
      <c r="CS279" s="48"/>
      <c r="CT279" s="48"/>
      <c r="CU279" s="48"/>
      <c r="CV279" s="48"/>
      <c r="CW279" s="48"/>
      <c r="CX279" s="48"/>
      <c r="CY279" s="48"/>
      <c r="CZ279" s="48"/>
      <c r="DA279" s="48"/>
      <c r="DB279" s="48"/>
      <c r="DC279" s="48"/>
      <c r="DD279" s="48"/>
      <c r="DE279" s="48"/>
      <c r="DF279" s="48"/>
      <c r="DG279" s="48"/>
      <c r="DH279" s="48"/>
      <c r="DI279" s="48"/>
      <c r="DJ279" s="48"/>
      <c r="DK279" s="48"/>
      <c r="DL279" s="48"/>
      <c r="DM279" s="48"/>
      <c r="DN279" s="48"/>
      <c r="DO279" s="48"/>
      <c r="DP279" s="48"/>
      <c r="DQ279" s="48"/>
      <c r="DR279" s="48"/>
      <c r="DS279" s="48"/>
    </row>
    <row r="280" spans="1:123" ht="15">
      <c r="A280"/>
      <c r="B280"/>
      <c r="C280"/>
      <c r="D280"/>
      <c r="E280"/>
      <c r="F280"/>
      <c r="G280"/>
      <c r="H280"/>
      <c r="I280"/>
      <c r="J280"/>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8"/>
      <c r="BK280" s="48"/>
      <c r="BL280" s="48"/>
      <c r="BM280" s="48"/>
      <c r="BN280" s="48"/>
      <c r="BO280" s="48"/>
      <c r="BP280" s="48"/>
      <c r="BQ280" s="48"/>
      <c r="BR280" s="48"/>
      <c r="BS280" s="48"/>
      <c r="BT280" s="48"/>
      <c r="BU280" s="48"/>
      <c r="BV280" s="48"/>
      <c r="BW280" s="48"/>
      <c r="BX280" s="48"/>
      <c r="BY280" s="48"/>
      <c r="BZ280" s="48"/>
      <c r="CA280" s="48"/>
      <c r="CB280" s="48"/>
      <c r="CC280" s="48"/>
      <c r="CD280" s="48"/>
      <c r="CE280" s="48"/>
      <c r="CF280" s="48"/>
      <c r="CG280" s="48"/>
      <c r="CH280" s="48"/>
      <c r="CI280" s="48"/>
      <c r="CJ280" s="48"/>
      <c r="CK280" s="48"/>
      <c r="CL280" s="48"/>
      <c r="CM280" s="48"/>
      <c r="CN280" s="48"/>
      <c r="CO280" s="48"/>
      <c r="CP280" s="48"/>
      <c r="CQ280" s="48"/>
      <c r="CR280" s="48"/>
      <c r="CS280" s="48"/>
      <c r="CT280" s="48"/>
      <c r="CU280" s="48"/>
      <c r="CV280" s="48"/>
      <c r="CW280" s="48"/>
      <c r="CX280" s="48"/>
      <c r="CY280" s="48"/>
      <c r="CZ280" s="48"/>
      <c r="DA280" s="48"/>
      <c r="DB280" s="48"/>
      <c r="DC280" s="48"/>
      <c r="DD280" s="48"/>
      <c r="DE280" s="48"/>
      <c r="DF280" s="48"/>
      <c r="DG280" s="48"/>
      <c r="DH280" s="48"/>
      <c r="DI280" s="48"/>
      <c r="DJ280" s="48"/>
      <c r="DK280" s="48"/>
      <c r="DL280" s="48"/>
      <c r="DM280" s="48"/>
      <c r="DN280" s="48"/>
      <c r="DO280" s="48"/>
      <c r="DP280" s="48"/>
      <c r="DQ280" s="48"/>
      <c r="DR280" s="48"/>
      <c r="DS280" s="48"/>
    </row>
    <row r="281" spans="1:123" ht="15">
      <c r="A281"/>
      <c r="B281"/>
      <c r="C281"/>
      <c r="D281"/>
      <c r="E281"/>
      <c r="F281"/>
      <c r="G281"/>
      <c r="H281"/>
      <c r="I281"/>
      <c r="J281"/>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48"/>
      <c r="BH281" s="48"/>
      <c r="BI281" s="48"/>
      <c r="BJ281" s="48"/>
      <c r="BK281" s="48"/>
      <c r="BL281" s="48"/>
      <c r="BM281" s="48"/>
      <c r="BN281" s="48"/>
      <c r="BO281" s="48"/>
      <c r="BP281" s="48"/>
      <c r="BQ281" s="48"/>
      <c r="BR281" s="48"/>
      <c r="BS281" s="48"/>
      <c r="BT281" s="48"/>
      <c r="BU281" s="48"/>
      <c r="BV281" s="48"/>
      <c r="BW281" s="48"/>
      <c r="BX281" s="48"/>
      <c r="BY281" s="48"/>
      <c r="BZ281" s="48"/>
      <c r="CA281" s="48"/>
      <c r="CB281" s="48"/>
      <c r="CC281" s="48"/>
      <c r="CD281" s="48"/>
      <c r="CE281" s="48"/>
      <c r="CF281" s="48"/>
      <c r="CG281" s="48"/>
      <c r="CH281" s="48"/>
      <c r="CI281" s="48"/>
      <c r="CJ281" s="48"/>
      <c r="CK281" s="48"/>
      <c r="CL281" s="48"/>
      <c r="CM281" s="48"/>
      <c r="CN281" s="48"/>
      <c r="CO281" s="48"/>
      <c r="CP281" s="48"/>
      <c r="CQ281" s="48"/>
      <c r="CR281" s="48"/>
      <c r="CS281" s="48"/>
      <c r="CT281" s="48"/>
      <c r="CU281" s="48"/>
      <c r="CV281" s="48"/>
      <c r="CW281" s="48"/>
      <c r="CX281" s="48"/>
      <c r="CY281" s="48"/>
      <c r="CZ281" s="48"/>
      <c r="DA281" s="48"/>
      <c r="DB281" s="48"/>
      <c r="DC281" s="48"/>
      <c r="DD281" s="48"/>
      <c r="DE281" s="48"/>
      <c r="DF281" s="48"/>
      <c r="DG281" s="48"/>
      <c r="DH281" s="48"/>
      <c r="DI281" s="48"/>
      <c r="DJ281" s="48"/>
      <c r="DK281" s="48"/>
      <c r="DL281" s="48"/>
      <c r="DM281" s="48"/>
      <c r="DN281" s="48"/>
      <c r="DO281" s="48"/>
      <c r="DP281" s="48"/>
      <c r="DQ281" s="48"/>
      <c r="DR281" s="48"/>
      <c r="DS281" s="48"/>
    </row>
    <row r="282" spans="1:123" ht="15">
      <c r="A282"/>
      <c r="B282"/>
      <c r="C282"/>
      <c r="D282"/>
      <c r="E282"/>
      <c r="F282"/>
      <c r="G282"/>
      <c r="H282"/>
      <c r="I282"/>
      <c r="J282"/>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8"/>
      <c r="BJ282" s="48"/>
      <c r="BK282" s="48"/>
      <c r="BL282" s="48"/>
      <c r="BM282" s="48"/>
      <c r="BN282" s="48"/>
      <c r="BO282" s="48"/>
      <c r="BP282" s="48"/>
      <c r="BQ282" s="48"/>
      <c r="BR282" s="48"/>
      <c r="BS282" s="48"/>
      <c r="BT282" s="48"/>
      <c r="BU282" s="48"/>
      <c r="BV282" s="48"/>
      <c r="BW282" s="48"/>
      <c r="BX282" s="48"/>
      <c r="BY282" s="48"/>
      <c r="BZ282" s="48"/>
      <c r="CA282" s="48"/>
      <c r="CB282" s="48"/>
      <c r="CC282" s="48"/>
      <c r="CD282" s="48"/>
      <c r="CE282" s="48"/>
      <c r="CF282" s="48"/>
      <c r="CG282" s="48"/>
      <c r="CH282" s="48"/>
      <c r="CI282" s="48"/>
      <c r="CJ282" s="48"/>
      <c r="CK282" s="48"/>
      <c r="CL282" s="48"/>
      <c r="CM282" s="48"/>
      <c r="CN282" s="48"/>
      <c r="CO282" s="48"/>
      <c r="CP282" s="48"/>
      <c r="CQ282" s="48"/>
      <c r="CR282" s="48"/>
      <c r="CS282" s="48"/>
      <c r="CT282" s="48"/>
      <c r="CU282" s="48"/>
      <c r="CV282" s="48"/>
      <c r="CW282" s="48"/>
      <c r="CX282" s="48"/>
      <c r="CY282" s="48"/>
      <c r="CZ282" s="48"/>
      <c r="DA282" s="48"/>
      <c r="DB282" s="48"/>
      <c r="DC282" s="48"/>
      <c r="DD282" s="48"/>
      <c r="DE282" s="48"/>
      <c r="DF282" s="48"/>
      <c r="DG282" s="48"/>
      <c r="DH282" s="48"/>
      <c r="DI282" s="48"/>
      <c r="DJ282" s="48"/>
      <c r="DK282" s="48"/>
      <c r="DL282" s="48"/>
      <c r="DM282" s="48"/>
      <c r="DN282" s="48"/>
      <c r="DO282" s="48"/>
      <c r="DP282" s="48"/>
      <c r="DQ282" s="48"/>
      <c r="DR282" s="48"/>
      <c r="DS282" s="48"/>
    </row>
    <row r="283" spans="1:123" ht="15">
      <c r="A283"/>
      <c r="B283"/>
      <c r="C283"/>
      <c r="D283"/>
      <c r="E283"/>
      <c r="F283"/>
      <c r="G283"/>
      <c r="H283"/>
      <c r="I283"/>
      <c r="J283"/>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48"/>
      <c r="BJ283" s="48"/>
      <c r="BK283" s="48"/>
      <c r="BL283" s="48"/>
      <c r="BM283" s="48"/>
      <c r="BN283" s="48"/>
      <c r="BO283" s="48"/>
      <c r="BP283" s="48"/>
      <c r="BQ283" s="48"/>
      <c r="BR283" s="48"/>
      <c r="BS283" s="48"/>
      <c r="BT283" s="48"/>
      <c r="BU283" s="48"/>
      <c r="BV283" s="48"/>
      <c r="BW283" s="48"/>
      <c r="BX283" s="48"/>
      <c r="BY283" s="48"/>
      <c r="BZ283" s="48"/>
      <c r="CA283" s="48"/>
      <c r="CB283" s="48"/>
      <c r="CC283" s="48"/>
      <c r="CD283" s="48"/>
      <c r="CE283" s="48"/>
      <c r="CF283" s="48"/>
      <c r="CG283" s="48"/>
      <c r="CH283" s="48"/>
      <c r="CI283" s="48"/>
      <c r="CJ283" s="48"/>
      <c r="CK283" s="48"/>
      <c r="CL283" s="48"/>
      <c r="CM283" s="48"/>
      <c r="CN283" s="48"/>
      <c r="CO283" s="48"/>
      <c r="CP283" s="48"/>
      <c r="CQ283" s="48"/>
      <c r="CR283" s="48"/>
      <c r="CS283" s="48"/>
      <c r="CT283" s="48"/>
      <c r="CU283" s="48"/>
      <c r="CV283" s="48"/>
      <c r="CW283" s="48"/>
      <c r="CX283" s="48"/>
      <c r="CY283" s="48"/>
      <c r="CZ283" s="48"/>
      <c r="DA283" s="48"/>
      <c r="DB283" s="48"/>
      <c r="DC283" s="48"/>
      <c r="DD283" s="48"/>
      <c r="DE283" s="48"/>
      <c r="DF283" s="48"/>
      <c r="DG283" s="48"/>
      <c r="DH283" s="48"/>
      <c r="DI283" s="48"/>
      <c r="DJ283" s="48"/>
      <c r="DK283" s="48"/>
      <c r="DL283" s="48"/>
      <c r="DM283" s="48"/>
      <c r="DN283" s="48"/>
      <c r="DO283" s="48"/>
      <c r="DP283" s="48"/>
      <c r="DQ283" s="48"/>
      <c r="DR283" s="48"/>
      <c r="DS283" s="48"/>
    </row>
    <row r="284" spans="1:123" ht="15">
      <c r="A284"/>
      <c r="B284"/>
      <c r="C284"/>
      <c r="D284"/>
      <c r="E284"/>
      <c r="F284"/>
      <c r="G284"/>
      <c r="H284"/>
      <c r="I284"/>
      <c r="J284"/>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c r="AX284" s="48"/>
      <c r="AY284" s="48"/>
      <c r="AZ284" s="48"/>
      <c r="BA284" s="48"/>
      <c r="BB284" s="48"/>
      <c r="BC284" s="48"/>
      <c r="BD284" s="48"/>
      <c r="BE284" s="48"/>
      <c r="BF284" s="48"/>
      <c r="BG284" s="48"/>
      <c r="BH284" s="48"/>
      <c r="BI284" s="48"/>
      <c r="BJ284" s="48"/>
      <c r="BK284" s="48"/>
      <c r="BL284" s="48"/>
      <c r="BM284" s="48"/>
      <c r="BN284" s="48"/>
      <c r="BO284" s="48"/>
      <c r="BP284" s="48"/>
      <c r="BQ284" s="48"/>
      <c r="BR284" s="48"/>
      <c r="BS284" s="48"/>
      <c r="BT284" s="48"/>
      <c r="BU284" s="48"/>
      <c r="BV284" s="48"/>
      <c r="BW284" s="48"/>
      <c r="BX284" s="48"/>
      <c r="BY284" s="48"/>
      <c r="BZ284" s="48"/>
      <c r="CA284" s="48"/>
      <c r="CB284" s="48"/>
      <c r="CC284" s="48"/>
      <c r="CD284" s="48"/>
      <c r="CE284" s="48"/>
      <c r="CF284" s="48"/>
      <c r="CG284" s="48"/>
      <c r="CH284" s="48"/>
      <c r="CI284" s="48"/>
      <c r="CJ284" s="48"/>
      <c r="CK284" s="48"/>
      <c r="CL284" s="48"/>
      <c r="CM284" s="48"/>
      <c r="CN284" s="48"/>
      <c r="CO284" s="48"/>
      <c r="CP284" s="48"/>
      <c r="CQ284" s="48"/>
      <c r="CR284" s="48"/>
      <c r="CS284" s="48"/>
      <c r="CT284" s="48"/>
      <c r="CU284" s="48"/>
      <c r="CV284" s="48"/>
      <c r="CW284" s="48"/>
      <c r="CX284" s="48"/>
      <c r="CY284" s="48"/>
      <c r="CZ284" s="48"/>
      <c r="DA284" s="48"/>
      <c r="DB284" s="48"/>
      <c r="DC284" s="48"/>
      <c r="DD284" s="48"/>
      <c r="DE284" s="48"/>
      <c r="DF284" s="48"/>
      <c r="DG284" s="48"/>
      <c r="DH284" s="48"/>
      <c r="DI284" s="48"/>
      <c r="DJ284" s="48"/>
      <c r="DK284" s="48"/>
      <c r="DL284" s="48"/>
      <c r="DM284" s="48"/>
      <c r="DN284" s="48"/>
      <c r="DO284" s="48"/>
      <c r="DP284" s="48"/>
      <c r="DQ284" s="48"/>
      <c r="DR284" s="48"/>
      <c r="DS284" s="48"/>
    </row>
    <row r="285" spans="1:123" ht="15">
      <c r="A285"/>
      <c r="B285"/>
      <c r="C285"/>
      <c r="D285"/>
      <c r="E285"/>
      <c r="F285"/>
      <c r="G285"/>
      <c r="H285"/>
      <c r="I285"/>
      <c r="J285"/>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48"/>
      <c r="BJ285" s="48"/>
      <c r="BK285" s="48"/>
      <c r="BL285" s="48"/>
      <c r="BM285" s="48"/>
      <c r="BN285" s="48"/>
      <c r="BO285" s="48"/>
      <c r="BP285" s="48"/>
      <c r="BQ285" s="48"/>
      <c r="BR285" s="48"/>
      <c r="BS285" s="48"/>
      <c r="BT285" s="48"/>
      <c r="BU285" s="48"/>
      <c r="BV285" s="48"/>
      <c r="BW285" s="48"/>
      <c r="BX285" s="48"/>
      <c r="BY285" s="48"/>
      <c r="BZ285" s="48"/>
      <c r="CA285" s="48"/>
      <c r="CB285" s="48"/>
      <c r="CC285" s="48"/>
      <c r="CD285" s="48"/>
      <c r="CE285" s="48"/>
      <c r="CF285" s="48"/>
      <c r="CG285" s="48"/>
      <c r="CH285" s="48"/>
      <c r="CI285" s="48"/>
      <c r="CJ285" s="48"/>
      <c r="CK285" s="48"/>
      <c r="CL285" s="48"/>
      <c r="CM285" s="48"/>
      <c r="CN285" s="48"/>
      <c r="CO285" s="48"/>
      <c r="CP285" s="48"/>
      <c r="CQ285" s="48"/>
      <c r="CR285" s="48"/>
      <c r="CS285" s="48"/>
      <c r="CT285" s="48"/>
      <c r="CU285" s="48"/>
      <c r="CV285" s="48"/>
      <c r="CW285" s="48"/>
      <c r="CX285" s="48"/>
      <c r="CY285" s="48"/>
      <c r="CZ285" s="48"/>
      <c r="DA285" s="48"/>
      <c r="DB285" s="48"/>
      <c r="DC285" s="48"/>
      <c r="DD285" s="48"/>
      <c r="DE285" s="48"/>
      <c r="DF285" s="48"/>
      <c r="DG285" s="48"/>
      <c r="DH285" s="48"/>
      <c r="DI285" s="48"/>
      <c r="DJ285" s="48"/>
      <c r="DK285" s="48"/>
      <c r="DL285" s="48"/>
      <c r="DM285" s="48"/>
      <c r="DN285" s="48"/>
      <c r="DO285" s="48"/>
      <c r="DP285" s="48"/>
      <c r="DQ285" s="48"/>
      <c r="DR285" s="48"/>
      <c r="DS285" s="48"/>
    </row>
    <row r="286" spans="1:123" ht="15">
      <c r="A286"/>
      <c r="B286"/>
      <c r="C286"/>
      <c r="D286"/>
      <c r="E286"/>
      <c r="F286"/>
      <c r="G286"/>
      <c r="H286"/>
      <c r="I286"/>
      <c r="J286"/>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8"/>
      <c r="BJ286" s="48"/>
      <c r="BK286" s="48"/>
      <c r="BL286" s="48"/>
      <c r="BM286" s="48"/>
      <c r="BN286" s="48"/>
      <c r="BO286" s="48"/>
      <c r="BP286" s="48"/>
      <c r="BQ286" s="48"/>
      <c r="BR286" s="48"/>
      <c r="BS286" s="48"/>
      <c r="BT286" s="48"/>
      <c r="BU286" s="48"/>
      <c r="BV286" s="48"/>
      <c r="BW286" s="48"/>
      <c r="BX286" s="48"/>
      <c r="BY286" s="48"/>
      <c r="BZ286" s="48"/>
      <c r="CA286" s="48"/>
      <c r="CB286" s="48"/>
      <c r="CC286" s="48"/>
      <c r="CD286" s="48"/>
      <c r="CE286" s="48"/>
      <c r="CF286" s="48"/>
      <c r="CG286" s="48"/>
      <c r="CH286" s="48"/>
      <c r="CI286" s="48"/>
      <c r="CJ286" s="48"/>
      <c r="CK286" s="48"/>
      <c r="CL286" s="48"/>
      <c r="CM286" s="48"/>
      <c r="CN286" s="48"/>
      <c r="CO286" s="48"/>
      <c r="CP286" s="48"/>
      <c r="CQ286" s="48"/>
      <c r="CR286" s="48"/>
      <c r="CS286" s="48"/>
      <c r="CT286" s="48"/>
      <c r="CU286" s="48"/>
      <c r="CV286" s="48"/>
      <c r="CW286" s="48"/>
      <c r="CX286" s="48"/>
      <c r="CY286" s="48"/>
      <c r="CZ286" s="48"/>
      <c r="DA286" s="48"/>
      <c r="DB286" s="48"/>
      <c r="DC286" s="48"/>
      <c r="DD286" s="48"/>
      <c r="DE286" s="48"/>
      <c r="DF286" s="48"/>
      <c r="DG286" s="48"/>
      <c r="DH286" s="48"/>
      <c r="DI286" s="48"/>
      <c r="DJ286" s="48"/>
      <c r="DK286" s="48"/>
      <c r="DL286" s="48"/>
      <c r="DM286" s="48"/>
      <c r="DN286" s="48"/>
      <c r="DO286" s="48"/>
      <c r="DP286" s="48"/>
      <c r="DQ286" s="48"/>
      <c r="DR286" s="48"/>
      <c r="DS286" s="48"/>
    </row>
    <row r="287" spans="1:123" ht="15">
      <c r="A287"/>
      <c r="B287"/>
      <c r="C287"/>
      <c r="D287"/>
      <c r="E287"/>
      <c r="F287"/>
      <c r="G287"/>
      <c r="H287"/>
      <c r="I287"/>
      <c r="J287"/>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c r="BM287" s="48"/>
      <c r="BN287" s="48"/>
      <c r="BO287" s="48"/>
      <c r="BP287" s="48"/>
      <c r="BQ287" s="48"/>
      <c r="BR287" s="48"/>
      <c r="BS287" s="48"/>
      <c r="BT287" s="48"/>
      <c r="BU287" s="48"/>
      <c r="BV287" s="48"/>
      <c r="BW287" s="48"/>
      <c r="BX287" s="48"/>
      <c r="BY287" s="48"/>
      <c r="BZ287" s="48"/>
      <c r="CA287" s="48"/>
      <c r="CB287" s="48"/>
      <c r="CC287" s="48"/>
      <c r="CD287" s="48"/>
      <c r="CE287" s="48"/>
      <c r="CF287" s="48"/>
      <c r="CG287" s="48"/>
      <c r="CH287" s="48"/>
      <c r="CI287" s="48"/>
      <c r="CJ287" s="48"/>
      <c r="CK287" s="48"/>
      <c r="CL287" s="48"/>
      <c r="CM287" s="48"/>
      <c r="CN287" s="48"/>
      <c r="CO287" s="48"/>
      <c r="CP287" s="48"/>
      <c r="CQ287" s="48"/>
      <c r="CR287" s="48"/>
      <c r="CS287" s="48"/>
      <c r="CT287" s="48"/>
      <c r="CU287" s="48"/>
      <c r="CV287" s="48"/>
      <c r="CW287" s="48"/>
      <c r="CX287" s="48"/>
      <c r="CY287" s="48"/>
      <c r="CZ287" s="48"/>
      <c r="DA287" s="48"/>
      <c r="DB287" s="48"/>
      <c r="DC287" s="48"/>
      <c r="DD287" s="48"/>
      <c r="DE287" s="48"/>
      <c r="DF287" s="48"/>
      <c r="DG287" s="48"/>
      <c r="DH287" s="48"/>
      <c r="DI287" s="48"/>
      <c r="DJ287" s="48"/>
      <c r="DK287" s="48"/>
      <c r="DL287" s="48"/>
      <c r="DM287" s="48"/>
      <c r="DN287" s="48"/>
      <c r="DO287" s="48"/>
      <c r="DP287" s="48"/>
      <c r="DQ287" s="48"/>
      <c r="DR287" s="48"/>
      <c r="DS287" s="48"/>
    </row>
    <row r="288" spans="1:123" ht="15">
      <c r="A288"/>
      <c r="B288"/>
      <c r="C288"/>
      <c r="D288"/>
      <c r="E288"/>
      <c r="F288"/>
      <c r="G288"/>
      <c r="H288"/>
      <c r="I288"/>
      <c r="J28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c r="AX288" s="48"/>
      <c r="AY288" s="48"/>
      <c r="AZ288" s="48"/>
      <c r="BA288" s="48"/>
      <c r="BB288" s="48"/>
      <c r="BC288" s="48"/>
      <c r="BD288" s="48"/>
      <c r="BE288" s="48"/>
      <c r="BF288" s="48"/>
      <c r="BG288" s="48"/>
      <c r="BH288" s="48"/>
      <c r="BI288" s="48"/>
      <c r="BJ288" s="48"/>
      <c r="BK288" s="48"/>
      <c r="BL288" s="48"/>
      <c r="BM288" s="48"/>
      <c r="BN288" s="48"/>
      <c r="BO288" s="48"/>
      <c r="BP288" s="48"/>
      <c r="BQ288" s="48"/>
      <c r="BR288" s="48"/>
      <c r="BS288" s="48"/>
      <c r="BT288" s="48"/>
      <c r="BU288" s="48"/>
      <c r="BV288" s="48"/>
      <c r="BW288" s="48"/>
      <c r="BX288" s="48"/>
      <c r="BY288" s="48"/>
      <c r="BZ288" s="48"/>
      <c r="CA288" s="48"/>
      <c r="CB288" s="48"/>
      <c r="CC288" s="48"/>
      <c r="CD288" s="48"/>
      <c r="CE288" s="48"/>
      <c r="CF288" s="48"/>
      <c r="CG288" s="48"/>
      <c r="CH288" s="48"/>
      <c r="CI288" s="48"/>
      <c r="CJ288" s="48"/>
      <c r="CK288" s="48"/>
      <c r="CL288" s="48"/>
      <c r="CM288" s="48"/>
      <c r="CN288" s="48"/>
      <c r="CO288" s="48"/>
      <c r="CP288" s="48"/>
      <c r="CQ288" s="48"/>
      <c r="CR288" s="48"/>
      <c r="CS288" s="48"/>
      <c r="CT288" s="48"/>
      <c r="CU288" s="48"/>
      <c r="CV288" s="48"/>
      <c r="CW288" s="48"/>
      <c r="CX288" s="48"/>
      <c r="CY288" s="48"/>
      <c r="CZ288" s="48"/>
      <c r="DA288" s="48"/>
      <c r="DB288" s="48"/>
      <c r="DC288" s="48"/>
      <c r="DD288" s="48"/>
      <c r="DE288" s="48"/>
      <c r="DF288" s="48"/>
      <c r="DG288" s="48"/>
      <c r="DH288" s="48"/>
      <c r="DI288" s="48"/>
      <c r="DJ288" s="48"/>
      <c r="DK288" s="48"/>
      <c r="DL288" s="48"/>
      <c r="DM288" s="48"/>
      <c r="DN288" s="48"/>
      <c r="DO288" s="48"/>
      <c r="DP288" s="48"/>
      <c r="DQ288" s="48"/>
      <c r="DR288" s="48"/>
      <c r="DS288" s="48"/>
    </row>
    <row r="289" spans="1:123" ht="15">
      <c r="A289"/>
      <c r="B289"/>
      <c r="C289"/>
      <c r="D289"/>
      <c r="E289"/>
      <c r="F289"/>
      <c r="G289"/>
      <c r="H289"/>
      <c r="I289"/>
      <c r="J289"/>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48"/>
      <c r="BH289" s="48"/>
      <c r="BI289" s="48"/>
      <c r="BJ289" s="48"/>
      <c r="BK289" s="48"/>
      <c r="BL289" s="48"/>
      <c r="BM289" s="48"/>
      <c r="BN289" s="48"/>
      <c r="BO289" s="48"/>
      <c r="BP289" s="48"/>
      <c r="BQ289" s="48"/>
      <c r="BR289" s="48"/>
      <c r="BS289" s="48"/>
      <c r="BT289" s="48"/>
      <c r="BU289" s="48"/>
      <c r="BV289" s="48"/>
      <c r="BW289" s="48"/>
      <c r="BX289" s="48"/>
      <c r="BY289" s="48"/>
      <c r="BZ289" s="48"/>
      <c r="CA289" s="48"/>
      <c r="CB289" s="48"/>
      <c r="CC289" s="48"/>
      <c r="CD289" s="48"/>
      <c r="CE289" s="48"/>
      <c r="CF289" s="48"/>
      <c r="CG289" s="48"/>
      <c r="CH289" s="48"/>
      <c r="CI289" s="48"/>
      <c r="CJ289" s="48"/>
      <c r="CK289" s="48"/>
      <c r="CL289" s="48"/>
      <c r="CM289" s="48"/>
      <c r="CN289" s="48"/>
      <c r="CO289" s="48"/>
      <c r="CP289" s="48"/>
      <c r="CQ289" s="48"/>
      <c r="CR289" s="48"/>
      <c r="CS289" s="48"/>
      <c r="CT289" s="48"/>
      <c r="CU289" s="48"/>
      <c r="CV289" s="48"/>
      <c r="CW289" s="48"/>
      <c r="CX289" s="48"/>
      <c r="CY289" s="48"/>
      <c r="CZ289" s="48"/>
      <c r="DA289" s="48"/>
      <c r="DB289" s="48"/>
      <c r="DC289" s="48"/>
      <c r="DD289" s="48"/>
      <c r="DE289" s="48"/>
      <c r="DF289" s="48"/>
      <c r="DG289" s="48"/>
      <c r="DH289" s="48"/>
      <c r="DI289" s="48"/>
      <c r="DJ289" s="48"/>
      <c r="DK289" s="48"/>
      <c r="DL289" s="48"/>
      <c r="DM289" s="48"/>
      <c r="DN289" s="48"/>
      <c r="DO289" s="48"/>
      <c r="DP289" s="48"/>
      <c r="DQ289" s="48"/>
      <c r="DR289" s="48"/>
      <c r="DS289" s="48"/>
    </row>
    <row r="290" spans="1:123" ht="15">
      <c r="A290"/>
      <c r="B290"/>
      <c r="C290"/>
      <c r="D290"/>
      <c r="E290"/>
      <c r="F290"/>
      <c r="G290"/>
      <c r="H290"/>
      <c r="I290"/>
      <c r="J290"/>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48"/>
      <c r="BH290" s="48"/>
      <c r="BI290" s="48"/>
      <c r="BJ290" s="48"/>
      <c r="BK290" s="48"/>
      <c r="BL290" s="48"/>
      <c r="BM290" s="48"/>
      <c r="BN290" s="48"/>
      <c r="BO290" s="48"/>
      <c r="BP290" s="48"/>
      <c r="BQ290" s="48"/>
      <c r="BR290" s="48"/>
      <c r="BS290" s="48"/>
      <c r="BT290" s="48"/>
      <c r="BU290" s="48"/>
      <c r="BV290" s="48"/>
      <c r="BW290" s="48"/>
      <c r="BX290" s="48"/>
      <c r="BY290" s="48"/>
      <c r="BZ290" s="48"/>
      <c r="CA290" s="48"/>
      <c r="CB290" s="48"/>
      <c r="CC290" s="48"/>
      <c r="CD290" s="48"/>
      <c r="CE290" s="48"/>
      <c r="CF290" s="48"/>
      <c r="CG290" s="48"/>
      <c r="CH290" s="48"/>
      <c r="CI290" s="48"/>
      <c r="CJ290" s="48"/>
      <c r="CK290" s="48"/>
      <c r="CL290" s="48"/>
      <c r="CM290" s="48"/>
      <c r="CN290" s="48"/>
      <c r="CO290" s="48"/>
      <c r="CP290" s="48"/>
      <c r="CQ290" s="48"/>
      <c r="CR290" s="48"/>
      <c r="CS290" s="48"/>
      <c r="CT290" s="48"/>
      <c r="CU290" s="48"/>
      <c r="CV290" s="48"/>
      <c r="CW290" s="48"/>
      <c r="CX290" s="48"/>
      <c r="CY290" s="48"/>
      <c r="CZ290" s="48"/>
      <c r="DA290" s="48"/>
      <c r="DB290" s="48"/>
      <c r="DC290" s="48"/>
      <c r="DD290" s="48"/>
      <c r="DE290" s="48"/>
      <c r="DF290" s="48"/>
      <c r="DG290" s="48"/>
      <c r="DH290" s="48"/>
      <c r="DI290" s="48"/>
      <c r="DJ290" s="48"/>
      <c r="DK290" s="48"/>
      <c r="DL290" s="48"/>
      <c r="DM290" s="48"/>
      <c r="DN290" s="48"/>
      <c r="DO290" s="48"/>
      <c r="DP290" s="48"/>
      <c r="DQ290" s="48"/>
      <c r="DR290" s="48"/>
      <c r="DS290" s="48"/>
    </row>
    <row r="291" spans="1:123" ht="15">
      <c r="A291"/>
      <c r="B291"/>
      <c r="C291"/>
      <c r="D291"/>
      <c r="E291"/>
      <c r="F291"/>
      <c r="G291"/>
      <c r="H291"/>
      <c r="I291"/>
      <c r="J291"/>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8"/>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48"/>
      <c r="CX291" s="48"/>
      <c r="CY291" s="48"/>
      <c r="CZ291" s="48"/>
      <c r="DA291" s="48"/>
      <c r="DB291" s="48"/>
      <c r="DC291" s="48"/>
      <c r="DD291" s="48"/>
      <c r="DE291" s="48"/>
      <c r="DF291" s="48"/>
      <c r="DG291" s="48"/>
      <c r="DH291" s="48"/>
      <c r="DI291" s="48"/>
      <c r="DJ291" s="48"/>
      <c r="DK291" s="48"/>
      <c r="DL291" s="48"/>
      <c r="DM291" s="48"/>
      <c r="DN291" s="48"/>
      <c r="DO291" s="48"/>
      <c r="DP291" s="48"/>
      <c r="DQ291" s="48"/>
      <c r="DR291" s="48"/>
      <c r="DS291" s="48"/>
    </row>
    <row r="292" spans="1:123" ht="15">
      <c r="A292"/>
      <c r="B292"/>
      <c r="C292"/>
      <c r="D292"/>
      <c r="E292"/>
      <c r="F292"/>
      <c r="G292"/>
      <c r="H292"/>
      <c r="I292"/>
      <c r="J292"/>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48"/>
      <c r="BH292" s="48"/>
      <c r="BI292" s="48"/>
      <c r="BJ292" s="48"/>
      <c r="BK292" s="48"/>
      <c r="BL292" s="48"/>
      <c r="BM292" s="48"/>
      <c r="BN292" s="48"/>
      <c r="BO292" s="48"/>
      <c r="BP292" s="48"/>
      <c r="BQ292" s="48"/>
      <c r="BR292" s="48"/>
      <c r="BS292" s="48"/>
      <c r="BT292" s="48"/>
      <c r="BU292" s="48"/>
      <c r="BV292" s="48"/>
      <c r="BW292" s="48"/>
      <c r="BX292" s="48"/>
      <c r="BY292" s="48"/>
      <c r="BZ292" s="48"/>
      <c r="CA292" s="48"/>
      <c r="CB292" s="48"/>
      <c r="CC292" s="48"/>
      <c r="CD292" s="48"/>
      <c r="CE292" s="48"/>
      <c r="CF292" s="48"/>
      <c r="CG292" s="48"/>
      <c r="CH292" s="48"/>
      <c r="CI292" s="48"/>
      <c r="CJ292" s="48"/>
      <c r="CK292" s="48"/>
      <c r="CL292" s="48"/>
      <c r="CM292" s="48"/>
      <c r="CN292" s="48"/>
      <c r="CO292" s="48"/>
      <c r="CP292" s="48"/>
      <c r="CQ292" s="48"/>
      <c r="CR292" s="48"/>
      <c r="CS292" s="48"/>
      <c r="CT292" s="48"/>
      <c r="CU292" s="48"/>
      <c r="CV292" s="48"/>
      <c r="CW292" s="48"/>
      <c r="CX292" s="48"/>
      <c r="CY292" s="48"/>
      <c r="CZ292" s="48"/>
      <c r="DA292" s="48"/>
      <c r="DB292" s="48"/>
      <c r="DC292" s="48"/>
      <c r="DD292" s="48"/>
      <c r="DE292" s="48"/>
      <c r="DF292" s="48"/>
      <c r="DG292" s="48"/>
      <c r="DH292" s="48"/>
      <c r="DI292" s="48"/>
      <c r="DJ292" s="48"/>
      <c r="DK292" s="48"/>
      <c r="DL292" s="48"/>
      <c r="DM292" s="48"/>
      <c r="DN292" s="48"/>
      <c r="DO292" s="48"/>
      <c r="DP292" s="48"/>
      <c r="DQ292" s="48"/>
      <c r="DR292" s="48"/>
      <c r="DS292" s="48"/>
    </row>
    <row r="293" spans="1:123" ht="15">
      <c r="A293"/>
      <c r="B293"/>
      <c r="C293"/>
      <c r="D293"/>
      <c r="E293"/>
      <c r="F293"/>
      <c r="G293"/>
      <c r="H293"/>
      <c r="I293"/>
      <c r="J293"/>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c r="BF293" s="48"/>
      <c r="BG293" s="48"/>
      <c r="BH293" s="48"/>
      <c r="BI293" s="48"/>
      <c r="BJ293" s="48"/>
      <c r="BK293" s="48"/>
      <c r="BL293" s="48"/>
      <c r="BM293" s="48"/>
      <c r="BN293" s="48"/>
      <c r="BO293" s="48"/>
      <c r="BP293" s="48"/>
      <c r="BQ293" s="48"/>
      <c r="BR293" s="48"/>
      <c r="BS293" s="48"/>
      <c r="BT293" s="48"/>
      <c r="BU293" s="48"/>
      <c r="BV293" s="48"/>
      <c r="BW293" s="48"/>
      <c r="BX293" s="48"/>
      <c r="BY293" s="48"/>
      <c r="BZ293" s="48"/>
      <c r="CA293" s="48"/>
      <c r="CB293" s="48"/>
      <c r="CC293" s="48"/>
      <c r="CD293" s="48"/>
      <c r="CE293" s="48"/>
      <c r="CF293" s="48"/>
      <c r="CG293" s="48"/>
      <c r="CH293" s="48"/>
      <c r="CI293" s="48"/>
      <c r="CJ293" s="48"/>
      <c r="CK293" s="48"/>
      <c r="CL293" s="48"/>
      <c r="CM293" s="48"/>
      <c r="CN293" s="48"/>
      <c r="CO293" s="48"/>
      <c r="CP293" s="48"/>
      <c r="CQ293" s="48"/>
      <c r="CR293" s="48"/>
      <c r="CS293" s="48"/>
      <c r="CT293" s="48"/>
      <c r="CU293" s="48"/>
      <c r="CV293" s="48"/>
      <c r="CW293" s="48"/>
      <c r="CX293" s="48"/>
      <c r="CY293" s="48"/>
      <c r="CZ293" s="48"/>
      <c r="DA293" s="48"/>
      <c r="DB293" s="48"/>
      <c r="DC293" s="48"/>
      <c r="DD293" s="48"/>
      <c r="DE293" s="48"/>
      <c r="DF293" s="48"/>
      <c r="DG293" s="48"/>
      <c r="DH293" s="48"/>
      <c r="DI293" s="48"/>
      <c r="DJ293" s="48"/>
      <c r="DK293" s="48"/>
      <c r="DL293" s="48"/>
      <c r="DM293" s="48"/>
      <c r="DN293" s="48"/>
      <c r="DO293" s="48"/>
      <c r="DP293" s="48"/>
      <c r="DQ293" s="48"/>
      <c r="DR293" s="48"/>
      <c r="DS293" s="48"/>
    </row>
    <row r="294" spans="1:123" ht="15">
      <c r="A294"/>
      <c r="B294"/>
      <c r="C294"/>
      <c r="D294"/>
      <c r="E294"/>
      <c r="F294"/>
      <c r="G294"/>
      <c r="H294"/>
      <c r="I294"/>
      <c r="J294"/>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c r="BM294" s="48"/>
      <c r="BN294" s="48"/>
      <c r="BO294" s="48"/>
      <c r="BP294" s="48"/>
      <c r="BQ294" s="48"/>
      <c r="BR294" s="48"/>
      <c r="BS294" s="48"/>
      <c r="BT294" s="48"/>
      <c r="BU294" s="48"/>
      <c r="BV294" s="48"/>
      <c r="BW294" s="48"/>
      <c r="BX294" s="48"/>
      <c r="BY294" s="48"/>
      <c r="BZ294" s="48"/>
      <c r="CA294" s="48"/>
      <c r="CB294" s="48"/>
      <c r="CC294" s="48"/>
      <c r="CD294" s="48"/>
      <c r="CE294" s="48"/>
      <c r="CF294" s="48"/>
      <c r="CG294" s="48"/>
      <c r="CH294" s="48"/>
      <c r="CI294" s="48"/>
      <c r="CJ294" s="48"/>
      <c r="CK294" s="48"/>
      <c r="CL294" s="48"/>
      <c r="CM294" s="48"/>
      <c r="CN294" s="48"/>
      <c r="CO294" s="48"/>
      <c r="CP294" s="48"/>
      <c r="CQ294" s="48"/>
      <c r="CR294" s="48"/>
      <c r="CS294" s="48"/>
      <c r="CT294" s="48"/>
      <c r="CU294" s="48"/>
      <c r="CV294" s="48"/>
      <c r="CW294" s="48"/>
      <c r="CX294" s="48"/>
      <c r="CY294" s="48"/>
      <c r="CZ294" s="48"/>
      <c r="DA294" s="48"/>
      <c r="DB294" s="48"/>
      <c r="DC294" s="48"/>
      <c r="DD294" s="48"/>
      <c r="DE294" s="48"/>
      <c r="DF294" s="48"/>
      <c r="DG294" s="48"/>
      <c r="DH294" s="48"/>
      <c r="DI294" s="48"/>
      <c r="DJ294" s="48"/>
      <c r="DK294" s="48"/>
      <c r="DL294" s="48"/>
      <c r="DM294" s="48"/>
      <c r="DN294" s="48"/>
      <c r="DO294" s="48"/>
      <c r="DP294" s="48"/>
      <c r="DQ294" s="48"/>
      <c r="DR294" s="48"/>
      <c r="DS294" s="48"/>
    </row>
    <row r="295" spans="1:123" ht="15">
      <c r="A295"/>
      <c r="B295"/>
      <c r="C295"/>
      <c r="D295"/>
      <c r="E295"/>
      <c r="F295"/>
      <c r="G295"/>
      <c r="H295"/>
      <c r="I295"/>
      <c r="J295"/>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c r="BF295" s="48"/>
      <c r="BG295" s="48"/>
      <c r="BH295" s="48"/>
      <c r="BI295" s="48"/>
      <c r="BJ295" s="48"/>
      <c r="BK295" s="48"/>
      <c r="BL295" s="48"/>
      <c r="BM295" s="48"/>
      <c r="BN295" s="48"/>
      <c r="BO295" s="48"/>
      <c r="BP295" s="48"/>
      <c r="BQ295" s="48"/>
      <c r="BR295" s="48"/>
      <c r="BS295" s="48"/>
      <c r="BT295" s="48"/>
      <c r="BU295" s="48"/>
      <c r="BV295" s="48"/>
      <c r="BW295" s="48"/>
      <c r="BX295" s="48"/>
      <c r="BY295" s="48"/>
      <c r="BZ295" s="48"/>
      <c r="CA295" s="48"/>
      <c r="CB295" s="48"/>
      <c r="CC295" s="48"/>
      <c r="CD295" s="48"/>
      <c r="CE295" s="48"/>
      <c r="CF295" s="48"/>
      <c r="CG295" s="48"/>
      <c r="CH295" s="48"/>
      <c r="CI295" s="48"/>
      <c r="CJ295" s="48"/>
      <c r="CK295" s="48"/>
      <c r="CL295" s="48"/>
      <c r="CM295" s="48"/>
      <c r="CN295" s="48"/>
      <c r="CO295" s="48"/>
      <c r="CP295" s="48"/>
      <c r="CQ295" s="48"/>
      <c r="CR295" s="48"/>
      <c r="CS295" s="48"/>
      <c r="CT295" s="48"/>
      <c r="CU295" s="48"/>
      <c r="CV295" s="48"/>
      <c r="CW295" s="48"/>
      <c r="CX295" s="48"/>
      <c r="CY295" s="48"/>
      <c r="CZ295" s="48"/>
      <c r="DA295" s="48"/>
      <c r="DB295" s="48"/>
      <c r="DC295" s="48"/>
      <c r="DD295" s="48"/>
      <c r="DE295" s="48"/>
      <c r="DF295" s="48"/>
      <c r="DG295" s="48"/>
      <c r="DH295" s="48"/>
      <c r="DI295" s="48"/>
      <c r="DJ295" s="48"/>
      <c r="DK295" s="48"/>
      <c r="DL295" s="48"/>
      <c r="DM295" s="48"/>
      <c r="DN295" s="48"/>
      <c r="DO295" s="48"/>
      <c r="DP295" s="48"/>
      <c r="DQ295" s="48"/>
      <c r="DR295" s="48"/>
      <c r="DS295" s="48"/>
    </row>
    <row r="296" spans="1:123" ht="15">
      <c r="A296"/>
      <c r="B296"/>
      <c r="C296"/>
      <c r="D296"/>
      <c r="E296"/>
      <c r="F296"/>
      <c r="G296"/>
      <c r="H296"/>
      <c r="I296"/>
      <c r="J296"/>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c r="AX296" s="48"/>
      <c r="AY296" s="48"/>
      <c r="AZ296" s="48"/>
      <c r="BA296" s="48"/>
      <c r="BB296" s="48"/>
      <c r="BC296" s="48"/>
      <c r="BD296" s="48"/>
      <c r="BE296" s="48"/>
      <c r="BF296" s="48"/>
      <c r="BG296" s="48"/>
      <c r="BH296" s="48"/>
      <c r="BI296" s="48"/>
      <c r="BJ296" s="48"/>
      <c r="BK296" s="48"/>
      <c r="BL296" s="48"/>
      <c r="BM296" s="48"/>
      <c r="BN296" s="48"/>
      <c r="BO296" s="48"/>
      <c r="BP296" s="48"/>
      <c r="BQ296" s="48"/>
      <c r="BR296" s="48"/>
      <c r="BS296" s="48"/>
      <c r="BT296" s="48"/>
      <c r="BU296" s="48"/>
      <c r="BV296" s="48"/>
      <c r="BW296" s="48"/>
      <c r="BX296" s="48"/>
      <c r="BY296" s="48"/>
      <c r="BZ296" s="48"/>
      <c r="CA296" s="48"/>
      <c r="CB296" s="48"/>
      <c r="CC296" s="48"/>
      <c r="CD296" s="48"/>
      <c r="CE296" s="48"/>
      <c r="CF296" s="48"/>
      <c r="CG296" s="48"/>
      <c r="CH296" s="48"/>
      <c r="CI296" s="48"/>
      <c r="CJ296" s="48"/>
      <c r="CK296" s="48"/>
      <c r="CL296" s="48"/>
      <c r="CM296" s="48"/>
      <c r="CN296" s="48"/>
      <c r="CO296" s="48"/>
      <c r="CP296" s="48"/>
      <c r="CQ296" s="48"/>
      <c r="CR296" s="48"/>
      <c r="CS296" s="48"/>
      <c r="CT296" s="48"/>
      <c r="CU296" s="48"/>
      <c r="CV296" s="48"/>
      <c r="CW296" s="48"/>
      <c r="CX296" s="48"/>
      <c r="CY296" s="48"/>
      <c r="CZ296" s="48"/>
      <c r="DA296" s="48"/>
      <c r="DB296" s="48"/>
      <c r="DC296" s="48"/>
      <c r="DD296" s="48"/>
      <c r="DE296" s="48"/>
      <c r="DF296" s="48"/>
      <c r="DG296" s="48"/>
      <c r="DH296" s="48"/>
      <c r="DI296" s="48"/>
      <c r="DJ296" s="48"/>
      <c r="DK296" s="48"/>
      <c r="DL296" s="48"/>
      <c r="DM296" s="48"/>
      <c r="DN296" s="48"/>
      <c r="DO296" s="48"/>
      <c r="DP296" s="48"/>
      <c r="DQ296" s="48"/>
      <c r="DR296" s="48"/>
      <c r="DS296" s="48"/>
    </row>
    <row r="297" spans="1:123" ht="15">
      <c r="A297"/>
      <c r="B297"/>
      <c r="C297"/>
      <c r="D297"/>
      <c r="E297"/>
      <c r="F297"/>
      <c r="G297"/>
      <c r="H297"/>
      <c r="I297"/>
      <c r="J297"/>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8"/>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48"/>
      <c r="CZ297" s="48"/>
      <c r="DA297" s="48"/>
      <c r="DB297" s="48"/>
      <c r="DC297" s="48"/>
      <c r="DD297" s="48"/>
      <c r="DE297" s="48"/>
      <c r="DF297" s="48"/>
      <c r="DG297" s="48"/>
      <c r="DH297" s="48"/>
      <c r="DI297" s="48"/>
      <c r="DJ297" s="48"/>
      <c r="DK297" s="48"/>
      <c r="DL297" s="48"/>
      <c r="DM297" s="48"/>
      <c r="DN297" s="48"/>
      <c r="DO297" s="48"/>
      <c r="DP297" s="48"/>
      <c r="DQ297" s="48"/>
      <c r="DR297" s="48"/>
      <c r="DS297" s="48"/>
    </row>
    <row r="298" spans="1:123" ht="15">
      <c r="A298"/>
      <c r="B298"/>
      <c r="C298"/>
      <c r="D298"/>
      <c r="E298"/>
      <c r="F298"/>
      <c r="G298"/>
      <c r="H298"/>
      <c r="I298"/>
      <c r="J29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48"/>
      <c r="BH298" s="48"/>
      <c r="BI298" s="48"/>
      <c r="BJ298" s="48"/>
      <c r="BK298" s="48"/>
      <c r="BL298" s="48"/>
      <c r="BM298" s="48"/>
      <c r="BN298" s="48"/>
      <c r="BO298" s="48"/>
      <c r="BP298" s="48"/>
      <c r="BQ298" s="48"/>
      <c r="BR298" s="48"/>
      <c r="BS298" s="48"/>
      <c r="BT298" s="48"/>
      <c r="BU298" s="48"/>
      <c r="BV298" s="48"/>
      <c r="BW298" s="48"/>
      <c r="BX298" s="48"/>
      <c r="BY298" s="48"/>
      <c r="BZ298" s="48"/>
      <c r="CA298" s="48"/>
      <c r="CB298" s="48"/>
      <c r="CC298" s="48"/>
      <c r="CD298" s="48"/>
      <c r="CE298" s="48"/>
      <c r="CF298" s="48"/>
      <c r="CG298" s="48"/>
      <c r="CH298" s="48"/>
      <c r="CI298" s="48"/>
      <c r="CJ298" s="48"/>
      <c r="CK298" s="48"/>
      <c r="CL298" s="48"/>
      <c r="CM298" s="48"/>
      <c r="CN298" s="48"/>
      <c r="CO298" s="48"/>
      <c r="CP298" s="48"/>
      <c r="CQ298" s="48"/>
      <c r="CR298" s="48"/>
      <c r="CS298" s="48"/>
      <c r="CT298" s="48"/>
      <c r="CU298" s="48"/>
      <c r="CV298" s="48"/>
      <c r="CW298" s="48"/>
      <c r="CX298" s="48"/>
      <c r="CY298" s="48"/>
      <c r="CZ298" s="48"/>
      <c r="DA298" s="48"/>
      <c r="DB298" s="48"/>
      <c r="DC298" s="48"/>
      <c r="DD298" s="48"/>
      <c r="DE298" s="48"/>
      <c r="DF298" s="48"/>
      <c r="DG298" s="48"/>
      <c r="DH298" s="48"/>
      <c r="DI298" s="48"/>
      <c r="DJ298" s="48"/>
      <c r="DK298" s="48"/>
      <c r="DL298" s="48"/>
      <c r="DM298" s="48"/>
      <c r="DN298" s="48"/>
      <c r="DO298" s="48"/>
      <c r="DP298" s="48"/>
      <c r="DQ298" s="48"/>
      <c r="DR298" s="48"/>
      <c r="DS298" s="48"/>
    </row>
    <row r="299" spans="1:123" ht="15">
      <c r="A299"/>
      <c r="B299"/>
      <c r="C299"/>
      <c r="D299"/>
      <c r="E299"/>
      <c r="F299"/>
      <c r="G299"/>
      <c r="H299"/>
      <c r="I299"/>
      <c r="J299"/>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48"/>
      <c r="BJ299" s="48"/>
      <c r="BK299" s="48"/>
      <c r="BL299" s="48"/>
      <c r="BM299" s="48"/>
      <c r="BN299" s="48"/>
      <c r="BO299" s="48"/>
      <c r="BP299" s="48"/>
      <c r="BQ299" s="48"/>
      <c r="BR299" s="48"/>
      <c r="BS299" s="48"/>
      <c r="BT299" s="48"/>
      <c r="BU299" s="48"/>
      <c r="BV299" s="48"/>
      <c r="BW299" s="48"/>
      <c r="BX299" s="48"/>
      <c r="BY299" s="48"/>
      <c r="BZ299" s="48"/>
      <c r="CA299" s="48"/>
      <c r="CB299" s="48"/>
      <c r="CC299" s="48"/>
      <c r="CD299" s="48"/>
      <c r="CE299" s="48"/>
      <c r="CF299" s="48"/>
      <c r="CG299" s="48"/>
      <c r="CH299" s="48"/>
      <c r="CI299" s="48"/>
      <c r="CJ299" s="48"/>
      <c r="CK299" s="48"/>
      <c r="CL299" s="48"/>
      <c r="CM299" s="48"/>
      <c r="CN299" s="48"/>
      <c r="CO299" s="48"/>
      <c r="CP299" s="48"/>
      <c r="CQ299" s="48"/>
      <c r="CR299" s="48"/>
      <c r="CS299" s="48"/>
      <c r="CT299" s="48"/>
      <c r="CU299" s="48"/>
      <c r="CV299" s="48"/>
      <c r="CW299" s="48"/>
      <c r="CX299" s="48"/>
      <c r="CY299" s="48"/>
      <c r="CZ299" s="48"/>
      <c r="DA299" s="48"/>
      <c r="DB299" s="48"/>
      <c r="DC299" s="48"/>
      <c r="DD299" s="48"/>
      <c r="DE299" s="48"/>
      <c r="DF299" s="48"/>
      <c r="DG299" s="48"/>
      <c r="DH299" s="48"/>
      <c r="DI299" s="48"/>
      <c r="DJ299" s="48"/>
      <c r="DK299" s="48"/>
      <c r="DL299" s="48"/>
      <c r="DM299" s="48"/>
      <c r="DN299" s="48"/>
      <c r="DO299" s="48"/>
      <c r="DP299" s="48"/>
      <c r="DQ299" s="48"/>
      <c r="DR299" s="48"/>
      <c r="DS299" s="48"/>
    </row>
    <row r="300" spans="1:123" ht="15">
      <c r="A300"/>
      <c r="B300"/>
      <c r="C300"/>
      <c r="D300"/>
      <c r="E300"/>
      <c r="F300"/>
      <c r="G300"/>
      <c r="H300"/>
      <c r="I300"/>
      <c r="J300"/>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c r="BS300" s="48"/>
      <c r="BT300" s="48"/>
      <c r="BU300" s="48"/>
      <c r="BV300" s="48"/>
      <c r="BW300" s="48"/>
      <c r="BX300" s="48"/>
      <c r="BY300" s="48"/>
      <c r="BZ300" s="48"/>
      <c r="CA300" s="48"/>
      <c r="CB300" s="48"/>
      <c r="CC300" s="48"/>
      <c r="CD300" s="48"/>
      <c r="CE300" s="48"/>
      <c r="CF300" s="48"/>
      <c r="CG300" s="48"/>
      <c r="CH300" s="48"/>
      <c r="CI300" s="48"/>
      <c r="CJ300" s="48"/>
      <c r="CK300" s="48"/>
      <c r="CL300" s="48"/>
      <c r="CM300" s="48"/>
      <c r="CN300" s="48"/>
      <c r="CO300" s="48"/>
      <c r="CP300" s="48"/>
      <c r="CQ300" s="48"/>
      <c r="CR300" s="48"/>
      <c r="CS300" s="48"/>
      <c r="CT300" s="48"/>
      <c r="CU300" s="48"/>
      <c r="CV300" s="48"/>
      <c r="CW300" s="48"/>
      <c r="CX300" s="48"/>
      <c r="CY300" s="48"/>
      <c r="CZ300" s="48"/>
      <c r="DA300" s="48"/>
      <c r="DB300" s="48"/>
      <c r="DC300" s="48"/>
      <c r="DD300" s="48"/>
      <c r="DE300" s="48"/>
      <c r="DF300" s="48"/>
      <c r="DG300" s="48"/>
      <c r="DH300" s="48"/>
      <c r="DI300" s="48"/>
      <c r="DJ300" s="48"/>
      <c r="DK300" s="48"/>
      <c r="DL300" s="48"/>
      <c r="DM300" s="48"/>
      <c r="DN300" s="48"/>
      <c r="DO300" s="48"/>
      <c r="DP300" s="48"/>
      <c r="DQ300" s="48"/>
      <c r="DR300" s="48"/>
      <c r="DS300" s="48"/>
    </row>
    <row r="301" spans="1:123" ht="15">
      <c r="A301"/>
      <c r="B301"/>
      <c r="C301"/>
      <c r="D301"/>
      <c r="E301"/>
      <c r="F301"/>
      <c r="G301"/>
      <c r="H301"/>
      <c r="I301"/>
      <c r="J301"/>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8"/>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c r="DC301" s="48"/>
      <c r="DD301" s="48"/>
      <c r="DE301" s="48"/>
      <c r="DF301" s="48"/>
      <c r="DG301" s="48"/>
      <c r="DH301" s="48"/>
      <c r="DI301" s="48"/>
      <c r="DJ301" s="48"/>
      <c r="DK301" s="48"/>
      <c r="DL301" s="48"/>
      <c r="DM301" s="48"/>
      <c r="DN301" s="48"/>
      <c r="DO301" s="48"/>
      <c r="DP301" s="48"/>
      <c r="DQ301" s="48"/>
      <c r="DR301" s="48"/>
      <c r="DS301" s="48"/>
    </row>
    <row r="302" spans="1:123" ht="15">
      <c r="A302"/>
      <c r="B302"/>
      <c r="C302"/>
      <c r="D302"/>
      <c r="E302"/>
      <c r="F302"/>
      <c r="G302"/>
      <c r="H302"/>
      <c r="I302"/>
      <c r="J302"/>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c r="BM302" s="48"/>
      <c r="BN302" s="48"/>
      <c r="BO302" s="48"/>
      <c r="BP302" s="48"/>
      <c r="BQ302" s="48"/>
      <c r="BR302" s="48"/>
      <c r="BS302" s="48"/>
      <c r="BT302" s="48"/>
      <c r="BU302" s="48"/>
      <c r="BV302" s="48"/>
      <c r="BW302" s="48"/>
      <c r="BX302" s="48"/>
      <c r="BY302" s="48"/>
      <c r="BZ302" s="48"/>
      <c r="CA302" s="48"/>
      <c r="CB302" s="48"/>
      <c r="CC302" s="48"/>
      <c r="CD302" s="48"/>
      <c r="CE302" s="48"/>
      <c r="CF302" s="48"/>
      <c r="CG302" s="48"/>
      <c r="CH302" s="48"/>
      <c r="CI302" s="48"/>
      <c r="CJ302" s="48"/>
      <c r="CK302" s="48"/>
      <c r="CL302" s="48"/>
      <c r="CM302" s="48"/>
      <c r="CN302" s="48"/>
      <c r="CO302" s="48"/>
      <c r="CP302" s="48"/>
      <c r="CQ302" s="48"/>
      <c r="CR302" s="48"/>
      <c r="CS302" s="48"/>
      <c r="CT302" s="48"/>
      <c r="CU302" s="48"/>
      <c r="CV302" s="48"/>
      <c r="CW302" s="48"/>
      <c r="CX302" s="48"/>
      <c r="CY302" s="48"/>
      <c r="CZ302" s="48"/>
      <c r="DA302" s="48"/>
      <c r="DB302" s="48"/>
      <c r="DC302" s="48"/>
      <c r="DD302" s="48"/>
      <c r="DE302" s="48"/>
      <c r="DF302" s="48"/>
      <c r="DG302" s="48"/>
      <c r="DH302" s="48"/>
      <c r="DI302" s="48"/>
      <c r="DJ302" s="48"/>
      <c r="DK302" s="48"/>
      <c r="DL302" s="48"/>
      <c r="DM302" s="48"/>
      <c r="DN302" s="48"/>
      <c r="DO302" s="48"/>
      <c r="DP302" s="48"/>
      <c r="DQ302" s="48"/>
      <c r="DR302" s="48"/>
      <c r="DS302" s="48"/>
    </row>
    <row r="303" spans="1:123" ht="15">
      <c r="A303"/>
      <c r="B303"/>
      <c r="C303"/>
      <c r="D303"/>
      <c r="E303"/>
      <c r="F303"/>
      <c r="G303"/>
      <c r="H303"/>
      <c r="I303"/>
      <c r="J303"/>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c r="BS303" s="48"/>
      <c r="BT303" s="48"/>
      <c r="BU303" s="48"/>
      <c r="BV303" s="48"/>
      <c r="BW303" s="48"/>
      <c r="BX303" s="48"/>
      <c r="BY303" s="48"/>
      <c r="BZ303" s="48"/>
      <c r="CA303" s="48"/>
      <c r="CB303" s="48"/>
      <c r="CC303" s="48"/>
      <c r="CD303" s="48"/>
      <c r="CE303" s="48"/>
      <c r="CF303" s="48"/>
      <c r="CG303" s="48"/>
      <c r="CH303" s="48"/>
      <c r="CI303" s="48"/>
      <c r="CJ303" s="48"/>
      <c r="CK303" s="48"/>
      <c r="CL303" s="48"/>
      <c r="CM303" s="48"/>
      <c r="CN303" s="48"/>
      <c r="CO303" s="48"/>
      <c r="CP303" s="48"/>
      <c r="CQ303" s="48"/>
      <c r="CR303" s="48"/>
      <c r="CS303" s="48"/>
      <c r="CT303" s="48"/>
      <c r="CU303" s="48"/>
      <c r="CV303" s="48"/>
      <c r="CW303" s="48"/>
      <c r="CX303" s="48"/>
      <c r="CY303" s="48"/>
      <c r="CZ303" s="48"/>
      <c r="DA303" s="48"/>
      <c r="DB303" s="48"/>
      <c r="DC303" s="48"/>
      <c r="DD303" s="48"/>
      <c r="DE303" s="48"/>
      <c r="DF303" s="48"/>
      <c r="DG303" s="48"/>
      <c r="DH303" s="48"/>
      <c r="DI303" s="48"/>
      <c r="DJ303" s="48"/>
      <c r="DK303" s="48"/>
      <c r="DL303" s="48"/>
      <c r="DM303" s="48"/>
      <c r="DN303" s="48"/>
      <c r="DO303" s="48"/>
      <c r="DP303" s="48"/>
      <c r="DQ303" s="48"/>
      <c r="DR303" s="48"/>
      <c r="DS303" s="48"/>
    </row>
    <row r="304" spans="1:123" ht="15">
      <c r="A304"/>
      <c r="B304"/>
      <c r="C304"/>
      <c r="D304"/>
      <c r="E304"/>
      <c r="F304"/>
      <c r="G304"/>
      <c r="H304"/>
      <c r="I304"/>
      <c r="J304"/>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c r="BS304" s="48"/>
      <c r="BT304" s="48"/>
      <c r="BU304" s="48"/>
      <c r="BV304" s="48"/>
      <c r="BW304" s="48"/>
      <c r="BX304" s="48"/>
      <c r="BY304" s="48"/>
      <c r="BZ304" s="48"/>
      <c r="CA304" s="48"/>
      <c r="CB304" s="48"/>
      <c r="CC304" s="48"/>
      <c r="CD304" s="48"/>
      <c r="CE304" s="48"/>
      <c r="CF304" s="48"/>
      <c r="CG304" s="48"/>
      <c r="CH304" s="48"/>
      <c r="CI304" s="48"/>
      <c r="CJ304" s="48"/>
      <c r="CK304" s="48"/>
      <c r="CL304" s="48"/>
      <c r="CM304" s="48"/>
      <c r="CN304" s="48"/>
      <c r="CO304" s="48"/>
      <c r="CP304" s="48"/>
      <c r="CQ304" s="48"/>
      <c r="CR304" s="48"/>
      <c r="CS304" s="48"/>
      <c r="CT304" s="48"/>
      <c r="CU304" s="48"/>
      <c r="CV304" s="48"/>
      <c r="CW304" s="48"/>
      <c r="CX304" s="48"/>
      <c r="CY304" s="48"/>
      <c r="CZ304" s="48"/>
      <c r="DA304" s="48"/>
      <c r="DB304" s="48"/>
      <c r="DC304" s="48"/>
      <c r="DD304" s="48"/>
      <c r="DE304" s="48"/>
      <c r="DF304" s="48"/>
      <c r="DG304" s="48"/>
      <c r="DH304" s="48"/>
      <c r="DI304" s="48"/>
      <c r="DJ304" s="48"/>
      <c r="DK304" s="48"/>
      <c r="DL304" s="48"/>
      <c r="DM304" s="48"/>
      <c r="DN304" s="48"/>
      <c r="DO304" s="48"/>
      <c r="DP304" s="48"/>
      <c r="DQ304" s="48"/>
      <c r="DR304" s="48"/>
      <c r="DS304" s="48"/>
    </row>
    <row r="305" spans="1:123" ht="15">
      <c r="A305"/>
      <c r="B305"/>
      <c r="C305"/>
      <c r="D305"/>
      <c r="E305"/>
      <c r="F305"/>
      <c r="G305"/>
      <c r="H305"/>
      <c r="I305"/>
      <c r="J305"/>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c r="BS305" s="48"/>
      <c r="BT305" s="48"/>
      <c r="BU305" s="48"/>
      <c r="BV305" s="48"/>
      <c r="BW305" s="48"/>
      <c r="BX305" s="48"/>
      <c r="BY305" s="48"/>
      <c r="BZ305" s="48"/>
      <c r="CA305" s="48"/>
      <c r="CB305" s="48"/>
      <c r="CC305" s="48"/>
      <c r="CD305" s="48"/>
      <c r="CE305" s="48"/>
      <c r="CF305" s="48"/>
      <c r="CG305" s="48"/>
      <c r="CH305" s="48"/>
      <c r="CI305" s="48"/>
      <c r="CJ305" s="48"/>
      <c r="CK305" s="48"/>
      <c r="CL305" s="48"/>
      <c r="CM305" s="48"/>
      <c r="CN305" s="48"/>
      <c r="CO305" s="48"/>
      <c r="CP305" s="48"/>
      <c r="CQ305" s="48"/>
      <c r="CR305" s="48"/>
      <c r="CS305" s="48"/>
      <c r="CT305" s="48"/>
      <c r="CU305" s="48"/>
      <c r="CV305" s="48"/>
      <c r="CW305" s="48"/>
      <c r="CX305" s="48"/>
      <c r="CY305" s="48"/>
      <c r="CZ305" s="48"/>
      <c r="DA305" s="48"/>
      <c r="DB305" s="48"/>
      <c r="DC305" s="48"/>
      <c r="DD305" s="48"/>
      <c r="DE305" s="48"/>
      <c r="DF305" s="48"/>
      <c r="DG305" s="48"/>
      <c r="DH305" s="48"/>
      <c r="DI305" s="48"/>
      <c r="DJ305" s="48"/>
      <c r="DK305" s="48"/>
      <c r="DL305" s="48"/>
      <c r="DM305" s="48"/>
      <c r="DN305" s="48"/>
      <c r="DO305" s="48"/>
      <c r="DP305" s="48"/>
      <c r="DQ305" s="48"/>
      <c r="DR305" s="48"/>
      <c r="DS305" s="48"/>
    </row>
    <row r="306" spans="1:123" ht="15">
      <c r="A306"/>
      <c r="B306"/>
      <c r="C306"/>
      <c r="D306"/>
      <c r="E306"/>
      <c r="F306"/>
      <c r="G306"/>
      <c r="H306"/>
      <c r="I306"/>
      <c r="J306"/>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c r="BS306" s="48"/>
      <c r="BT306" s="48"/>
      <c r="BU306" s="48"/>
      <c r="BV306" s="48"/>
      <c r="BW306" s="48"/>
      <c r="BX306" s="48"/>
      <c r="BY306" s="48"/>
      <c r="BZ306" s="48"/>
      <c r="CA306" s="48"/>
      <c r="CB306" s="48"/>
      <c r="CC306" s="48"/>
      <c r="CD306" s="48"/>
      <c r="CE306" s="48"/>
      <c r="CF306" s="48"/>
      <c r="CG306" s="48"/>
      <c r="CH306" s="48"/>
      <c r="CI306" s="48"/>
      <c r="CJ306" s="48"/>
      <c r="CK306" s="48"/>
      <c r="CL306" s="48"/>
      <c r="CM306" s="48"/>
      <c r="CN306" s="48"/>
      <c r="CO306" s="48"/>
      <c r="CP306" s="48"/>
      <c r="CQ306" s="48"/>
      <c r="CR306" s="48"/>
      <c r="CS306" s="48"/>
      <c r="CT306" s="48"/>
      <c r="CU306" s="48"/>
      <c r="CV306" s="48"/>
      <c r="CW306" s="48"/>
      <c r="CX306" s="48"/>
      <c r="CY306" s="48"/>
      <c r="CZ306" s="48"/>
      <c r="DA306" s="48"/>
      <c r="DB306" s="48"/>
      <c r="DC306" s="48"/>
      <c r="DD306" s="48"/>
      <c r="DE306" s="48"/>
      <c r="DF306" s="48"/>
      <c r="DG306" s="48"/>
      <c r="DH306" s="48"/>
      <c r="DI306" s="48"/>
      <c r="DJ306" s="48"/>
      <c r="DK306" s="48"/>
      <c r="DL306" s="48"/>
      <c r="DM306" s="48"/>
      <c r="DN306" s="48"/>
      <c r="DO306" s="48"/>
      <c r="DP306" s="48"/>
      <c r="DQ306" s="48"/>
      <c r="DR306" s="48"/>
      <c r="DS306" s="48"/>
    </row>
    <row r="307" spans="1:123" ht="15">
      <c r="A307"/>
      <c r="B307"/>
      <c r="C307"/>
      <c r="D307"/>
      <c r="E307"/>
      <c r="F307"/>
      <c r="G307"/>
      <c r="H307"/>
      <c r="I307"/>
      <c r="J307"/>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c r="BS307" s="48"/>
      <c r="BT307" s="48"/>
      <c r="BU307" s="48"/>
      <c r="BV307" s="48"/>
      <c r="BW307" s="48"/>
      <c r="BX307" s="48"/>
      <c r="BY307" s="48"/>
      <c r="BZ307" s="48"/>
      <c r="CA307" s="48"/>
      <c r="CB307" s="48"/>
      <c r="CC307" s="48"/>
      <c r="CD307" s="48"/>
      <c r="CE307" s="48"/>
      <c r="CF307" s="48"/>
      <c r="CG307" s="48"/>
      <c r="CH307" s="48"/>
      <c r="CI307" s="48"/>
      <c r="CJ307" s="48"/>
      <c r="CK307" s="48"/>
      <c r="CL307" s="48"/>
      <c r="CM307" s="48"/>
      <c r="CN307" s="48"/>
      <c r="CO307" s="48"/>
      <c r="CP307" s="48"/>
      <c r="CQ307" s="48"/>
      <c r="CR307" s="48"/>
      <c r="CS307" s="48"/>
      <c r="CT307" s="48"/>
      <c r="CU307" s="48"/>
      <c r="CV307" s="48"/>
      <c r="CW307" s="48"/>
      <c r="CX307" s="48"/>
      <c r="CY307" s="48"/>
      <c r="CZ307" s="48"/>
      <c r="DA307" s="48"/>
      <c r="DB307" s="48"/>
      <c r="DC307" s="48"/>
      <c r="DD307" s="48"/>
      <c r="DE307" s="48"/>
      <c r="DF307" s="48"/>
      <c r="DG307" s="48"/>
      <c r="DH307" s="48"/>
      <c r="DI307" s="48"/>
      <c r="DJ307" s="48"/>
      <c r="DK307" s="48"/>
      <c r="DL307" s="48"/>
      <c r="DM307" s="48"/>
      <c r="DN307" s="48"/>
      <c r="DO307" s="48"/>
      <c r="DP307" s="48"/>
      <c r="DQ307" s="48"/>
      <c r="DR307" s="48"/>
      <c r="DS307" s="48"/>
    </row>
    <row r="308" spans="1:123" ht="15">
      <c r="A308"/>
      <c r="B308"/>
      <c r="C308"/>
      <c r="D308"/>
      <c r="E308"/>
      <c r="F308"/>
      <c r="G308"/>
      <c r="H308"/>
      <c r="I308"/>
      <c r="J30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8"/>
      <c r="BP308" s="48"/>
      <c r="BQ308" s="48"/>
      <c r="BR308" s="48"/>
      <c r="BS308" s="48"/>
      <c r="BT308" s="48"/>
      <c r="BU308" s="48"/>
      <c r="BV308" s="48"/>
      <c r="BW308" s="48"/>
      <c r="BX308" s="48"/>
      <c r="BY308" s="48"/>
      <c r="BZ308" s="48"/>
      <c r="CA308" s="48"/>
      <c r="CB308" s="48"/>
      <c r="CC308" s="48"/>
      <c r="CD308" s="48"/>
      <c r="CE308" s="48"/>
      <c r="CF308" s="48"/>
      <c r="CG308" s="48"/>
      <c r="CH308" s="48"/>
      <c r="CI308" s="48"/>
      <c r="CJ308" s="48"/>
      <c r="CK308" s="48"/>
      <c r="CL308" s="48"/>
      <c r="CM308" s="48"/>
      <c r="CN308" s="48"/>
      <c r="CO308" s="48"/>
      <c r="CP308" s="48"/>
      <c r="CQ308" s="48"/>
      <c r="CR308" s="48"/>
      <c r="CS308" s="48"/>
      <c r="CT308" s="48"/>
      <c r="CU308" s="48"/>
      <c r="CV308" s="48"/>
      <c r="CW308" s="48"/>
      <c r="CX308" s="48"/>
      <c r="CY308" s="48"/>
      <c r="CZ308" s="48"/>
      <c r="DA308" s="48"/>
      <c r="DB308" s="48"/>
      <c r="DC308" s="48"/>
      <c r="DD308" s="48"/>
      <c r="DE308" s="48"/>
      <c r="DF308" s="48"/>
      <c r="DG308" s="48"/>
      <c r="DH308" s="48"/>
      <c r="DI308" s="48"/>
      <c r="DJ308" s="48"/>
      <c r="DK308" s="48"/>
      <c r="DL308" s="48"/>
      <c r="DM308" s="48"/>
      <c r="DN308" s="48"/>
      <c r="DO308" s="48"/>
      <c r="DP308" s="48"/>
      <c r="DQ308" s="48"/>
      <c r="DR308" s="48"/>
      <c r="DS308" s="48"/>
    </row>
    <row r="309" spans="1:123" ht="15">
      <c r="A309"/>
      <c r="B309"/>
      <c r="C309"/>
      <c r="D309"/>
      <c r="E309"/>
      <c r="F309"/>
      <c r="G309"/>
      <c r="H309"/>
      <c r="I309"/>
      <c r="J309"/>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c r="BS309" s="48"/>
      <c r="BT309" s="48"/>
      <c r="BU309" s="48"/>
      <c r="BV309" s="48"/>
      <c r="BW309" s="48"/>
      <c r="BX309" s="48"/>
      <c r="BY309" s="48"/>
      <c r="BZ309" s="48"/>
      <c r="CA309" s="48"/>
      <c r="CB309" s="48"/>
      <c r="CC309" s="48"/>
      <c r="CD309" s="48"/>
      <c r="CE309" s="48"/>
      <c r="CF309" s="48"/>
      <c r="CG309" s="48"/>
      <c r="CH309" s="48"/>
      <c r="CI309" s="48"/>
      <c r="CJ309" s="48"/>
      <c r="CK309" s="48"/>
      <c r="CL309" s="48"/>
      <c r="CM309" s="48"/>
      <c r="CN309" s="48"/>
      <c r="CO309" s="48"/>
      <c r="CP309" s="48"/>
      <c r="CQ309" s="48"/>
      <c r="CR309" s="48"/>
      <c r="CS309" s="48"/>
      <c r="CT309" s="48"/>
      <c r="CU309" s="48"/>
      <c r="CV309" s="48"/>
      <c r="CW309" s="48"/>
      <c r="CX309" s="48"/>
      <c r="CY309" s="48"/>
      <c r="CZ309" s="48"/>
      <c r="DA309" s="48"/>
      <c r="DB309" s="48"/>
      <c r="DC309" s="48"/>
      <c r="DD309" s="48"/>
      <c r="DE309" s="48"/>
      <c r="DF309" s="48"/>
      <c r="DG309" s="48"/>
      <c r="DH309" s="48"/>
      <c r="DI309" s="48"/>
      <c r="DJ309" s="48"/>
      <c r="DK309" s="48"/>
      <c r="DL309" s="48"/>
      <c r="DM309" s="48"/>
      <c r="DN309" s="48"/>
      <c r="DO309" s="48"/>
      <c r="DP309" s="48"/>
      <c r="DQ309" s="48"/>
      <c r="DR309" s="48"/>
      <c r="DS309" s="48"/>
    </row>
    <row r="310" spans="1:123" ht="15">
      <c r="A310"/>
      <c r="B310"/>
      <c r="C310"/>
      <c r="D310"/>
      <c r="E310"/>
      <c r="F310"/>
      <c r="G310"/>
      <c r="H310"/>
      <c r="I310"/>
      <c r="J310"/>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c r="BM310" s="48"/>
      <c r="BN310" s="48"/>
      <c r="BO310" s="48"/>
      <c r="BP310" s="48"/>
      <c r="BQ310" s="48"/>
      <c r="BR310" s="48"/>
      <c r="BS310" s="48"/>
      <c r="BT310" s="48"/>
      <c r="BU310" s="48"/>
      <c r="BV310" s="48"/>
      <c r="BW310" s="48"/>
      <c r="BX310" s="48"/>
      <c r="BY310" s="48"/>
      <c r="BZ310" s="48"/>
      <c r="CA310" s="48"/>
      <c r="CB310" s="48"/>
      <c r="CC310" s="48"/>
      <c r="CD310" s="48"/>
      <c r="CE310" s="48"/>
      <c r="CF310" s="48"/>
      <c r="CG310" s="48"/>
      <c r="CH310" s="48"/>
      <c r="CI310" s="48"/>
      <c r="CJ310" s="48"/>
      <c r="CK310" s="48"/>
      <c r="CL310" s="48"/>
      <c r="CM310" s="48"/>
      <c r="CN310" s="48"/>
      <c r="CO310" s="48"/>
      <c r="CP310" s="48"/>
      <c r="CQ310" s="48"/>
      <c r="CR310" s="48"/>
      <c r="CS310" s="48"/>
      <c r="CT310" s="48"/>
      <c r="CU310" s="48"/>
      <c r="CV310" s="48"/>
      <c r="CW310" s="48"/>
      <c r="CX310" s="48"/>
      <c r="CY310" s="48"/>
      <c r="CZ310" s="48"/>
      <c r="DA310" s="48"/>
      <c r="DB310" s="48"/>
      <c r="DC310" s="48"/>
      <c r="DD310" s="48"/>
      <c r="DE310" s="48"/>
      <c r="DF310" s="48"/>
      <c r="DG310" s="48"/>
      <c r="DH310" s="48"/>
      <c r="DI310" s="48"/>
      <c r="DJ310" s="48"/>
      <c r="DK310" s="48"/>
      <c r="DL310" s="48"/>
      <c r="DM310" s="48"/>
      <c r="DN310" s="48"/>
      <c r="DO310" s="48"/>
      <c r="DP310" s="48"/>
      <c r="DQ310" s="48"/>
      <c r="DR310" s="48"/>
      <c r="DS310" s="48"/>
    </row>
    <row r="311" spans="1:123" ht="15">
      <c r="A311"/>
      <c r="B311"/>
      <c r="C311"/>
      <c r="D311"/>
      <c r="E311"/>
      <c r="F311"/>
      <c r="G311"/>
      <c r="H311"/>
      <c r="I311"/>
      <c r="J311"/>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48"/>
      <c r="BH311" s="48"/>
      <c r="BI311" s="48"/>
      <c r="BJ311" s="48"/>
      <c r="BK311" s="48"/>
      <c r="BL311" s="48"/>
      <c r="BM311" s="48"/>
      <c r="BN311" s="48"/>
      <c r="BO311" s="48"/>
      <c r="BP311" s="48"/>
      <c r="BQ311" s="48"/>
      <c r="BR311" s="48"/>
      <c r="BS311" s="48"/>
      <c r="BT311" s="48"/>
      <c r="BU311" s="48"/>
      <c r="BV311" s="48"/>
      <c r="BW311" s="48"/>
      <c r="BX311" s="48"/>
      <c r="BY311" s="48"/>
      <c r="BZ311" s="48"/>
      <c r="CA311" s="48"/>
      <c r="CB311" s="48"/>
      <c r="CC311" s="48"/>
      <c r="CD311" s="48"/>
      <c r="CE311" s="48"/>
      <c r="CF311" s="48"/>
      <c r="CG311" s="48"/>
      <c r="CH311" s="48"/>
      <c r="CI311" s="48"/>
      <c r="CJ311" s="48"/>
      <c r="CK311" s="48"/>
      <c r="CL311" s="48"/>
      <c r="CM311" s="48"/>
      <c r="CN311" s="48"/>
      <c r="CO311" s="48"/>
      <c r="CP311" s="48"/>
      <c r="CQ311" s="48"/>
      <c r="CR311" s="48"/>
      <c r="CS311" s="48"/>
      <c r="CT311" s="48"/>
      <c r="CU311" s="48"/>
      <c r="CV311" s="48"/>
      <c r="CW311" s="48"/>
      <c r="CX311" s="48"/>
      <c r="CY311" s="48"/>
      <c r="CZ311" s="48"/>
      <c r="DA311" s="48"/>
      <c r="DB311" s="48"/>
      <c r="DC311" s="48"/>
      <c r="DD311" s="48"/>
      <c r="DE311" s="48"/>
      <c r="DF311" s="48"/>
      <c r="DG311" s="48"/>
      <c r="DH311" s="48"/>
      <c r="DI311" s="48"/>
      <c r="DJ311" s="48"/>
      <c r="DK311" s="48"/>
      <c r="DL311" s="48"/>
      <c r="DM311" s="48"/>
      <c r="DN311" s="48"/>
      <c r="DO311" s="48"/>
      <c r="DP311" s="48"/>
      <c r="DQ311" s="48"/>
      <c r="DR311" s="48"/>
      <c r="DS311" s="48"/>
    </row>
    <row r="312" spans="1:123" ht="15">
      <c r="A312"/>
      <c r="B312"/>
      <c r="C312"/>
      <c r="D312"/>
      <c r="E312"/>
      <c r="F312"/>
      <c r="G312"/>
      <c r="H312"/>
      <c r="I312"/>
      <c r="J312"/>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c r="BM312" s="48"/>
      <c r="BN312" s="48"/>
      <c r="BO312" s="48"/>
      <c r="BP312" s="48"/>
      <c r="BQ312" s="48"/>
      <c r="BR312" s="48"/>
      <c r="BS312" s="48"/>
      <c r="BT312" s="48"/>
      <c r="BU312" s="48"/>
      <c r="BV312" s="48"/>
      <c r="BW312" s="48"/>
      <c r="BX312" s="48"/>
      <c r="BY312" s="48"/>
      <c r="BZ312" s="48"/>
      <c r="CA312" s="48"/>
      <c r="CB312" s="48"/>
      <c r="CC312" s="48"/>
      <c r="CD312" s="48"/>
      <c r="CE312" s="48"/>
      <c r="CF312" s="48"/>
      <c r="CG312" s="48"/>
      <c r="CH312" s="48"/>
      <c r="CI312" s="48"/>
      <c r="CJ312" s="48"/>
      <c r="CK312" s="48"/>
      <c r="CL312" s="48"/>
      <c r="CM312" s="48"/>
      <c r="CN312" s="48"/>
      <c r="CO312" s="48"/>
      <c r="CP312" s="48"/>
      <c r="CQ312" s="48"/>
      <c r="CR312" s="48"/>
      <c r="CS312" s="48"/>
      <c r="CT312" s="48"/>
      <c r="CU312" s="48"/>
      <c r="CV312" s="48"/>
      <c r="CW312" s="48"/>
      <c r="CX312" s="48"/>
      <c r="CY312" s="48"/>
      <c r="CZ312" s="48"/>
      <c r="DA312" s="48"/>
      <c r="DB312" s="48"/>
      <c r="DC312" s="48"/>
      <c r="DD312" s="48"/>
      <c r="DE312" s="48"/>
      <c r="DF312" s="48"/>
      <c r="DG312" s="48"/>
      <c r="DH312" s="48"/>
      <c r="DI312" s="48"/>
      <c r="DJ312" s="48"/>
      <c r="DK312" s="48"/>
      <c r="DL312" s="48"/>
      <c r="DM312" s="48"/>
      <c r="DN312" s="48"/>
      <c r="DO312" s="48"/>
      <c r="DP312" s="48"/>
      <c r="DQ312" s="48"/>
      <c r="DR312" s="48"/>
      <c r="DS312" s="48"/>
    </row>
    <row r="313" spans="1:123" ht="15">
      <c r="A313"/>
      <c r="B313"/>
      <c r="C313"/>
      <c r="D313"/>
      <c r="E313"/>
      <c r="F313"/>
      <c r="G313"/>
      <c r="H313"/>
      <c r="I313"/>
      <c r="J313"/>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8"/>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c r="CZ313" s="48"/>
      <c r="DA313" s="48"/>
      <c r="DB313" s="48"/>
      <c r="DC313" s="48"/>
      <c r="DD313" s="48"/>
      <c r="DE313" s="48"/>
      <c r="DF313" s="48"/>
      <c r="DG313" s="48"/>
      <c r="DH313" s="48"/>
      <c r="DI313" s="48"/>
      <c r="DJ313" s="48"/>
      <c r="DK313" s="48"/>
      <c r="DL313" s="48"/>
      <c r="DM313" s="48"/>
      <c r="DN313" s="48"/>
      <c r="DO313" s="48"/>
      <c r="DP313" s="48"/>
      <c r="DQ313" s="48"/>
      <c r="DR313" s="48"/>
      <c r="DS313" s="48"/>
    </row>
    <row r="314" spans="1:123" ht="15">
      <c r="A314"/>
      <c r="B314"/>
      <c r="C314"/>
      <c r="D314"/>
      <c r="E314"/>
      <c r="F314"/>
      <c r="G314"/>
      <c r="H314"/>
      <c r="I314"/>
      <c r="J314"/>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48"/>
      <c r="BJ314" s="48"/>
      <c r="BK314" s="48"/>
      <c r="BL314" s="48"/>
      <c r="BM314" s="48"/>
      <c r="BN314" s="48"/>
      <c r="BO314" s="48"/>
      <c r="BP314" s="48"/>
      <c r="BQ314" s="48"/>
      <c r="BR314" s="48"/>
      <c r="BS314" s="48"/>
      <c r="BT314" s="48"/>
      <c r="BU314" s="48"/>
      <c r="BV314" s="48"/>
      <c r="BW314" s="48"/>
      <c r="BX314" s="48"/>
      <c r="BY314" s="48"/>
      <c r="BZ314" s="48"/>
      <c r="CA314" s="48"/>
      <c r="CB314" s="48"/>
      <c r="CC314" s="48"/>
      <c r="CD314" s="48"/>
      <c r="CE314" s="48"/>
      <c r="CF314" s="48"/>
      <c r="CG314" s="48"/>
      <c r="CH314" s="48"/>
      <c r="CI314" s="48"/>
      <c r="CJ314" s="48"/>
      <c r="CK314" s="48"/>
      <c r="CL314" s="48"/>
      <c r="CM314" s="48"/>
      <c r="CN314" s="48"/>
      <c r="CO314" s="48"/>
      <c r="CP314" s="48"/>
      <c r="CQ314" s="48"/>
      <c r="CR314" s="48"/>
      <c r="CS314" s="48"/>
      <c r="CT314" s="48"/>
      <c r="CU314" s="48"/>
      <c r="CV314" s="48"/>
      <c r="CW314" s="48"/>
      <c r="CX314" s="48"/>
      <c r="CY314" s="48"/>
      <c r="CZ314" s="48"/>
      <c r="DA314" s="48"/>
      <c r="DB314" s="48"/>
      <c r="DC314" s="48"/>
      <c r="DD314" s="48"/>
      <c r="DE314" s="48"/>
      <c r="DF314" s="48"/>
      <c r="DG314" s="48"/>
      <c r="DH314" s="48"/>
      <c r="DI314" s="48"/>
      <c r="DJ314" s="48"/>
      <c r="DK314" s="48"/>
      <c r="DL314" s="48"/>
      <c r="DM314" s="48"/>
      <c r="DN314" s="48"/>
      <c r="DO314" s="48"/>
      <c r="DP314" s="48"/>
      <c r="DQ314" s="48"/>
      <c r="DR314" s="48"/>
      <c r="DS314" s="48"/>
    </row>
    <row r="315" spans="1:123" ht="15">
      <c r="A315"/>
      <c r="B315"/>
      <c r="C315"/>
      <c r="D315"/>
      <c r="E315"/>
      <c r="F315"/>
      <c r="G315"/>
      <c r="H315"/>
      <c r="I315"/>
      <c r="J315"/>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c r="BP315" s="48"/>
      <c r="BQ315" s="48"/>
      <c r="BR315" s="48"/>
      <c r="BS315" s="48"/>
      <c r="BT315" s="48"/>
      <c r="BU315" s="48"/>
      <c r="BV315" s="48"/>
      <c r="BW315" s="48"/>
      <c r="BX315" s="48"/>
      <c r="BY315" s="48"/>
      <c r="BZ315" s="48"/>
      <c r="CA315" s="48"/>
      <c r="CB315" s="48"/>
      <c r="CC315" s="48"/>
      <c r="CD315" s="48"/>
      <c r="CE315" s="48"/>
      <c r="CF315" s="48"/>
      <c r="CG315" s="48"/>
      <c r="CH315" s="48"/>
      <c r="CI315" s="48"/>
      <c r="CJ315" s="48"/>
      <c r="CK315" s="48"/>
      <c r="CL315" s="48"/>
      <c r="CM315" s="48"/>
      <c r="CN315" s="48"/>
      <c r="CO315" s="48"/>
      <c r="CP315" s="48"/>
      <c r="CQ315" s="48"/>
      <c r="CR315" s="48"/>
      <c r="CS315" s="48"/>
      <c r="CT315" s="48"/>
      <c r="CU315" s="48"/>
      <c r="CV315" s="48"/>
      <c r="CW315" s="48"/>
      <c r="CX315" s="48"/>
      <c r="CY315" s="48"/>
      <c r="CZ315" s="48"/>
      <c r="DA315" s="48"/>
      <c r="DB315" s="48"/>
      <c r="DC315" s="48"/>
      <c r="DD315" s="48"/>
      <c r="DE315" s="48"/>
      <c r="DF315" s="48"/>
      <c r="DG315" s="48"/>
      <c r="DH315" s="48"/>
      <c r="DI315" s="48"/>
      <c r="DJ315" s="48"/>
      <c r="DK315" s="48"/>
      <c r="DL315" s="48"/>
      <c r="DM315" s="48"/>
      <c r="DN315" s="48"/>
      <c r="DO315" s="48"/>
      <c r="DP315" s="48"/>
      <c r="DQ315" s="48"/>
      <c r="DR315" s="48"/>
      <c r="DS315" s="48"/>
    </row>
    <row r="316" spans="1:123" ht="15">
      <c r="A316"/>
      <c r="B316"/>
      <c r="C316"/>
      <c r="D316"/>
      <c r="E316"/>
      <c r="F316"/>
      <c r="G316"/>
      <c r="H316"/>
      <c r="I316"/>
      <c r="J316"/>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48"/>
      <c r="BJ316" s="48"/>
      <c r="BK316" s="48"/>
      <c r="BL316" s="48"/>
      <c r="BM316" s="48"/>
      <c r="BN316" s="48"/>
      <c r="BO316" s="48"/>
      <c r="BP316" s="48"/>
      <c r="BQ316" s="48"/>
      <c r="BR316" s="48"/>
      <c r="BS316" s="48"/>
      <c r="BT316" s="48"/>
      <c r="BU316" s="48"/>
      <c r="BV316" s="48"/>
      <c r="BW316" s="48"/>
      <c r="BX316" s="48"/>
      <c r="BY316" s="48"/>
      <c r="BZ316" s="48"/>
      <c r="CA316" s="48"/>
      <c r="CB316" s="48"/>
      <c r="CC316" s="48"/>
      <c r="CD316" s="48"/>
      <c r="CE316" s="48"/>
      <c r="CF316" s="48"/>
      <c r="CG316" s="48"/>
      <c r="CH316" s="48"/>
      <c r="CI316" s="48"/>
      <c r="CJ316" s="48"/>
      <c r="CK316" s="48"/>
      <c r="CL316" s="48"/>
      <c r="CM316" s="48"/>
      <c r="CN316" s="48"/>
      <c r="CO316" s="48"/>
      <c r="CP316" s="48"/>
      <c r="CQ316" s="48"/>
      <c r="CR316" s="48"/>
      <c r="CS316" s="48"/>
      <c r="CT316" s="48"/>
      <c r="CU316" s="48"/>
      <c r="CV316" s="48"/>
      <c r="CW316" s="48"/>
      <c r="CX316" s="48"/>
      <c r="CY316" s="48"/>
      <c r="CZ316" s="48"/>
      <c r="DA316" s="48"/>
      <c r="DB316" s="48"/>
      <c r="DC316" s="48"/>
      <c r="DD316" s="48"/>
      <c r="DE316" s="48"/>
      <c r="DF316" s="48"/>
      <c r="DG316" s="48"/>
      <c r="DH316" s="48"/>
      <c r="DI316" s="48"/>
      <c r="DJ316" s="48"/>
      <c r="DK316" s="48"/>
      <c r="DL316" s="48"/>
      <c r="DM316" s="48"/>
      <c r="DN316" s="48"/>
      <c r="DO316" s="48"/>
      <c r="DP316" s="48"/>
      <c r="DQ316" s="48"/>
      <c r="DR316" s="48"/>
      <c r="DS316" s="48"/>
    </row>
    <row r="317" spans="1:123" ht="15">
      <c r="A317"/>
      <c r="B317"/>
      <c r="C317"/>
      <c r="D317"/>
      <c r="E317"/>
      <c r="F317"/>
      <c r="G317"/>
      <c r="H317"/>
      <c r="I317"/>
      <c r="J317"/>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48"/>
      <c r="BJ317" s="48"/>
      <c r="BK317" s="48"/>
      <c r="BL317" s="48"/>
      <c r="BM317" s="48"/>
      <c r="BN317" s="48"/>
      <c r="BO317" s="48"/>
      <c r="BP317" s="48"/>
      <c r="BQ317" s="48"/>
      <c r="BR317" s="48"/>
      <c r="BS317" s="48"/>
      <c r="BT317" s="48"/>
      <c r="BU317" s="48"/>
      <c r="BV317" s="48"/>
      <c r="BW317" s="48"/>
      <c r="BX317" s="48"/>
      <c r="BY317" s="48"/>
      <c r="BZ317" s="48"/>
      <c r="CA317" s="48"/>
      <c r="CB317" s="48"/>
      <c r="CC317" s="48"/>
      <c r="CD317" s="48"/>
      <c r="CE317" s="48"/>
      <c r="CF317" s="48"/>
      <c r="CG317" s="48"/>
      <c r="CH317" s="48"/>
      <c r="CI317" s="48"/>
      <c r="CJ317" s="48"/>
      <c r="CK317" s="48"/>
      <c r="CL317" s="48"/>
      <c r="CM317" s="48"/>
      <c r="CN317" s="48"/>
      <c r="CO317" s="48"/>
      <c r="CP317" s="48"/>
      <c r="CQ317" s="48"/>
      <c r="CR317" s="48"/>
      <c r="CS317" s="48"/>
      <c r="CT317" s="48"/>
      <c r="CU317" s="48"/>
      <c r="CV317" s="48"/>
      <c r="CW317" s="48"/>
      <c r="CX317" s="48"/>
      <c r="CY317" s="48"/>
      <c r="CZ317" s="48"/>
      <c r="DA317" s="48"/>
      <c r="DB317" s="48"/>
      <c r="DC317" s="48"/>
      <c r="DD317" s="48"/>
      <c r="DE317" s="48"/>
      <c r="DF317" s="48"/>
      <c r="DG317" s="48"/>
      <c r="DH317" s="48"/>
      <c r="DI317" s="48"/>
      <c r="DJ317" s="48"/>
      <c r="DK317" s="48"/>
      <c r="DL317" s="48"/>
      <c r="DM317" s="48"/>
      <c r="DN317" s="48"/>
      <c r="DO317" s="48"/>
      <c r="DP317" s="48"/>
      <c r="DQ317" s="48"/>
      <c r="DR317" s="48"/>
      <c r="DS317" s="48"/>
    </row>
    <row r="318" spans="1:123" ht="15">
      <c r="A318"/>
      <c r="B318"/>
      <c r="C318"/>
      <c r="D318"/>
      <c r="E318"/>
      <c r="F318"/>
      <c r="G318"/>
      <c r="H318"/>
      <c r="I318"/>
      <c r="J31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c r="DF318" s="48"/>
      <c r="DG318" s="48"/>
      <c r="DH318" s="48"/>
      <c r="DI318" s="48"/>
      <c r="DJ318" s="48"/>
      <c r="DK318" s="48"/>
      <c r="DL318" s="48"/>
      <c r="DM318" s="48"/>
      <c r="DN318" s="48"/>
      <c r="DO318" s="48"/>
      <c r="DP318" s="48"/>
      <c r="DQ318" s="48"/>
      <c r="DR318" s="48"/>
      <c r="DS318" s="48"/>
    </row>
    <row r="319" spans="1:123" ht="15">
      <c r="A319"/>
      <c r="B319"/>
      <c r="C319"/>
      <c r="D319"/>
      <c r="E319"/>
      <c r="F319"/>
      <c r="G319"/>
      <c r="H319"/>
      <c r="I319"/>
      <c r="J319"/>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48"/>
      <c r="BJ319" s="48"/>
      <c r="BK319" s="48"/>
      <c r="BL319" s="48"/>
      <c r="BM319" s="48"/>
      <c r="BN319" s="48"/>
      <c r="BO319" s="48"/>
      <c r="BP319" s="48"/>
      <c r="BQ319" s="48"/>
      <c r="BR319" s="48"/>
      <c r="BS319" s="48"/>
      <c r="BT319" s="48"/>
      <c r="BU319" s="48"/>
      <c r="BV319" s="48"/>
      <c r="BW319" s="48"/>
      <c r="BX319" s="48"/>
      <c r="BY319" s="48"/>
      <c r="BZ319" s="48"/>
      <c r="CA319" s="48"/>
      <c r="CB319" s="48"/>
      <c r="CC319" s="48"/>
      <c r="CD319" s="48"/>
      <c r="CE319" s="48"/>
      <c r="CF319" s="48"/>
      <c r="CG319" s="48"/>
      <c r="CH319" s="48"/>
      <c r="CI319" s="48"/>
      <c r="CJ319" s="48"/>
      <c r="CK319" s="48"/>
      <c r="CL319" s="48"/>
      <c r="CM319" s="48"/>
      <c r="CN319" s="48"/>
      <c r="CO319" s="48"/>
      <c r="CP319" s="48"/>
      <c r="CQ319" s="48"/>
      <c r="CR319" s="48"/>
      <c r="CS319" s="48"/>
      <c r="CT319" s="48"/>
      <c r="CU319" s="48"/>
      <c r="CV319" s="48"/>
      <c r="CW319" s="48"/>
      <c r="CX319" s="48"/>
      <c r="CY319" s="48"/>
      <c r="CZ319" s="48"/>
      <c r="DA319" s="48"/>
      <c r="DB319" s="48"/>
      <c r="DC319" s="48"/>
      <c r="DD319" s="48"/>
      <c r="DE319" s="48"/>
      <c r="DF319" s="48"/>
      <c r="DG319" s="48"/>
      <c r="DH319" s="48"/>
      <c r="DI319" s="48"/>
      <c r="DJ319" s="48"/>
      <c r="DK319" s="48"/>
      <c r="DL319" s="48"/>
      <c r="DM319" s="48"/>
      <c r="DN319" s="48"/>
      <c r="DO319" s="48"/>
      <c r="DP319" s="48"/>
      <c r="DQ319" s="48"/>
      <c r="DR319" s="48"/>
      <c r="DS319" s="48"/>
    </row>
    <row r="320" spans="1:123" ht="15">
      <c r="A320"/>
      <c r="B320"/>
      <c r="C320"/>
      <c r="D320"/>
      <c r="E320"/>
      <c r="F320"/>
      <c r="G320"/>
      <c r="H320"/>
      <c r="I320"/>
      <c r="J320"/>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48"/>
      <c r="BJ320" s="48"/>
      <c r="BK320" s="48"/>
      <c r="BL320" s="48"/>
      <c r="BM320" s="48"/>
      <c r="BN320" s="48"/>
      <c r="BO320" s="48"/>
      <c r="BP320" s="48"/>
      <c r="BQ320" s="48"/>
      <c r="BR320" s="48"/>
      <c r="BS320" s="48"/>
      <c r="BT320" s="48"/>
      <c r="BU320" s="48"/>
      <c r="BV320" s="48"/>
      <c r="BW320" s="48"/>
      <c r="BX320" s="48"/>
      <c r="BY320" s="48"/>
      <c r="BZ320" s="48"/>
      <c r="CA320" s="48"/>
      <c r="CB320" s="48"/>
      <c r="CC320" s="48"/>
      <c r="CD320" s="48"/>
      <c r="CE320" s="48"/>
      <c r="CF320" s="48"/>
      <c r="CG320" s="48"/>
      <c r="CH320" s="48"/>
      <c r="CI320" s="48"/>
      <c r="CJ320" s="48"/>
      <c r="CK320" s="48"/>
      <c r="CL320" s="48"/>
      <c r="CM320" s="48"/>
      <c r="CN320" s="48"/>
      <c r="CO320" s="48"/>
      <c r="CP320" s="48"/>
      <c r="CQ320" s="48"/>
      <c r="CR320" s="48"/>
      <c r="CS320" s="48"/>
      <c r="CT320" s="48"/>
      <c r="CU320" s="48"/>
      <c r="CV320" s="48"/>
      <c r="CW320" s="48"/>
      <c r="CX320" s="48"/>
      <c r="CY320" s="48"/>
      <c r="CZ320" s="48"/>
      <c r="DA320" s="48"/>
      <c r="DB320" s="48"/>
      <c r="DC320" s="48"/>
      <c r="DD320" s="48"/>
      <c r="DE320" s="48"/>
      <c r="DF320" s="48"/>
      <c r="DG320" s="48"/>
      <c r="DH320" s="48"/>
      <c r="DI320" s="48"/>
      <c r="DJ320" s="48"/>
      <c r="DK320" s="48"/>
      <c r="DL320" s="48"/>
      <c r="DM320" s="48"/>
      <c r="DN320" s="48"/>
      <c r="DO320" s="48"/>
      <c r="DP320" s="48"/>
      <c r="DQ320" s="48"/>
      <c r="DR320" s="48"/>
      <c r="DS320" s="48"/>
    </row>
    <row r="321" spans="1:123" ht="15">
      <c r="A321"/>
      <c r="B321"/>
      <c r="C321"/>
      <c r="D321"/>
      <c r="E321"/>
      <c r="F321"/>
      <c r="G321"/>
      <c r="H321"/>
      <c r="I321"/>
      <c r="J321"/>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8"/>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c r="CZ321" s="48"/>
      <c r="DA321" s="48"/>
      <c r="DB321" s="48"/>
      <c r="DC321" s="48"/>
      <c r="DD321" s="48"/>
      <c r="DE321" s="48"/>
      <c r="DF321" s="48"/>
      <c r="DG321" s="48"/>
      <c r="DH321" s="48"/>
      <c r="DI321" s="48"/>
      <c r="DJ321" s="48"/>
      <c r="DK321" s="48"/>
      <c r="DL321" s="48"/>
      <c r="DM321" s="48"/>
      <c r="DN321" s="48"/>
      <c r="DO321" s="48"/>
      <c r="DP321" s="48"/>
      <c r="DQ321" s="48"/>
      <c r="DR321" s="48"/>
      <c r="DS321" s="48"/>
    </row>
    <row r="322" spans="1:123" ht="15">
      <c r="A322"/>
      <c r="B322"/>
      <c r="C322"/>
      <c r="D322"/>
      <c r="E322"/>
      <c r="F322"/>
      <c r="G322"/>
      <c r="H322"/>
      <c r="I322"/>
      <c r="J322"/>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c r="BO322" s="48"/>
      <c r="BP322" s="48"/>
      <c r="BQ322" s="48"/>
      <c r="BR322" s="48"/>
      <c r="BS322" s="48"/>
      <c r="BT322" s="48"/>
      <c r="BU322" s="48"/>
      <c r="BV322" s="48"/>
      <c r="BW322" s="48"/>
      <c r="BX322" s="48"/>
      <c r="BY322" s="48"/>
      <c r="BZ322" s="48"/>
      <c r="CA322" s="48"/>
      <c r="CB322" s="48"/>
      <c r="CC322" s="48"/>
      <c r="CD322" s="48"/>
      <c r="CE322" s="48"/>
      <c r="CF322" s="48"/>
      <c r="CG322" s="48"/>
      <c r="CH322" s="48"/>
      <c r="CI322" s="48"/>
      <c r="CJ322" s="48"/>
      <c r="CK322" s="48"/>
      <c r="CL322" s="48"/>
      <c r="CM322" s="48"/>
      <c r="CN322" s="48"/>
      <c r="CO322" s="48"/>
      <c r="CP322" s="48"/>
      <c r="CQ322" s="48"/>
      <c r="CR322" s="48"/>
      <c r="CS322" s="48"/>
      <c r="CT322" s="48"/>
      <c r="CU322" s="48"/>
      <c r="CV322" s="48"/>
      <c r="CW322" s="48"/>
      <c r="CX322" s="48"/>
      <c r="CY322" s="48"/>
      <c r="CZ322" s="48"/>
      <c r="DA322" s="48"/>
      <c r="DB322" s="48"/>
      <c r="DC322" s="48"/>
      <c r="DD322" s="48"/>
      <c r="DE322" s="48"/>
      <c r="DF322" s="48"/>
      <c r="DG322" s="48"/>
      <c r="DH322" s="48"/>
      <c r="DI322" s="48"/>
      <c r="DJ322" s="48"/>
      <c r="DK322" s="48"/>
      <c r="DL322" s="48"/>
      <c r="DM322" s="48"/>
      <c r="DN322" s="48"/>
      <c r="DO322" s="48"/>
      <c r="DP322" s="48"/>
      <c r="DQ322" s="48"/>
      <c r="DR322" s="48"/>
      <c r="DS322" s="48"/>
    </row>
    <row r="323" spans="1:123" ht="15">
      <c r="A323"/>
      <c r="B323"/>
      <c r="C323"/>
      <c r="D323"/>
      <c r="E323"/>
      <c r="F323"/>
      <c r="G323"/>
      <c r="H323"/>
      <c r="I323"/>
      <c r="J323"/>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c r="BO323" s="48"/>
      <c r="BP323" s="48"/>
      <c r="BQ323" s="48"/>
      <c r="BR323" s="48"/>
      <c r="BS323" s="48"/>
      <c r="BT323" s="48"/>
      <c r="BU323" s="48"/>
      <c r="BV323" s="48"/>
      <c r="BW323" s="48"/>
      <c r="BX323" s="48"/>
      <c r="BY323" s="48"/>
      <c r="BZ323" s="48"/>
      <c r="CA323" s="48"/>
      <c r="CB323" s="48"/>
      <c r="CC323" s="48"/>
      <c r="CD323" s="48"/>
      <c r="CE323" s="48"/>
      <c r="CF323" s="48"/>
      <c r="CG323" s="48"/>
      <c r="CH323" s="48"/>
      <c r="CI323" s="48"/>
      <c r="CJ323" s="48"/>
      <c r="CK323" s="48"/>
      <c r="CL323" s="48"/>
      <c r="CM323" s="48"/>
      <c r="CN323" s="48"/>
      <c r="CO323" s="48"/>
      <c r="CP323" s="48"/>
      <c r="CQ323" s="48"/>
      <c r="CR323" s="48"/>
      <c r="CS323" s="48"/>
      <c r="CT323" s="48"/>
      <c r="CU323" s="48"/>
      <c r="CV323" s="48"/>
      <c r="CW323" s="48"/>
      <c r="CX323" s="48"/>
      <c r="CY323" s="48"/>
      <c r="CZ323" s="48"/>
      <c r="DA323" s="48"/>
      <c r="DB323" s="48"/>
      <c r="DC323" s="48"/>
      <c r="DD323" s="48"/>
      <c r="DE323" s="48"/>
      <c r="DF323" s="48"/>
      <c r="DG323" s="48"/>
      <c r="DH323" s="48"/>
      <c r="DI323" s="48"/>
      <c r="DJ323" s="48"/>
      <c r="DK323" s="48"/>
      <c r="DL323" s="48"/>
      <c r="DM323" s="48"/>
      <c r="DN323" s="48"/>
      <c r="DO323" s="48"/>
      <c r="DP323" s="48"/>
      <c r="DQ323" s="48"/>
      <c r="DR323" s="48"/>
      <c r="DS323" s="48"/>
    </row>
    <row r="324" spans="1:123" ht="15">
      <c r="A324"/>
      <c r="B324"/>
      <c r="C324"/>
      <c r="D324"/>
      <c r="E324"/>
      <c r="F324"/>
      <c r="G324"/>
      <c r="H324"/>
      <c r="I324"/>
      <c r="J324"/>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c r="DF324" s="48"/>
      <c r="DG324" s="48"/>
      <c r="DH324" s="48"/>
      <c r="DI324" s="48"/>
      <c r="DJ324" s="48"/>
      <c r="DK324" s="48"/>
      <c r="DL324" s="48"/>
      <c r="DM324" s="48"/>
      <c r="DN324" s="48"/>
      <c r="DO324" s="48"/>
      <c r="DP324" s="48"/>
      <c r="DQ324" s="48"/>
      <c r="DR324" s="48"/>
      <c r="DS324" s="48"/>
    </row>
    <row r="325" spans="1:123" ht="15">
      <c r="A325"/>
      <c r="B325"/>
      <c r="C325"/>
      <c r="D325"/>
      <c r="E325"/>
      <c r="F325"/>
      <c r="G325"/>
      <c r="H325"/>
      <c r="I325"/>
      <c r="J325"/>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48"/>
      <c r="BH325" s="48"/>
      <c r="BI325" s="48"/>
      <c r="BJ325" s="48"/>
      <c r="BK325" s="48"/>
      <c r="BL325" s="48"/>
      <c r="BM325" s="48"/>
      <c r="BN325" s="48"/>
      <c r="BO325" s="48"/>
      <c r="BP325" s="48"/>
      <c r="BQ325" s="48"/>
      <c r="BR325" s="48"/>
      <c r="BS325" s="48"/>
      <c r="BT325" s="48"/>
      <c r="BU325" s="48"/>
      <c r="BV325" s="48"/>
      <c r="BW325" s="48"/>
      <c r="BX325" s="48"/>
      <c r="BY325" s="48"/>
      <c r="BZ325" s="48"/>
      <c r="CA325" s="48"/>
      <c r="CB325" s="48"/>
      <c r="CC325" s="48"/>
      <c r="CD325" s="48"/>
      <c r="CE325" s="48"/>
      <c r="CF325" s="48"/>
      <c r="CG325" s="48"/>
      <c r="CH325" s="48"/>
      <c r="CI325" s="48"/>
      <c r="CJ325" s="48"/>
      <c r="CK325" s="48"/>
      <c r="CL325" s="48"/>
      <c r="CM325" s="48"/>
      <c r="CN325" s="48"/>
      <c r="CO325" s="48"/>
      <c r="CP325" s="48"/>
      <c r="CQ325" s="48"/>
      <c r="CR325" s="48"/>
      <c r="CS325" s="48"/>
      <c r="CT325" s="48"/>
      <c r="CU325" s="48"/>
      <c r="CV325" s="48"/>
      <c r="CW325" s="48"/>
      <c r="CX325" s="48"/>
      <c r="CY325" s="48"/>
      <c r="CZ325" s="48"/>
      <c r="DA325" s="48"/>
      <c r="DB325" s="48"/>
      <c r="DC325" s="48"/>
      <c r="DD325" s="48"/>
      <c r="DE325" s="48"/>
      <c r="DF325" s="48"/>
      <c r="DG325" s="48"/>
      <c r="DH325" s="48"/>
      <c r="DI325" s="48"/>
      <c r="DJ325" s="48"/>
      <c r="DK325" s="48"/>
      <c r="DL325" s="48"/>
      <c r="DM325" s="48"/>
      <c r="DN325" s="48"/>
      <c r="DO325" s="48"/>
      <c r="DP325" s="48"/>
      <c r="DQ325" s="48"/>
      <c r="DR325" s="48"/>
      <c r="DS325" s="48"/>
    </row>
    <row r="326" spans="1:123" ht="15">
      <c r="A326"/>
      <c r="B326"/>
      <c r="C326"/>
      <c r="D326"/>
      <c r="E326"/>
      <c r="F326"/>
      <c r="G326"/>
      <c r="H326"/>
      <c r="I326"/>
      <c r="J326"/>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48"/>
      <c r="BH326" s="48"/>
      <c r="BI326" s="48"/>
      <c r="BJ326" s="48"/>
      <c r="BK326" s="48"/>
      <c r="BL326" s="48"/>
      <c r="BM326" s="48"/>
      <c r="BN326" s="48"/>
      <c r="BO326" s="48"/>
      <c r="BP326" s="48"/>
      <c r="BQ326" s="48"/>
      <c r="BR326" s="48"/>
      <c r="BS326" s="48"/>
      <c r="BT326" s="48"/>
      <c r="BU326" s="48"/>
      <c r="BV326" s="48"/>
      <c r="BW326" s="48"/>
      <c r="BX326" s="48"/>
      <c r="BY326" s="48"/>
      <c r="BZ326" s="48"/>
      <c r="CA326" s="48"/>
      <c r="CB326" s="48"/>
      <c r="CC326" s="48"/>
      <c r="CD326" s="48"/>
      <c r="CE326" s="48"/>
      <c r="CF326" s="48"/>
      <c r="CG326" s="48"/>
      <c r="CH326" s="48"/>
      <c r="CI326" s="48"/>
      <c r="CJ326" s="48"/>
      <c r="CK326" s="48"/>
      <c r="CL326" s="48"/>
      <c r="CM326" s="48"/>
      <c r="CN326" s="48"/>
      <c r="CO326" s="48"/>
      <c r="CP326" s="48"/>
      <c r="CQ326" s="48"/>
      <c r="CR326" s="48"/>
      <c r="CS326" s="48"/>
      <c r="CT326" s="48"/>
      <c r="CU326" s="48"/>
      <c r="CV326" s="48"/>
      <c r="CW326" s="48"/>
      <c r="CX326" s="48"/>
      <c r="CY326" s="48"/>
      <c r="CZ326" s="48"/>
      <c r="DA326" s="48"/>
      <c r="DB326" s="48"/>
      <c r="DC326" s="48"/>
      <c r="DD326" s="48"/>
      <c r="DE326" s="48"/>
      <c r="DF326" s="48"/>
      <c r="DG326" s="48"/>
      <c r="DH326" s="48"/>
      <c r="DI326" s="48"/>
      <c r="DJ326" s="48"/>
      <c r="DK326" s="48"/>
      <c r="DL326" s="48"/>
      <c r="DM326" s="48"/>
      <c r="DN326" s="48"/>
      <c r="DO326" s="48"/>
      <c r="DP326" s="48"/>
      <c r="DQ326" s="48"/>
      <c r="DR326" s="48"/>
      <c r="DS326" s="48"/>
    </row>
    <row r="327" spans="1:123" ht="15">
      <c r="A327"/>
      <c r="B327"/>
      <c r="C327"/>
      <c r="D327"/>
      <c r="E327"/>
      <c r="F327"/>
      <c r="G327"/>
      <c r="H327"/>
      <c r="I327"/>
      <c r="J327"/>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c r="DF327" s="48"/>
      <c r="DG327" s="48"/>
      <c r="DH327" s="48"/>
      <c r="DI327" s="48"/>
      <c r="DJ327" s="48"/>
      <c r="DK327" s="48"/>
      <c r="DL327" s="48"/>
      <c r="DM327" s="48"/>
      <c r="DN327" s="48"/>
      <c r="DO327" s="48"/>
      <c r="DP327" s="48"/>
      <c r="DQ327" s="48"/>
      <c r="DR327" s="48"/>
      <c r="DS327" s="48"/>
    </row>
    <row r="328" spans="1:123" ht="15">
      <c r="A328"/>
      <c r="B328"/>
      <c r="C328"/>
      <c r="D328"/>
      <c r="E328"/>
      <c r="F328"/>
      <c r="G328"/>
      <c r="H328"/>
      <c r="I328"/>
      <c r="J32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48"/>
      <c r="BH328" s="48"/>
      <c r="BI328" s="48"/>
      <c r="BJ328" s="48"/>
      <c r="BK328" s="48"/>
      <c r="BL328" s="48"/>
      <c r="BM328" s="48"/>
      <c r="BN328" s="48"/>
      <c r="BO328" s="48"/>
      <c r="BP328" s="48"/>
      <c r="BQ328" s="48"/>
      <c r="BR328" s="48"/>
      <c r="BS328" s="48"/>
      <c r="BT328" s="48"/>
      <c r="BU328" s="48"/>
      <c r="BV328" s="48"/>
      <c r="BW328" s="48"/>
      <c r="BX328" s="48"/>
      <c r="BY328" s="48"/>
      <c r="BZ328" s="48"/>
      <c r="CA328" s="48"/>
      <c r="CB328" s="48"/>
      <c r="CC328" s="48"/>
      <c r="CD328" s="48"/>
      <c r="CE328" s="48"/>
      <c r="CF328" s="48"/>
      <c r="CG328" s="48"/>
      <c r="CH328" s="48"/>
      <c r="CI328" s="48"/>
      <c r="CJ328" s="48"/>
      <c r="CK328" s="48"/>
      <c r="CL328" s="48"/>
      <c r="CM328" s="48"/>
      <c r="CN328" s="48"/>
      <c r="CO328" s="48"/>
      <c r="CP328" s="48"/>
      <c r="CQ328" s="48"/>
      <c r="CR328" s="48"/>
      <c r="CS328" s="48"/>
      <c r="CT328" s="48"/>
      <c r="CU328" s="48"/>
      <c r="CV328" s="48"/>
      <c r="CW328" s="48"/>
      <c r="CX328" s="48"/>
      <c r="CY328" s="48"/>
      <c r="CZ328" s="48"/>
      <c r="DA328" s="48"/>
      <c r="DB328" s="48"/>
      <c r="DC328" s="48"/>
      <c r="DD328" s="48"/>
      <c r="DE328" s="48"/>
      <c r="DF328" s="48"/>
      <c r="DG328" s="48"/>
      <c r="DH328" s="48"/>
      <c r="DI328" s="48"/>
      <c r="DJ328" s="48"/>
      <c r="DK328" s="48"/>
      <c r="DL328" s="48"/>
      <c r="DM328" s="48"/>
      <c r="DN328" s="48"/>
      <c r="DO328" s="48"/>
      <c r="DP328" s="48"/>
      <c r="DQ328" s="48"/>
      <c r="DR328" s="48"/>
      <c r="DS328" s="48"/>
    </row>
    <row r="329" spans="1:123" ht="15">
      <c r="A329"/>
      <c r="B329"/>
      <c r="C329"/>
      <c r="D329"/>
      <c r="E329"/>
      <c r="F329"/>
      <c r="G329"/>
      <c r="H329"/>
      <c r="I329"/>
      <c r="J329"/>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8"/>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c r="CZ329" s="48"/>
      <c r="DA329" s="48"/>
      <c r="DB329" s="48"/>
      <c r="DC329" s="48"/>
      <c r="DD329" s="48"/>
      <c r="DE329" s="48"/>
      <c r="DF329" s="48"/>
      <c r="DG329" s="48"/>
      <c r="DH329" s="48"/>
      <c r="DI329" s="48"/>
      <c r="DJ329" s="48"/>
      <c r="DK329" s="48"/>
      <c r="DL329" s="48"/>
      <c r="DM329" s="48"/>
      <c r="DN329" s="48"/>
      <c r="DO329" s="48"/>
      <c r="DP329" s="48"/>
      <c r="DQ329" s="48"/>
      <c r="DR329" s="48"/>
      <c r="DS329" s="48"/>
    </row>
    <row r="330" spans="1:123" ht="15">
      <c r="A330"/>
      <c r="B330"/>
      <c r="C330"/>
      <c r="D330"/>
      <c r="E330"/>
      <c r="F330"/>
      <c r="G330"/>
      <c r="H330"/>
      <c r="I330"/>
      <c r="J330"/>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48"/>
      <c r="BH330" s="48"/>
      <c r="BI330" s="48"/>
      <c r="BJ330" s="48"/>
      <c r="BK330" s="48"/>
      <c r="BL330" s="48"/>
      <c r="BM330" s="48"/>
      <c r="BN330" s="48"/>
      <c r="BO330" s="48"/>
      <c r="BP330" s="48"/>
      <c r="BQ330" s="48"/>
      <c r="BR330" s="48"/>
      <c r="BS330" s="48"/>
      <c r="BT330" s="48"/>
      <c r="BU330" s="48"/>
      <c r="BV330" s="48"/>
      <c r="BW330" s="48"/>
      <c r="BX330" s="48"/>
      <c r="BY330" s="48"/>
      <c r="BZ330" s="48"/>
      <c r="CA330" s="48"/>
      <c r="CB330" s="48"/>
      <c r="CC330" s="48"/>
      <c r="CD330" s="48"/>
      <c r="CE330" s="48"/>
      <c r="CF330" s="48"/>
      <c r="CG330" s="48"/>
      <c r="CH330" s="48"/>
      <c r="CI330" s="48"/>
      <c r="CJ330" s="48"/>
      <c r="CK330" s="48"/>
      <c r="CL330" s="48"/>
      <c r="CM330" s="48"/>
      <c r="CN330" s="48"/>
      <c r="CO330" s="48"/>
      <c r="CP330" s="48"/>
      <c r="CQ330" s="48"/>
      <c r="CR330" s="48"/>
      <c r="CS330" s="48"/>
      <c r="CT330" s="48"/>
      <c r="CU330" s="48"/>
      <c r="CV330" s="48"/>
      <c r="CW330" s="48"/>
      <c r="CX330" s="48"/>
      <c r="CY330" s="48"/>
      <c r="CZ330" s="48"/>
      <c r="DA330" s="48"/>
      <c r="DB330" s="48"/>
      <c r="DC330" s="48"/>
      <c r="DD330" s="48"/>
      <c r="DE330" s="48"/>
      <c r="DF330" s="48"/>
      <c r="DG330" s="48"/>
      <c r="DH330" s="48"/>
      <c r="DI330" s="48"/>
      <c r="DJ330" s="48"/>
      <c r="DK330" s="48"/>
      <c r="DL330" s="48"/>
      <c r="DM330" s="48"/>
      <c r="DN330" s="48"/>
      <c r="DO330" s="48"/>
      <c r="DP330" s="48"/>
      <c r="DQ330" s="48"/>
      <c r="DR330" s="48"/>
      <c r="DS330" s="48"/>
    </row>
    <row r="331" spans="1:123" ht="15">
      <c r="A331"/>
      <c r="B331"/>
      <c r="C331"/>
      <c r="D331"/>
      <c r="E331"/>
      <c r="F331"/>
      <c r="G331"/>
      <c r="H331"/>
      <c r="I331"/>
      <c r="J331"/>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48"/>
      <c r="BH331" s="48"/>
      <c r="BI331" s="48"/>
      <c r="BJ331" s="48"/>
      <c r="BK331" s="48"/>
      <c r="BL331" s="48"/>
      <c r="BM331" s="48"/>
      <c r="BN331" s="48"/>
      <c r="BO331" s="48"/>
      <c r="BP331" s="48"/>
      <c r="BQ331" s="48"/>
      <c r="BR331" s="48"/>
      <c r="BS331" s="48"/>
      <c r="BT331" s="48"/>
      <c r="BU331" s="48"/>
      <c r="BV331" s="48"/>
      <c r="BW331" s="48"/>
      <c r="BX331" s="48"/>
      <c r="BY331" s="48"/>
      <c r="BZ331" s="48"/>
      <c r="CA331" s="48"/>
      <c r="CB331" s="48"/>
      <c r="CC331" s="48"/>
      <c r="CD331" s="48"/>
      <c r="CE331" s="48"/>
      <c r="CF331" s="48"/>
      <c r="CG331" s="48"/>
      <c r="CH331" s="48"/>
      <c r="CI331" s="48"/>
      <c r="CJ331" s="48"/>
      <c r="CK331" s="48"/>
      <c r="CL331" s="48"/>
      <c r="CM331" s="48"/>
      <c r="CN331" s="48"/>
      <c r="CO331" s="48"/>
      <c r="CP331" s="48"/>
      <c r="CQ331" s="48"/>
      <c r="CR331" s="48"/>
      <c r="CS331" s="48"/>
      <c r="CT331" s="48"/>
      <c r="CU331" s="48"/>
      <c r="CV331" s="48"/>
      <c r="CW331" s="48"/>
      <c r="CX331" s="48"/>
      <c r="CY331" s="48"/>
      <c r="CZ331" s="48"/>
      <c r="DA331" s="48"/>
      <c r="DB331" s="48"/>
      <c r="DC331" s="48"/>
      <c r="DD331" s="48"/>
      <c r="DE331" s="48"/>
      <c r="DF331" s="48"/>
      <c r="DG331" s="48"/>
      <c r="DH331" s="48"/>
      <c r="DI331" s="48"/>
      <c r="DJ331" s="48"/>
      <c r="DK331" s="48"/>
      <c r="DL331" s="48"/>
      <c r="DM331" s="48"/>
      <c r="DN331" s="48"/>
      <c r="DO331" s="48"/>
      <c r="DP331" s="48"/>
      <c r="DQ331" s="48"/>
      <c r="DR331" s="48"/>
      <c r="DS331" s="48"/>
    </row>
    <row r="332" spans="1:123" ht="15">
      <c r="A332"/>
      <c r="B332"/>
      <c r="C332"/>
      <c r="D332"/>
      <c r="E332"/>
      <c r="F332"/>
      <c r="G332"/>
      <c r="H332"/>
      <c r="I332"/>
      <c r="J332"/>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48"/>
      <c r="BH332" s="48"/>
      <c r="BI332" s="48"/>
      <c r="BJ332" s="48"/>
      <c r="BK332" s="48"/>
      <c r="BL332" s="48"/>
      <c r="BM332" s="48"/>
      <c r="BN332" s="48"/>
      <c r="BO332" s="48"/>
      <c r="BP332" s="48"/>
      <c r="BQ332" s="48"/>
      <c r="BR332" s="48"/>
      <c r="BS332" s="48"/>
      <c r="BT332" s="48"/>
      <c r="BU332" s="48"/>
      <c r="BV332" s="48"/>
      <c r="BW332" s="48"/>
      <c r="BX332" s="48"/>
      <c r="BY332" s="48"/>
      <c r="BZ332" s="48"/>
      <c r="CA332" s="48"/>
      <c r="CB332" s="48"/>
      <c r="CC332" s="48"/>
      <c r="CD332" s="48"/>
      <c r="CE332" s="48"/>
      <c r="CF332" s="48"/>
      <c r="CG332" s="48"/>
      <c r="CH332" s="48"/>
      <c r="CI332" s="48"/>
      <c r="CJ332" s="48"/>
      <c r="CK332" s="48"/>
      <c r="CL332" s="48"/>
      <c r="CM332" s="48"/>
      <c r="CN332" s="48"/>
      <c r="CO332" s="48"/>
      <c r="CP332" s="48"/>
      <c r="CQ332" s="48"/>
      <c r="CR332" s="48"/>
      <c r="CS332" s="48"/>
      <c r="CT332" s="48"/>
      <c r="CU332" s="48"/>
      <c r="CV332" s="48"/>
      <c r="CW332" s="48"/>
      <c r="CX332" s="48"/>
      <c r="CY332" s="48"/>
      <c r="CZ332" s="48"/>
      <c r="DA332" s="48"/>
      <c r="DB332" s="48"/>
      <c r="DC332" s="48"/>
      <c r="DD332" s="48"/>
      <c r="DE332" s="48"/>
      <c r="DF332" s="48"/>
      <c r="DG332" s="48"/>
      <c r="DH332" s="48"/>
      <c r="DI332" s="48"/>
      <c r="DJ332" s="48"/>
      <c r="DK332" s="48"/>
      <c r="DL332" s="48"/>
      <c r="DM332" s="48"/>
      <c r="DN332" s="48"/>
      <c r="DO332" s="48"/>
      <c r="DP332" s="48"/>
      <c r="DQ332" s="48"/>
      <c r="DR332" s="48"/>
      <c r="DS332" s="48"/>
    </row>
    <row r="333" spans="1:123" ht="15">
      <c r="A333"/>
      <c r="B333"/>
      <c r="C333"/>
      <c r="D333"/>
      <c r="E333"/>
      <c r="F333"/>
      <c r="G333"/>
      <c r="H333"/>
      <c r="I333"/>
      <c r="J333"/>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48"/>
      <c r="BH333" s="48"/>
      <c r="BI333" s="48"/>
      <c r="BJ333" s="48"/>
      <c r="BK333" s="48"/>
      <c r="BL333" s="48"/>
      <c r="BM333" s="48"/>
      <c r="BN333" s="48"/>
      <c r="BO333" s="48"/>
      <c r="BP333" s="48"/>
      <c r="BQ333" s="48"/>
      <c r="BR333" s="48"/>
      <c r="BS333" s="48"/>
      <c r="BT333" s="48"/>
      <c r="BU333" s="48"/>
      <c r="BV333" s="48"/>
      <c r="BW333" s="48"/>
      <c r="BX333" s="48"/>
      <c r="BY333" s="48"/>
      <c r="BZ333" s="48"/>
      <c r="CA333" s="48"/>
      <c r="CB333" s="48"/>
      <c r="CC333" s="48"/>
      <c r="CD333" s="48"/>
      <c r="CE333" s="48"/>
      <c r="CF333" s="48"/>
      <c r="CG333" s="48"/>
      <c r="CH333" s="48"/>
      <c r="CI333" s="48"/>
      <c r="CJ333" s="48"/>
      <c r="CK333" s="48"/>
      <c r="CL333" s="48"/>
      <c r="CM333" s="48"/>
      <c r="CN333" s="48"/>
      <c r="CO333" s="48"/>
      <c r="CP333" s="48"/>
      <c r="CQ333" s="48"/>
      <c r="CR333" s="48"/>
      <c r="CS333" s="48"/>
      <c r="CT333" s="48"/>
      <c r="CU333" s="48"/>
      <c r="CV333" s="48"/>
      <c r="CW333" s="48"/>
      <c r="CX333" s="48"/>
      <c r="CY333" s="48"/>
      <c r="CZ333" s="48"/>
      <c r="DA333" s="48"/>
      <c r="DB333" s="48"/>
      <c r="DC333" s="48"/>
      <c r="DD333" s="48"/>
      <c r="DE333" s="48"/>
      <c r="DF333" s="48"/>
      <c r="DG333" s="48"/>
      <c r="DH333" s="48"/>
      <c r="DI333" s="48"/>
      <c r="DJ333" s="48"/>
      <c r="DK333" s="48"/>
      <c r="DL333" s="48"/>
      <c r="DM333" s="48"/>
      <c r="DN333" s="48"/>
      <c r="DO333" s="48"/>
      <c r="DP333" s="48"/>
      <c r="DQ333" s="48"/>
      <c r="DR333" s="48"/>
      <c r="DS333" s="48"/>
    </row>
    <row r="334" spans="1:123" ht="15">
      <c r="A334"/>
      <c r="B334"/>
      <c r="C334"/>
      <c r="D334"/>
      <c r="E334"/>
      <c r="F334"/>
      <c r="G334"/>
      <c r="H334"/>
      <c r="I334"/>
      <c r="J334"/>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48"/>
      <c r="BH334" s="48"/>
      <c r="BI334" s="48"/>
      <c r="BJ334" s="48"/>
      <c r="BK334" s="48"/>
      <c r="BL334" s="48"/>
      <c r="BM334" s="48"/>
      <c r="BN334" s="48"/>
      <c r="BO334" s="48"/>
      <c r="BP334" s="48"/>
      <c r="BQ334" s="48"/>
      <c r="BR334" s="48"/>
      <c r="BS334" s="48"/>
      <c r="BT334" s="48"/>
      <c r="BU334" s="48"/>
      <c r="BV334" s="48"/>
      <c r="BW334" s="48"/>
      <c r="BX334" s="48"/>
      <c r="BY334" s="48"/>
      <c r="BZ334" s="48"/>
      <c r="CA334" s="48"/>
      <c r="CB334" s="48"/>
      <c r="CC334" s="48"/>
      <c r="CD334" s="48"/>
      <c r="CE334" s="48"/>
      <c r="CF334" s="48"/>
      <c r="CG334" s="48"/>
      <c r="CH334" s="48"/>
      <c r="CI334" s="48"/>
      <c r="CJ334" s="48"/>
      <c r="CK334" s="48"/>
      <c r="CL334" s="48"/>
      <c r="CM334" s="48"/>
      <c r="CN334" s="48"/>
      <c r="CO334" s="48"/>
      <c r="CP334" s="48"/>
      <c r="CQ334" s="48"/>
      <c r="CR334" s="48"/>
      <c r="CS334" s="48"/>
      <c r="CT334" s="48"/>
      <c r="CU334" s="48"/>
      <c r="CV334" s="48"/>
      <c r="CW334" s="48"/>
      <c r="CX334" s="48"/>
      <c r="CY334" s="48"/>
      <c r="CZ334" s="48"/>
      <c r="DA334" s="48"/>
      <c r="DB334" s="48"/>
      <c r="DC334" s="48"/>
      <c r="DD334" s="48"/>
      <c r="DE334" s="48"/>
      <c r="DF334" s="48"/>
      <c r="DG334" s="48"/>
      <c r="DH334" s="48"/>
      <c r="DI334" s="48"/>
      <c r="DJ334" s="48"/>
      <c r="DK334" s="48"/>
      <c r="DL334" s="48"/>
      <c r="DM334" s="48"/>
      <c r="DN334" s="48"/>
      <c r="DO334" s="48"/>
      <c r="DP334" s="48"/>
      <c r="DQ334" s="48"/>
      <c r="DR334" s="48"/>
      <c r="DS334" s="48"/>
    </row>
    <row r="335" spans="1:123" ht="15">
      <c r="A335"/>
      <c r="B335"/>
      <c r="C335"/>
      <c r="D335"/>
      <c r="E335"/>
      <c r="F335"/>
      <c r="G335"/>
      <c r="H335"/>
      <c r="I335"/>
      <c r="J335"/>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8"/>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48"/>
      <c r="CZ335" s="48"/>
      <c r="DA335" s="48"/>
      <c r="DB335" s="48"/>
      <c r="DC335" s="48"/>
      <c r="DD335" s="48"/>
      <c r="DE335" s="48"/>
      <c r="DF335" s="48"/>
      <c r="DG335" s="48"/>
      <c r="DH335" s="48"/>
      <c r="DI335" s="48"/>
      <c r="DJ335" s="48"/>
      <c r="DK335" s="48"/>
      <c r="DL335" s="48"/>
      <c r="DM335" s="48"/>
      <c r="DN335" s="48"/>
      <c r="DO335" s="48"/>
      <c r="DP335" s="48"/>
      <c r="DQ335" s="48"/>
      <c r="DR335" s="48"/>
      <c r="DS335" s="48"/>
    </row>
    <row r="336" spans="1:123" ht="15">
      <c r="A336"/>
      <c r="B336"/>
      <c r="C336"/>
      <c r="D336"/>
      <c r="E336"/>
      <c r="F336"/>
      <c r="G336"/>
      <c r="H336"/>
      <c r="I336"/>
      <c r="J336"/>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48"/>
      <c r="BH336" s="48"/>
      <c r="BI336" s="48"/>
      <c r="BJ336" s="48"/>
      <c r="BK336" s="48"/>
      <c r="BL336" s="48"/>
      <c r="BM336" s="48"/>
      <c r="BN336" s="48"/>
      <c r="BO336" s="48"/>
      <c r="BP336" s="48"/>
      <c r="BQ336" s="48"/>
      <c r="BR336" s="48"/>
      <c r="BS336" s="48"/>
      <c r="BT336" s="48"/>
      <c r="BU336" s="48"/>
      <c r="BV336" s="48"/>
      <c r="BW336" s="48"/>
      <c r="BX336" s="48"/>
      <c r="BY336" s="48"/>
      <c r="BZ336" s="48"/>
      <c r="CA336" s="48"/>
      <c r="CB336" s="48"/>
      <c r="CC336" s="48"/>
      <c r="CD336" s="48"/>
      <c r="CE336" s="48"/>
      <c r="CF336" s="48"/>
      <c r="CG336" s="48"/>
      <c r="CH336" s="48"/>
      <c r="CI336" s="48"/>
      <c r="CJ336" s="48"/>
      <c r="CK336" s="48"/>
      <c r="CL336" s="48"/>
      <c r="CM336" s="48"/>
      <c r="CN336" s="48"/>
      <c r="CO336" s="48"/>
      <c r="CP336" s="48"/>
      <c r="CQ336" s="48"/>
      <c r="CR336" s="48"/>
      <c r="CS336" s="48"/>
      <c r="CT336" s="48"/>
      <c r="CU336" s="48"/>
      <c r="CV336" s="48"/>
      <c r="CW336" s="48"/>
      <c r="CX336" s="48"/>
      <c r="CY336" s="48"/>
      <c r="CZ336" s="48"/>
      <c r="DA336" s="48"/>
      <c r="DB336" s="48"/>
      <c r="DC336" s="48"/>
      <c r="DD336" s="48"/>
      <c r="DE336" s="48"/>
      <c r="DF336" s="48"/>
      <c r="DG336" s="48"/>
      <c r="DH336" s="48"/>
      <c r="DI336" s="48"/>
      <c r="DJ336" s="48"/>
      <c r="DK336" s="48"/>
      <c r="DL336" s="48"/>
      <c r="DM336" s="48"/>
      <c r="DN336" s="48"/>
      <c r="DO336" s="48"/>
      <c r="DP336" s="48"/>
      <c r="DQ336" s="48"/>
      <c r="DR336" s="48"/>
      <c r="DS336" s="48"/>
    </row>
    <row r="337" spans="1:123" ht="15">
      <c r="A337"/>
      <c r="B337"/>
      <c r="C337"/>
      <c r="D337"/>
      <c r="E337"/>
      <c r="F337"/>
      <c r="G337"/>
      <c r="H337"/>
      <c r="I337"/>
      <c r="J337"/>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48"/>
      <c r="BJ337" s="48"/>
      <c r="BK337" s="48"/>
      <c r="BL337" s="48"/>
      <c r="BM337" s="48"/>
      <c r="BN337" s="48"/>
      <c r="BO337" s="48"/>
      <c r="BP337" s="48"/>
      <c r="BQ337" s="48"/>
      <c r="BR337" s="48"/>
      <c r="BS337" s="48"/>
      <c r="BT337" s="48"/>
      <c r="BU337" s="48"/>
      <c r="BV337" s="48"/>
      <c r="BW337" s="48"/>
      <c r="BX337" s="48"/>
      <c r="BY337" s="48"/>
      <c r="BZ337" s="48"/>
      <c r="CA337" s="48"/>
      <c r="CB337" s="48"/>
      <c r="CC337" s="48"/>
      <c r="CD337" s="48"/>
      <c r="CE337" s="48"/>
      <c r="CF337" s="48"/>
      <c r="CG337" s="48"/>
      <c r="CH337" s="48"/>
      <c r="CI337" s="48"/>
      <c r="CJ337" s="48"/>
      <c r="CK337" s="48"/>
      <c r="CL337" s="48"/>
      <c r="CM337" s="48"/>
      <c r="CN337" s="48"/>
      <c r="CO337" s="48"/>
      <c r="CP337" s="48"/>
      <c r="CQ337" s="48"/>
      <c r="CR337" s="48"/>
      <c r="CS337" s="48"/>
      <c r="CT337" s="48"/>
      <c r="CU337" s="48"/>
      <c r="CV337" s="48"/>
      <c r="CW337" s="48"/>
      <c r="CX337" s="48"/>
      <c r="CY337" s="48"/>
      <c r="CZ337" s="48"/>
      <c r="DA337" s="48"/>
      <c r="DB337" s="48"/>
      <c r="DC337" s="48"/>
      <c r="DD337" s="48"/>
      <c r="DE337" s="48"/>
      <c r="DF337" s="48"/>
      <c r="DG337" s="48"/>
      <c r="DH337" s="48"/>
      <c r="DI337" s="48"/>
      <c r="DJ337" s="48"/>
      <c r="DK337" s="48"/>
      <c r="DL337" s="48"/>
      <c r="DM337" s="48"/>
      <c r="DN337" s="48"/>
      <c r="DO337" s="48"/>
      <c r="DP337" s="48"/>
      <c r="DQ337" s="48"/>
      <c r="DR337" s="48"/>
      <c r="DS337" s="48"/>
    </row>
    <row r="338" spans="1:123" ht="15">
      <c r="A338"/>
      <c r="B338"/>
      <c r="C338"/>
      <c r="D338"/>
      <c r="E338"/>
      <c r="F338"/>
      <c r="G338"/>
      <c r="H338"/>
      <c r="I338"/>
      <c r="J33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48"/>
      <c r="BH338" s="48"/>
      <c r="BI338" s="48"/>
      <c r="BJ338" s="48"/>
      <c r="BK338" s="48"/>
      <c r="BL338" s="48"/>
      <c r="BM338" s="48"/>
      <c r="BN338" s="48"/>
      <c r="BO338" s="48"/>
      <c r="BP338" s="48"/>
      <c r="BQ338" s="48"/>
      <c r="BR338" s="48"/>
      <c r="BS338" s="48"/>
      <c r="BT338" s="48"/>
      <c r="BU338" s="48"/>
      <c r="BV338" s="48"/>
      <c r="BW338" s="48"/>
      <c r="BX338" s="48"/>
      <c r="BY338" s="48"/>
      <c r="BZ338" s="48"/>
      <c r="CA338" s="48"/>
      <c r="CB338" s="48"/>
      <c r="CC338" s="48"/>
      <c r="CD338" s="48"/>
      <c r="CE338" s="48"/>
      <c r="CF338" s="48"/>
      <c r="CG338" s="48"/>
      <c r="CH338" s="48"/>
      <c r="CI338" s="48"/>
      <c r="CJ338" s="48"/>
      <c r="CK338" s="48"/>
      <c r="CL338" s="48"/>
      <c r="CM338" s="48"/>
      <c r="CN338" s="48"/>
      <c r="CO338" s="48"/>
      <c r="CP338" s="48"/>
      <c r="CQ338" s="48"/>
      <c r="CR338" s="48"/>
      <c r="CS338" s="48"/>
      <c r="CT338" s="48"/>
      <c r="CU338" s="48"/>
      <c r="CV338" s="48"/>
      <c r="CW338" s="48"/>
      <c r="CX338" s="48"/>
      <c r="CY338" s="48"/>
      <c r="CZ338" s="48"/>
      <c r="DA338" s="48"/>
      <c r="DB338" s="48"/>
      <c r="DC338" s="48"/>
      <c r="DD338" s="48"/>
      <c r="DE338" s="48"/>
      <c r="DF338" s="48"/>
      <c r="DG338" s="48"/>
      <c r="DH338" s="48"/>
      <c r="DI338" s="48"/>
      <c r="DJ338" s="48"/>
      <c r="DK338" s="48"/>
      <c r="DL338" s="48"/>
      <c r="DM338" s="48"/>
      <c r="DN338" s="48"/>
      <c r="DO338" s="48"/>
      <c r="DP338" s="48"/>
      <c r="DQ338" s="48"/>
      <c r="DR338" s="48"/>
      <c r="DS338" s="48"/>
    </row>
    <row r="339" spans="1:123" ht="15">
      <c r="A339"/>
      <c r="B339"/>
      <c r="C339"/>
      <c r="D339"/>
      <c r="E339"/>
      <c r="F339"/>
      <c r="G339"/>
      <c r="H339"/>
      <c r="I339"/>
      <c r="J339"/>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48"/>
      <c r="BH339" s="48"/>
      <c r="BI339" s="48"/>
      <c r="BJ339" s="48"/>
      <c r="BK339" s="48"/>
      <c r="BL339" s="48"/>
      <c r="BM339" s="48"/>
      <c r="BN339" s="48"/>
      <c r="BO339" s="48"/>
      <c r="BP339" s="48"/>
      <c r="BQ339" s="48"/>
      <c r="BR339" s="48"/>
      <c r="BS339" s="48"/>
      <c r="BT339" s="48"/>
      <c r="BU339" s="48"/>
      <c r="BV339" s="48"/>
      <c r="BW339" s="48"/>
      <c r="BX339" s="48"/>
      <c r="BY339" s="48"/>
      <c r="BZ339" s="48"/>
      <c r="CA339" s="48"/>
      <c r="CB339" s="48"/>
      <c r="CC339" s="48"/>
      <c r="CD339" s="48"/>
      <c r="CE339" s="48"/>
      <c r="CF339" s="48"/>
      <c r="CG339" s="48"/>
      <c r="CH339" s="48"/>
      <c r="CI339" s="48"/>
      <c r="CJ339" s="48"/>
      <c r="CK339" s="48"/>
      <c r="CL339" s="48"/>
      <c r="CM339" s="48"/>
      <c r="CN339" s="48"/>
      <c r="CO339" s="48"/>
      <c r="CP339" s="48"/>
      <c r="CQ339" s="48"/>
      <c r="CR339" s="48"/>
      <c r="CS339" s="48"/>
      <c r="CT339" s="48"/>
      <c r="CU339" s="48"/>
      <c r="CV339" s="48"/>
      <c r="CW339" s="48"/>
      <c r="CX339" s="48"/>
      <c r="CY339" s="48"/>
      <c r="CZ339" s="48"/>
      <c r="DA339" s="48"/>
      <c r="DB339" s="48"/>
      <c r="DC339" s="48"/>
      <c r="DD339" s="48"/>
      <c r="DE339" s="48"/>
      <c r="DF339" s="48"/>
      <c r="DG339" s="48"/>
      <c r="DH339" s="48"/>
      <c r="DI339" s="48"/>
      <c r="DJ339" s="48"/>
      <c r="DK339" s="48"/>
      <c r="DL339" s="48"/>
      <c r="DM339" s="48"/>
      <c r="DN339" s="48"/>
      <c r="DO339" s="48"/>
      <c r="DP339" s="48"/>
      <c r="DQ339" s="48"/>
      <c r="DR339" s="48"/>
      <c r="DS339" s="48"/>
    </row>
    <row r="340" spans="1:123" ht="15">
      <c r="A340"/>
      <c r="B340"/>
      <c r="C340"/>
      <c r="D340"/>
      <c r="E340"/>
      <c r="F340"/>
      <c r="G340"/>
      <c r="H340"/>
      <c r="I340"/>
      <c r="J340"/>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48"/>
      <c r="BH340" s="48"/>
      <c r="BI340" s="48"/>
      <c r="BJ340" s="48"/>
      <c r="BK340" s="48"/>
      <c r="BL340" s="48"/>
      <c r="BM340" s="48"/>
      <c r="BN340" s="48"/>
      <c r="BO340" s="48"/>
      <c r="BP340" s="48"/>
      <c r="BQ340" s="48"/>
      <c r="BR340" s="48"/>
      <c r="BS340" s="48"/>
      <c r="BT340" s="48"/>
      <c r="BU340" s="48"/>
      <c r="BV340" s="48"/>
      <c r="BW340" s="48"/>
      <c r="BX340" s="48"/>
      <c r="BY340" s="48"/>
      <c r="BZ340" s="48"/>
      <c r="CA340" s="48"/>
      <c r="CB340" s="48"/>
      <c r="CC340" s="48"/>
      <c r="CD340" s="48"/>
      <c r="CE340" s="48"/>
      <c r="CF340" s="48"/>
      <c r="CG340" s="48"/>
      <c r="CH340" s="48"/>
      <c r="CI340" s="48"/>
      <c r="CJ340" s="48"/>
      <c r="CK340" s="48"/>
      <c r="CL340" s="48"/>
      <c r="CM340" s="48"/>
      <c r="CN340" s="48"/>
      <c r="CO340" s="48"/>
      <c r="CP340" s="48"/>
      <c r="CQ340" s="48"/>
      <c r="CR340" s="48"/>
      <c r="CS340" s="48"/>
      <c r="CT340" s="48"/>
      <c r="CU340" s="48"/>
      <c r="CV340" s="48"/>
      <c r="CW340" s="48"/>
      <c r="CX340" s="48"/>
      <c r="CY340" s="48"/>
      <c r="CZ340" s="48"/>
      <c r="DA340" s="48"/>
      <c r="DB340" s="48"/>
      <c r="DC340" s="48"/>
      <c r="DD340" s="48"/>
      <c r="DE340" s="48"/>
      <c r="DF340" s="48"/>
      <c r="DG340" s="48"/>
      <c r="DH340" s="48"/>
      <c r="DI340" s="48"/>
      <c r="DJ340" s="48"/>
      <c r="DK340" s="48"/>
      <c r="DL340" s="48"/>
      <c r="DM340" s="48"/>
      <c r="DN340" s="48"/>
      <c r="DO340" s="48"/>
      <c r="DP340" s="48"/>
      <c r="DQ340" s="48"/>
      <c r="DR340" s="48"/>
      <c r="DS340" s="48"/>
    </row>
    <row r="341" spans="1:123" ht="15">
      <c r="A341"/>
      <c r="B341"/>
      <c r="C341"/>
      <c r="D341"/>
      <c r="E341"/>
      <c r="F341"/>
      <c r="G341"/>
      <c r="H341"/>
      <c r="I341"/>
      <c r="J341"/>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8"/>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48"/>
      <c r="CZ341" s="48"/>
      <c r="DA341" s="48"/>
      <c r="DB341" s="48"/>
      <c r="DC341" s="48"/>
      <c r="DD341" s="48"/>
      <c r="DE341" s="48"/>
      <c r="DF341" s="48"/>
      <c r="DG341" s="48"/>
      <c r="DH341" s="48"/>
      <c r="DI341" s="48"/>
      <c r="DJ341" s="48"/>
      <c r="DK341" s="48"/>
      <c r="DL341" s="48"/>
      <c r="DM341" s="48"/>
      <c r="DN341" s="48"/>
      <c r="DO341" s="48"/>
      <c r="DP341" s="48"/>
      <c r="DQ341" s="48"/>
      <c r="DR341" s="48"/>
      <c r="DS341" s="48"/>
    </row>
    <row r="342" spans="1:123" ht="15">
      <c r="A342"/>
      <c r="B342"/>
      <c r="C342"/>
      <c r="D342"/>
      <c r="E342"/>
      <c r="F342"/>
      <c r="G342"/>
      <c r="H342"/>
      <c r="I342"/>
      <c r="J342"/>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48"/>
      <c r="BH342" s="48"/>
      <c r="BI342" s="48"/>
      <c r="BJ342" s="48"/>
      <c r="BK342" s="48"/>
      <c r="BL342" s="48"/>
      <c r="BM342" s="48"/>
      <c r="BN342" s="48"/>
      <c r="BO342" s="48"/>
      <c r="BP342" s="48"/>
      <c r="BQ342" s="48"/>
      <c r="BR342" s="48"/>
      <c r="BS342" s="48"/>
      <c r="BT342" s="48"/>
      <c r="BU342" s="48"/>
      <c r="BV342" s="48"/>
      <c r="BW342" s="48"/>
      <c r="BX342" s="48"/>
      <c r="BY342" s="48"/>
      <c r="BZ342" s="48"/>
      <c r="CA342" s="48"/>
      <c r="CB342" s="48"/>
      <c r="CC342" s="48"/>
      <c r="CD342" s="48"/>
      <c r="CE342" s="48"/>
      <c r="CF342" s="48"/>
      <c r="CG342" s="48"/>
      <c r="CH342" s="48"/>
      <c r="CI342" s="48"/>
      <c r="CJ342" s="48"/>
      <c r="CK342" s="48"/>
      <c r="CL342" s="48"/>
      <c r="CM342" s="48"/>
      <c r="CN342" s="48"/>
      <c r="CO342" s="48"/>
      <c r="CP342" s="48"/>
      <c r="CQ342" s="48"/>
      <c r="CR342" s="48"/>
      <c r="CS342" s="48"/>
      <c r="CT342" s="48"/>
      <c r="CU342" s="48"/>
      <c r="CV342" s="48"/>
      <c r="CW342" s="48"/>
      <c r="CX342" s="48"/>
      <c r="CY342" s="48"/>
      <c r="CZ342" s="48"/>
      <c r="DA342" s="48"/>
      <c r="DB342" s="48"/>
      <c r="DC342" s="48"/>
      <c r="DD342" s="48"/>
      <c r="DE342" s="48"/>
      <c r="DF342" s="48"/>
      <c r="DG342" s="48"/>
      <c r="DH342" s="48"/>
      <c r="DI342" s="48"/>
      <c r="DJ342" s="48"/>
      <c r="DK342" s="48"/>
      <c r="DL342" s="48"/>
      <c r="DM342" s="48"/>
      <c r="DN342" s="48"/>
      <c r="DO342" s="48"/>
      <c r="DP342" s="48"/>
      <c r="DQ342" s="48"/>
      <c r="DR342" s="48"/>
      <c r="DS342" s="48"/>
    </row>
    <row r="343" spans="1:123" ht="15">
      <c r="A343"/>
      <c r="B343"/>
      <c r="C343"/>
      <c r="D343"/>
      <c r="E343"/>
      <c r="F343"/>
      <c r="G343"/>
      <c r="H343"/>
      <c r="I343"/>
      <c r="J343"/>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48"/>
      <c r="BH343" s="48"/>
      <c r="BI343" s="48"/>
      <c r="BJ343" s="48"/>
      <c r="BK343" s="48"/>
      <c r="BL343" s="48"/>
      <c r="BM343" s="48"/>
      <c r="BN343" s="48"/>
      <c r="BO343" s="48"/>
      <c r="BP343" s="48"/>
      <c r="BQ343" s="48"/>
      <c r="BR343" s="48"/>
      <c r="BS343" s="48"/>
      <c r="BT343" s="48"/>
      <c r="BU343" s="48"/>
      <c r="BV343" s="48"/>
      <c r="BW343" s="48"/>
      <c r="BX343" s="48"/>
      <c r="BY343" s="48"/>
      <c r="BZ343" s="48"/>
      <c r="CA343" s="48"/>
      <c r="CB343" s="48"/>
      <c r="CC343" s="48"/>
      <c r="CD343" s="48"/>
      <c r="CE343" s="48"/>
      <c r="CF343" s="48"/>
      <c r="CG343" s="48"/>
      <c r="CH343" s="48"/>
      <c r="CI343" s="48"/>
      <c r="CJ343" s="48"/>
      <c r="CK343" s="48"/>
      <c r="CL343" s="48"/>
      <c r="CM343" s="48"/>
      <c r="CN343" s="48"/>
      <c r="CO343" s="48"/>
      <c r="CP343" s="48"/>
      <c r="CQ343" s="48"/>
      <c r="CR343" s="48"/>
      <c r="CS343" s="48"/>
      <c r="CT343" s="48"/>
      <c r="CU343" s="48"/>
      <c r="CV343" s="48"/>
      <c r="CW343" s="48"/>
      <c r="CX343" s="48"/>
      <c r="CY343" s="48"/>
      <c r="CZ343" s="48"/>
      <c r="DA343" s="48"/>
      <c r="DB343" s="48"/>
      <c r="DC343" s="48"/>
      <c r="DD343" s="48"/>
      <c r="DE343" s="48"/>
      <c r="DF343" s="48"/>
      <c r="DG343" s="48"/>
      <c r="DH343" s="48"/>
      <c r="DI343" s="48"/>
      <c r="DJ343" s="48"/>
      <c r="DK343" s="48"/>
      <c r="DL343" s="48"/>
      <c r="DM343" s="48"/>
      <c r="DN343" s="48"/>
      <c r="DO343" s="48"/>
      <c r="DP343" s="48"/>
      <c r="DQ343" s="48"/>
      <c r="DR343" s="48"/>
      <c r="DS343" s="48"/>
    </row>
    <row r="344" spans="1:123" ht="15">
      <c r="A344"/>
      <c r="B344"/>
      <c r="C344"/>
      <c r="D344"/>
      <c r="E344"/>
      <c r="F344"/>
      <c r="G344"/>
      <c r="H344"/>
      <c r="I344"/>
      <c r="J344"/>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48"/>
      <c r="BH344" s="48"/>
      <c r="BI344" s="48"/>
      <c r="BJ344" s="48"/>
      <c r="BK344" s="48"/>
      <c r="BL344" s="48"/>
      <c r="BM344" s="48"/>
      <c r="BN344" s="48"/>
      <c r="BO344" s="48"/>
      <c r="BP344" s="48"/>
      <c r="BQ344" s="48"/>
      <c r="BR344" s="48"/>
      <c r="BS344" s="48"/>
      <c r="BT344" s="48"/>
      <c r="BU344" s="48"/>
      <c r="BV344" s="48"/>
      <c r="BW344" s="48"/>
      <c r="BX344" s="48"/>
      <c r="BY344" s="48"/>
      <c r="BZ344" s="48"/>
      <c r="CA344" s="48"/>
      <c r="CB344" s="48"/>
      <c r="CC344" s="48"/>
      <c r="CD344" s="48"/>
      <c r="CE344" s="48"/>
      <c r="CF344" s="48"/>
      <c r="CG344" s="48"/>
      <c r="CH344" s="48"/>
      <c r="CI344" s="48"/>
      <c r="CJ344" s="48"/>
      <c r="CK344" s="48"/>
      <c r="CL344" s="48"/>
      <c r="CM344" s="48"/>
      <c r="CN344" s="48"/>
      <c r="CO344" s="48"/>
      <c r="CP344" s="48"/>
      <c r="CQ344" s="48"/>
      <c r="CR344" s="48"/>
      <c r="CS344" s="48"/>
      <c r="CT344" s="48"/>
      <c r="CU344" s="48"/>
      <c r="CV344" s="48"/>
      <c r="CW344" s="48"/>
      <c r="CX344" s="48"/>
      <c r="CY344" s="48"/>
      <c r="CZ344" s="48"/>
      <c r="DA344" s="48"/>
      <c r="DB344" s="48"/>
      <c r="DC344" s="48"/>
      <c r="DD344" s="48"/>
      <c r="DE344" s="48"/>
      <c r="DF344" s="48"/>
      <c r="DG344" s="48"/>
      <c r="DH344" s="48"/>
      <c r="DI344" s="48"/>
      <c r="DJ344" s="48"/>
      <c r="DK344" s="48"/>
      <c r="DL344" s="48"/>
      <c r="DM344" s="48"/>
      <c r="DN344" s="48"/>
      <c r="DO344" s="48"/>
      <c r="DP344" s="48"/>
      <c r="DQ344" s="48"/>
      <c r="DR344" s="48"/>
      <c r="DS344" s="48"/>
    </row>
    <row r="345" spans="1:123" ht="15">
      <c r="A345"/>
      <c r="B345"/>
      <c r="C345"/>
      <c r="D345"/>
      <c r="E345"/>
      <c r="F345"/>
      <c r="G345"/>
      <c r="H345"/>
      <c r="I345"/>
      <c r="J345"/>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48"/>
      <c r="BH345" s="48"/>
      <c r="BI345" s="48"/>
      <c r="BJ345" s="48"/>
      <c r="BK345" s="48"/>
      <c r="BL345" s="48"/>
      <c r="BM345" s="48"/>
      <c r="BN345" s="48"/>
      <c r="BO345" s="48"/>
      <c r="BP345" s="48"/>
      <c r="BQ345" s="48"/>
      <c r="BR345" s="48"/>
      <c r="BS345" s="48"/>
      <c r="BT345" s="48"/>
      <c r="BU345" s="48"/>
      <c r="BV345" s="48"/>
      <c r="BW345" s="48"/>
      <c r="BX345" s="48"/>
      <c r="BY345" s="48"/>
      <c r="BZ345" s="48"/>
      <c r="CA345" s="48"/>
      <c r="CB345" s="48"/>
      <c r="CC345" s="48"/>
      <c r="CD345" s="48"/>
      <c r="CE345" s="48"/>
      <c r="CF345" s="48"/>
      <c r="CG345" s="48"/>
      <c r="CH345" s="48"/>
      <c r="CI345" s="48"/>
      <c r="CJ345" s="48"/>
      <c r="CK345" s="48"/>
      <c r="CL345" s="48"/>
      <c r="CM345" s="48"/>
      <c r="CN345" s="48"/>
      <c r="CO345" s="48"/>
      <c r="CP345" s="48"/>
      <c r="CQ345" s="48"/>
      <c r="CR345" s="48"/>
      <c r="CS345" s="48"/>
      <c r="CT345" s="48"/>
      <c r="CU345" s="48"/>
      <c r="CV345" s="48"/>
      <c r="CW345" s="48"/>
      <c r="CX345" s="48"/>
      <c r="CY345" s="48"/>
      <c r="CZ345" s="48"/>
      <c r="DA345" s="48"/>
      <c r="DB345" s="48"/>
      <c r="DC345" s="48"/>
      <c r="DD345" s="48"/>
      <c r="DE345" s="48"/>
      <c r="DF345" s="48"/>
      <c r="DG345" s="48"/>
      <c r="DH345" s="48"/>
      <c r="DI345" s="48"/>
      <c r="DJ345" s="48"/>
      <c r="DK345" s="48"/>
      <c r="DL345" s="48"/>
      <c r="DM345" s="48"/>
      <c r="DN345" s="48"/>
      <c r="DO345" s="48"/>
      <c r="DP345" s="48"/>
      <c r="DQ345" s="48"/>
      <c r="DR345" s="48"/>
      <c r="DS345" s="48"/>
    </row>
    <row r="346" spans="1:123" ht="15">
      <c r="A346"/>
      <c r="B346"/>
      <c r="C346"/>
      <c r="D346"/>
      <c r="E346"/>
      <c r="F346"/>
      <c r="G346"/>
      <c r="H346"/>
      <c r="I346"/>
      <c r="J346"/>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48"/>
      <c r="BH346" s="48"/>
      <c r="BI346" s="48"/>
      <c r="BJ346" s="48"/>
      <c r="BK346" s="48"/>
      <c r="BL346" s="48"/>
      <c r="BM346" s="48"/>
      <c r="BN346" s="48"/>
      <c r="BO346" s="48"/>
      <c r="BP346" s="48"/>
      <c r="BQ346" s="48"/>
      <c r="BR346" s="48"/>
      <c r="BS346" s="48"/>
      <c r="BT346" s="48"/>
      <c r="BU346" s="48"/>
      <c r="BV346" s="48"/>
      <c r="BW346" s="48"/>
      <c r="BX346" s="48"/>
      <c r="BY346" s="48"/>
      <c r="BZ346" s="48"/>
      <c r="CA346" s="48"/>
      <c r="CB346" s="48"/>
      <c r="CC346" s="48"/>
      <c r="CD346" s="48"/>
      <c r="CE346" s="48"/>
      <c r="CF346" s="48"/>
      <c r="CG346" s="48"/>
      <c r="CH346" s="48"/>
      <c r="CI346" s="48"/>
      <c r="CJ346" s="48"/>
      <c r="CK346" s="48"/>
      <c r="CL346" s="48"/>
      <c r="CM346" s="48"/>
      <c r="CN346" s="48"/>
      <c r="CO346" s="48"/>
      <c r="CP346" s="48"/>
      <c r="CQ346" s="48"/>
      <c r="CR346" s="48"/>
      <c r="CS346" s="48"/>
      <c r="CT346" s="48"/>
      <c r="CU346" s="48"/>
      <c r="CV346" s="48"/>
      <c r="CW346" s="48"/>
      <c r="CX346" s="48"/>
      <c r="CY346" s="48"/>
      <c r="CZ346" s="48"/>
      <c r="DA346" s="48"/>
      <c r="DB346" s="48"/>
      <c r="DC346" s="48"/>
      <c r="DD346" s="48"/>
      <c r="DE346" s="48"/>
      <c r="DF346" s="48"/>
      <c r="DG346" s="48"/>
      <c r="DH346" s="48"/>
      <c r="DI346" s="48"/>
      <c r="DJ346" s="48"/>
      <c r="DK346" s="48"/>
      <c r="DL346" s="48"/>
      <c r="DM346" s="48"/>
      <c r="DN346" s="48"/>
      <c r="DO346" s="48"/>
      <c r="DP346" s="48"/>
      <c r="DQ346" s="48"/>
      <c r="DR346" s="48"/>
      <c r="DS346" s="48"/>
    </row>
    <row r="347" spans="1:123" ht="15">
      <c r="A347"/>
      <c r="B347"/>
      <c r="C347"/>
      <c r="D347"/>
      <c r="E347"/>
      <c r="F347"/>
      <c r="G347"/>
      <c r="H347"/>
      <c r="I347"/>
      <c r="J347"/>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8"/>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48"/>
      <c r="CZ347" s="48"/>
      <c r="DA347" s="48"/>
      <c r="DB347" s="48"/>
      <c r="DC347" s="48"/>
      <c r="DD347" s="48"/>
      <c r="DE347" s="48"/>
      <c r="DF347" s="48"/>
      <c r="DG347" s="48"/>
      <c r="DH347" s="48"/>
      <c r="DI347" s="48"/>
      <c r="DJ347" s="48"/>
      <c r="DK347" s="48"/>
      <c r="DL347" s="48"/>
      <c r="DM347" s="48"/>
      <c r="DN347" s="48"/>
      <c r="DO347" s="48"/>
      <c r="DP347" s="48"/>
      <c r="DQ347" s="48"/>
      <c r="DR347" s="48"/>
      <c r="DS347" s="48"/>
    </row>
    <row r="348" spans="1:123" ht="15">
      <c r="A348"/>
      <c r="B348"/>
      <c r="C348"/>
      <c r="D348"/>
      <c r="E348"/>
      <c r="F348"/>
      <c r="G348"/>
      <c r="H348"/>
      <c r="I348"/>
      <c r="J3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48"/>
      <c r="BH348" s="48"/>
      <c r="BI348" s="48"/>
      <c r="BJ348" s="48"/>
      <c r="BK348" s="48"/>
      <c r="BL348" s="48"/>
      <c r="BM348" s="48"/>
      <c r="BN348" s="48"/>
      <c r="BO348" s="48"/>
      <c r="BP348" s="48"/>
      <c r="BQ348" s="48"/>
      <c r="BR348" s="48"/>
      <c r="BS348" s="48"/>
      <c r="BT348" s="48"/>
      <c r="BU348" s="48"/>
      <c r="BV348" s="48"/>
      <c r="BW348" s="48"/>
      <c r="BX348" s="48"/>
      <c r="BY348" s="48"/>
      <c r="BZ348" s="48"/>
      <c r="CA348" s="48"/>
      <c r="CB348" s="48"/>
      <c r="CC348" s="48"/>
      <c r="CD348" s="48"/>
      <c r="CE348" s="48"/>
      <c r="CF348" s="48"/>
      <c r="CG348" s="48"/>
      <c r="CH348" s="48"/>
      <c r="CI348" s="48"/>
      <c r="CJ348" s="48"/>
      <c r="CK348" s="48"/>
      <c r="CL348" s="48"/>
      <c r="CM348" s="48"/>
      <c r="CN348" s="48"/>
      <c r="CO348" s="48"/>
      <c r="CP348" s="48"/>
      <c r="CQ348" s="48"/>
      <c r="CR348" s="48"/>
      <c r="CS348" s="48"/>
      <c r="CT348" s="48"/>
      <c r="CU348" s="48"/>
      <c r="CV348" s="48"/>
      <c r="CW348" s="48"/>
      <c r="CX348" s="48"/>
      <c r="CY348" s="48"/>
      <c r="CZ348" s="48"/>
      <c r="DA348" s="48"/>
      <c r="DB348" s="48"/>
      <c r="DC348" s="48"/>
      <c r="DD348" s="48"/>
      <c r="DE348" s="48"/>
      <c r="DF348" s="48"/>
      <c r="DG348" s="48"/>
      <c r="DH348" s="48"/>
      <c r="DI348" s="48"/>
      <c r="DJ348" s="48"/>
      <c r="DK348" s="48"/>
      <c r="DL348" s="48"/>
      <c r="DM348" s="48"/>
      <c r="DN348" s="48"/>
      <c r="DO348" s="48"/>
      <c r="DP348" s="48"/>
      <c r="DQ348" s="48"/>
      <c r="DR348" s="48"/>
      <c r="DS348" s="48"/>
    </row>
    <row r="349" spans="1:123" ht="15">
      <c r="A349"/>
      <c r="B349"/>
      <c r="C349"/>
      <c r="D349"/>
      <c r="E349"/>
      <c r="F349"/>
      <c r="G349"/>
      <c r="H349"/>
      <c r="I349"/>
      <c r="J349"/>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48"/>
      <c r="BH349" s="48"/>
      <c r="BI349" s="48"/>
      <c r="BJ349" s="48"/>
      <c r="BK349" s="48"/>
      <c r="BL349" s="48"/>
      <c r="BM349" s="48"/>
      <c r="BN349" s="48"/>
      <c r="BO349" s="48"/>
      <c r="BP349" s="48"/>
      <c r="BQ349" s="48"/>
      <c r="BR349" s="48"/>
      <c r="BS349" s="48"/>
      <c r="BT349" s="48"/>
      <c r="BU349" s="48"/>
      <c r="BV349" s="48"/>
      <c r="BW349" s="48"/>
      <c r="BX349" s="48"/>
      <c r="BY349" s="48"/>
      <c r="BZ349" s="48"/>
      <c r="CA349" s="48"/>
      <c r="CB349" s="48"/>
      <c r="CC349" s="48"/>
      <c r="CD349" s="48"/>
      <c r="CE349" s="48"/>
      <c r="CF349" s="48"/>
      <c r="CG349" s="48"/>
      <c r="CH349" s="48"/>
      <c r="CI349" s="48"/>
      <c r="CJ349" s="48"/>
      <c r="CK349" s="48"/>
      <c r="CL349" s="48"/>
      <c r="CM349" s="48"/>
      <c r="CN349" s="48"/>
      <c r="CO349" s="48"/>
      <c r="CP349" s="48"/>
      <c r="CQ349" s="48"/>
      <c r="CR349" s="48"/>
      <c r="CS349" s="48"/>
      <c r="CT349" s="48"/>
      <c r="CU349" s="48"/>
      <c r="CV349" s="48"/>
      <c r="CW349" s="48"/>
      <c r="CX349" s="48"/>
      <c r="CY349" s="48"/>
      <c r="CZ349" s="48"/>
      <c r="DA349" s="48"/>
      <c r="DB349" s="48"/>
      <c r="DC349" s="48"/>
      <c r="DD349" s="48"/>
      <c r="DE349" s="48"/>
      <c r="DF349" s="48"/>
      <c r="DG349" s="48"/>
      <c r="DH349" s="48"/>
      <c r="DI349" s="48"/>
      <c r="DJ349" s="48"/>
      <c r="DK349" s="48"/>
      <c r="DL349" s="48"/>
      <c r="DM349" s="48"/>
      <c r="DN349" s="48"/>
      <c r="DO349" s="48"/>
      <c r="DP349" s="48"/>
      <c r="DQ349" s="48"/>
      <c r="DR349" s="48"/>
      <c r="DS349" s="48"/>
    </row>
    <row r="350" spans="1:123" ht="15">
      <c r="A350"/>
      <c r="B350"/>
      <c r="C350"/>
      <c r="D350"/>
      <c r="E350"/>
      <c r="F350"/>
      <c r="G350"/>
      <c r="H350"/>
      <c r="I350"/>
      <c r="J350"/>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48"/>
      <c r="BH350" s="48"/>
      <c r="BI350" s="48"/>
      <c r="BJ350" s="48"/>
      <c r="BK350" s="48"/>
      <c r="BL350" s="48"/>
      <c r="BM350" s="48"/>
      <c r="BN350" s="48"/>
      <c r="BO350" s="48"/>
      <c r="BP350" s="48"/>
      <c r="BQ350" s="48"/>
      <c r="BR350" s="48"/>
      <c r="BS350" s="48"/>
      <c r="BT350" s="48"/>
      <c r="BU350" s="48"/>
      <c r="BV350" s="48"/>
      <c r="BW350" s="48"/>
      <c r="BX350" s="48"/>
      <c r="BY350" s="48"/>
      <c r="BZ350" s="48"/>
      <c r="CA350" s="48"/>
      <c r="CB350" s="48"/>
      <c r="CC350" s="48"/>
      <c r="CD350" s="48"/>
      <c r="CE350" s="48"/>
      <c r="CF350" s="48"/>
      <c r="CG350" s="48"/>
      <c r="CH350" s="48"/>
      <c r="CI350" s="48"/>
      <c r="CJ350" s="48"/>
      <c r="CK350" s="48"/>
      <c r="CL350" s="48"/>
      <c r="CM350" s="48"/>
      <c r="CN350" s="48"/>
      <c r="CO350" s="48"/>
      <c r="CP350" s="48"/>
      <c r="CQ350" s="48"/>
      <c r="CR350" s="48"/>
      <c r="CS350" s="48"/>
      <c r="CT350" s="48"/>
      <c r="CU350" s="48"/>
      <c r="CV350" s="48"/>
      <c r="CW350" s="48"/>
      <c r="CX350" s="48"/>
      <c r="CY350" s="48"/>
      <c r="CZ350" s="48"/>
      <c r="DA350" s="48"/>
      <c r="DB350" s="48"/>
      <c r="DC350" s="48"/>
      <c r="DD350" s="48"/>
      <c r="DE350" s="48"/>
      <c r="DF350" s="48"/>
      <c r="DG350" s="48"/>
      <c r="DH350" s="48"/>
      <c r="DI350" s="48"/>
      <c r="DJ350" s="48"/>
      <c r="DK350" s="48"/>
      <c r="DL350" s="48"/>
      <c r="DM350" s="48"/>
      <c r="DN350" s="48"/>
      <c r="DO350" s="48"/>
      <c r="DP350" s="48"/>
      <c r="DQ350" s="48"/>
      <c r="DR350" s="48"/>
      <c r="DS350" s="48"/>
    </row>
    <row r="351" spans="1:123" ht="15">
      <c r="A351"/>
      <c r="B351"/>
      <c r="C351"/>
      <c r="D351"/>
      <c r="E351"/>
      <c r="F351"/>
      <c r="G351"/>
      <c r="H351"/>
      <c r="I351"/>
      <c r="J351"/>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48"/>
      <c r="BH351" s="48"/>
      <c r="BI351" s="48"/>
      <c r="BJ351" s="48"/>
      <c r="BK351" s="48"/>
      <c r="BL351" s="48"/>
      <c r="BM351" s="48"/>
      <c r="BN351" s="48"/>
      <c r="BO351" s="48"/>
      <c r="BP351" s="48"/>
      <c r="BQ351" s="48"/>
      <c r="BR351" s="48"/>
      <c r="BS351" s="48"/>
      <c r="BT351" s="48"/>
      <c r="BU351" s="48"/>
      <c r="BV351" s="48"/>
      <c r="BW351" s="48"/>
      <c r="BX351" s="48"/>
      <c r="BY351" s="48"/>
      <c r="BZ351" s="48"/>
      <c r="CA351" s="48"/>
      <c r="CB351" s="48"/>
      <c r="CC351" s="48"/>
      <c r="CD351" s="48"/>
      <c r="CE351" s="48"/>
      <c r="CF351" s="48"/>
      <c r="CG351" s="48"/>
      <c r="CH351" s="48"/>
      <c r="CI351" s="48"/>
      <c r="CJ351" s="48"/>
      <c r="CK351" s="48"/>
      <c r="CL351" s="48"/>
      <c r="CM351" s="48"/>
      <c r="CN351" s="48"/>
      <c r="CO351" s="48"/>
      <c r="CP351" s="48"/>
      <c r="CQ351" s="48"/>
      <c r="CR351" s="48"/>
      <c r="CS351" s="48"/>
      <c r="CT351" s="48"/>
      <c r="CU351" s="48"/>
      <c r="CV351" s="48"/>
      <c r="CW351" s="48"/>
      <c r="CX351" s="48"/>
      <c r="CY351" s="48"/>
      <c r="CZ351" s="48"/>
      <c r="DA351" s="48"/>
      <c r="DB351" s="48"/>
      <c r="DC351" s="48"/>
      <c r="DD351" s="48"/>
      <c r="DE351" s="48"/>
      <c r="DF351" s="48"/>
      <c r="DG351" s="48"/>
      <c r="DH351" s="48"/>
      <c r="DI351" s="48"/>
      <c r="DJ351" s="48"/>
      <c r="DK351" s="48"/>
      <c r="DL351" s="48"/>
      <c r="DM351" s="48"/>
      <c r="DN351" s="48"/>
      <c r="DO351" s="48"/>
      <c r="DP351" s="48"/>
      <c r="DQ351" s="48"/>
      <c r="DR351" s="48"/>
      <c r="DS351" s="48"/>
    </row>
    <row r="352" spans="1:123" ht="15">
      <c r="A352"/>
      <c r="B352"/>
      <c r="C352"/>
      <c r="D352"/>
      <c r="E352"/>
      <c r="F352"/>
      <c r="G352"/>
      <c r="H352"/>
      <c r="I352"/>
      <c r="J352"/>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48"/>
      <c r="BH352" s="48"/>
      <c r="BI352" s="48"/>
      <c r="BJ352" s="48"/>
      <c r="BK352" s="48"/>
      <c r="BL352" s="48"/>
      <c r="BM352" s="48"/>
      <c r="BN352" s="48"/>
      <c r="BO352" s="48"/>
      <c r="BP352" s="48"/>
      <c r="BQ352" s="48"/>
      <c r="BR352" s="48"/>
      <c r="BS352" s="48"/>
      <c r="BT352" s="48"/>
      <c r="BU352" s="48"/>
      <c r="BV352" s="48"/>
      <c r="BW352" s="48"/>
      <c r="BX352" s="48"/>
      <c r="BY352" s="48"/>
      <c r="BZ352" s="48"/>
      <c r="CA352" s="48"/>
      <c r="CB352" s="48"/>
      <c r="CC352" s="48"/>
      <c r="CD352" s="48"/>
      <c r="CE352" s="48"/>
      <c r="CF352" s="48"/>
      <c r="CG352" s="48"/>
      <c r="CH352" s="48"/>
      <c r="CI352" s="48"/>
      <c r="CJ352" s="48"/>
      <c r="CK352" s="48"/>
      <c r="CL352" s="48"/>
      <c r="CM352" s="48"/>
      <c r="CN352" s="48"/>
      <c r="CO352" s="48"/>
      <c r="CP352" s="48"/>
      <c r="CQ352" s="48"/>
      <c r="CR352" s="48"/>
      <c r="CS352" s="48"/>
      <c r="CT352" s="48"/>
      <c r="CU352" s="48"/>
      <c r="CV352" s="48"/>
      <c r="CW352" s="48"/>
      <c r="CX352" s="48"/>
      <c r="CY352" s="48"/>
      <c r="CZ352" s="48"/>
      <c r="DA352" s="48"/>
      <c r="DB352" s="48"/>
      <c r="DC352" s="48"/>
      <c r="DD352" s="48"/>
      <c r="DE352" s="48"/>
      <c r="DF352" s="48"/>
      <c r="DG352" s="48"/>
      <c r="DH352" s="48"/>
      <c r="DI352" s="48"/>
      <c r="DJ352" s="48"/>
      <c r="DK352" s="48"/>
      <c r="DL352" s="48"/>
      <c r="DM352" s="48"/>
      <c r="DN352" s="48"/>
      <c r="DO352" s="48"/>
      <c r="DP352" s="48"/>
      <c r="DQ352" s="48"/>
      <c r="DR352" s="48"/>
      <c r="DS352" s="48"/>
    </row>
    <row r="353" spans="1:123" ht="15">
      <c r="A353"/>
      <c r="B353"/>
      <c r="C353"/>
      <c r="D353"/>
      <c r="E353"/>
      <c r="F353"/>
      <c r="G353"/>
      <c r="H353"/>
      <c r="I353"/>
      <c r="J353"/>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8"/>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48"/>
      <c r="CZ353" s="48"/>
      <c r="DA353" s="48"/>
      <c r="DB353" s="48"/>
      <c r="DC353" s="48"/>
      <c r="DD353" s="48"/>
      <c r="DE353" s="48"/>
      <c r="DF353" s="48"/>
      <c r="DG353" s="48"/>
      <c r="DH353" s="48"/>
      <c r="DI353" s="48"/>
      <c r="DJ353" s="48"/>
      <c r="DK353" s="48"/>
      <c r="DL353" s="48"/>
      <c r="DM353" s="48"/>
      <c r="DN353" s="48"/>
      <c r="DO353" s="48"/>
      <c r="DP353" s="48"/>
      <c r="DQ353" s="48"/>
      <c r="DR353" s="48"/>
      <c r="DS353" s="48"/>
    </row>
    <row r="354" spans="1:123" ht="15">
      <c r="A354"/>
      <c r="B354"/>
      <c r="C354"/>
      <c r="D354"/>
      <c r="E354"/>
      <c r="F354"/>
      <c r="G354"/>
      <c r="H354"/>
      <c r="I354"/>
      <c r="J354"/>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48"/>
      <c r="BH354" s="48"/>
      <c r="BI354" s="48"/>
      <c r="BJ354" s="48"/>
      <c r="BK354" s="48"/>
      <c r="BL354" s="48"/>
      <c r="BM354" s="48"/>
      <c r="BN354" s="48"/>
      <c r="BO354" s="48"/>
      <c r="BP354" s="48"/>
      <c r="BQ354" s="48"/>
      <c r="BR354" s="48"/>
      <c r="BS354" s="48"/>
      <c r="BT354" s="48"/>
      <c r="BU354" s="48"/>
      <c r="BV354" s="48"/>
      <c r="BW354" s="48"/>
      <c r="BX354" s="48"/>
      <c r="BY354" s="48"/>
      <c r="BZ354" s="48"/>
      <c r="CA354" s="48"/>
      <c r="CB354" s="48"/>
      <c r="CC354" s="48"/>
      <c r="CD354" s="48"/>
      <c r="CE354" s="48"/>
      <c r="CF354" s="48"/>
      <c r="CG354" s="48"/>
      <c r="CH354" s="48"/>
      <c r="CI354" s="48"/>
      <c r="CJ354" s="48"/>
      <c r="CK354" s="48"/>
      <c r="CL354" s="48"/>
      <c r="CM354" s="48"/>
      <c r="CN354" s="48"/>
      <c r="CO354" s="48"/>
      <c r="CP354" s="48"/>
      <c r="CQ354" s="48"/>
      <c r="CR354" s="48"/>
      <c r="CS354" s="48"/>
      <c r="CT354" s="48"/>
      <c r="CU354" s="48"/>
      <c r="CV354" s="48"/>
      <c r="CW354" s="48"/>
      <c r="CX354" s="48"/>
      <c r="CY354" s="48"/>
      <c r="CZ354" s="48"/>
      <c r="DA354" s="48"/>
      <c r="DB354" s="48"/>
      <c r="DC354" s="48"/>
      <c r="DD354" s="48"/>
      <c r="DE354" s="48"/>
      <c r="DF354" s="48"/>
      <c r="DG354" s="48"/>
      <c r="DH354" s="48"/>
      <c r="DI354" s="48"/>
      <c r="DJ354" s="48"/>
      <c r="DK354" s="48"/>
      <c r="DL354" s="48"/>
      <c r="DM354" s="48"/>
      <c r="DN354" s="48"/>
      <c r="DO354" s="48"/>
      <c r="DP354" s="48"/>
      <c r="DQ354" s="48"/>
      <c r="DR354" s="48"/>
      <c r="DS354" s="48"/>
    </row>
    <row r="355" spans="1:123" ht="15">
      <c r="A355"/>
      <c r="B355"/>
      <c r="C355"/>
      <c r="D355"/>
      <c r="E355"/>
      <c r="F355"/>
      <c r="G355"/>
      <c r="H355"/>
      <c r="I355"/>
      <c r="J355"/>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48"/>
      <c r="BH355" s="48"/>
      <c r="BI355" s="48"/>
      <c r="BJ355" s="48"/>
      <c r="BK355" s="48"/>
      <c r="BL355" s="48"/>
      <c r="BM355" s="48"/>
      <c r="BN355" s="48"/>
      <c r="BO355" s="48"/>
      <c r="BP355" s="48"/>
      <c r="BQ355" s="48"/>
      <c r="BR355" s="48"/>
      <c r="BS355" s="48"/>
      <c r="BT355" s="48"/>
      <c r="BU355" s="48"/>
      <c r="BV355" s="48"/>
      <c r="BW355" s="48"/>
      <c r="BX355" s="48"/>
      <c r="BY355" s="48"/>
      <c r="BZ355" s="48"/>
      <c r="CA355" s="48"/>
      <c r="CB355" s="48"/>
      <c r="CC355" s="48"/>
      <c r="CD355" s="48"/>
      <c r="CE355" s="48"/>
      <c r="CF355" s="48"/>
      <c r="CG355" s="48"/>
      <c r="CH355" s="48"/>
      <c r="CI355" s="48"/>
      <c r="CJ355" s="48"/>
      <c r="CK355" s="48"/>
      <c r="CL355" s="48"/>
      <c r="CM355" s="48"/>
      <c r="CN355" s="48"/>
      <c r="CO355" s="48"/>
      <c r="CP355" s="48"/>
      <c r="CQ355" s="48"/>
      <c r="CR355" s="48"/>
      <c r="CS355" s="48"/>
      <c r="CT355" s="48"/>
      <c r="CU355" s="48"/>
      <c r="CV355" s="48"/>
      <c r="CW355" s="48"/>
      <c r="CX355" s="48"/>
      <c r="CY355" s="48"/>
      <c r="CZ355" s="48"/>
      <c r="DA355" s="48"/>
      <c r="DB355" s="48"/>
      <c r="DC355" s="48"/>
      <c r="DD355" s="48"/>
      <c r="DE355" s="48"/>
      <c r="DF355" s="48"/>
      <c r="DG355" s="48"/>
      <c r="DH355" s="48"/>
      <c r="DI355" s="48"/>
      <c r="DJ355" s="48"/>
      <c r="DK355" s="48"/>
      <c r="DL355" s="48"/>
      <c r="DM355" s="48"/>
      <c r="DN355" s="48"/>
      <c r="DO355" s="48"/>
      <c r="DP355" s="48"/>
      <c r="DQ355" s="48"/>
      <c r="DR355" s="48"/>
      <c r="DS355" s="48"/>
    </row>
    <row r="356" spans="1:123" ht="15">
      <c r="A356"/>
      <c r="B356"/>
      <c r="C356"/>
      <c r="D356"/>
      <c r="E356"/>
      <c r="F356"/>
      <c r="G356"/>
      <c r="H356"/>
      <c r="I356"/>
      <c r="J356"/>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48"/>
      <c r="BH356" s="48"/>
      <c r="BI356" s="48"/>
      <c r="BJ356" s="48"/>
      <c r="BK356" s="48"/>
      <c r="BL356" s="48"/>
      <c r="BM356" s="48"/>
      <c r="BN356" s="48"/>
      <c r="BO356" s="48"/>
      <c r="BP356" s="48"/>
      <c r="BQ356" s="48"/>
      <c r="BR356" s="48"/>
      <c r="BS356" s="48"/>
      <c r="BT356" s="48"/>
      <c r="BU356" s="48"/>
      <c r="BV356" s="48"/>
      <c r="BW356" s="48"/>
      <c r="BX356" s="48"/>
      <c r="BY356" s="48"/>
      <c r="BZ356" s="48"/>
      <c r="CA356" s="48"/>
      <c r="CB356" s="48"/>
      <c r="CC356" s="48"/>
      <c r="CD356" s="48"/>
      <c r="CE356" s="48"/>
      <c r="CF356" s="48"/>
      <c r="CG356" s="48"/>
      <c r="CH356" s="48"/>
      <c r="CI356" s="48"/>
      <c r="CJ356" s="48"/>
      <c r="CK356" s="48"/>
      <c r="CL356" s="48"/>
      <c r="CM356" s="48"/>
      <c r="CN356" s="48"/>
      <c r="CO356" s="48"/>
      <c r="CP356" s="48"/>
      <c r="CQ356" s="48"/>
      <c r="CR356" s="48"/>
      <c r="CS356" s="48"/>
      <c r="CT356" s="48"/>
      <c r="CU356" s="48"/>
      <c r="CV356" s="48"/>
      <c r="CW356" s="48"/>
      <c r="CX356" s="48"/>
      <c r="CY356" s="48"/>
      <c r="CZ356" s="48"/>
      <c r="DA356" s="48"/>
      <c r="DB356" s="48"/>
      <c r="DC356" s="48"/>
      <c r="DD356" s="48"/>
      <c r="DE356" s="48"/>
      <c r="DF356" s="48"/>
      <c r="DG356" s="48"/>
      <c r="DH356" s="48"/>
      <c r="DI356" s="48"/>
      <c r="DJ356" s="48"/>
      <c r="DK356" s="48"/>
      <c r="DL356" s="48"/>
      <c r="DM356" s="48"/>
      <c r="DN356" s="48"/>
      <c r="DO356" s="48"/>
      <c r="DP356" s="48"/>
      <c r="DQ356" s="48"/>
      <c r="DR356" s="48"/>
      <c r="DS356" s="48"/>
    </row>
    <row r="357" spans="1:123" ht="15">
      <c r="A357"/>
      <c r="B357"/>
      <c r="C357"/>
      <c r="D357"/>
      <c r="E357"/>
      <c r="F357"/>
      <c r="G357"/>
      <c r="H357"/>
      <c r="I357"/>
      <c r="J357"/>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48"/>
      <c r="BH357" s="48"/>
      <c r="BI357" s="48"/>
      <c r="BJ357" s="48"/>
      <c r="BK357" s="48"/>
      <c r="BL357" s="48"/>
      <c r="BM357" s="48"/>
      <c r="BN357" s="48"/>
      <c r="BO357" s="48"/>
      <c r="BP357" s="48"/>
      <c r="BQ357" s="48"/>
      <c r="BR357" s="48"/>
      <c r="BS357" s="48"/>
      <c r="BT357" s="48"/>
      <c r="BU357" s="48"/>
      <c r="BV357" s="48"/>
      <c r="BW357" s="48"/>
      <c r="BX357" s="48"/>
      <c r="BY357" s="48"/>
      <c r="BZ357" s="48"/>
      <c r="CA357" s="48"/>
      <c r="CB357" s="48"/>
      <c r="CC357" s="48"/>
      <c r="CD357" s="48"/>
      <c r="CE357" s="48"/>
      <c r="CF357" s="48"/>
      <c r="CG357" s="48"/>
      <c r="CH357" s="48"/>
      <c r="CI357" s="48"/>
      <c r="CJ357" s="48"/>
      <c r="CK357" s="48"/>
      <c r="CL357" s="48"/>
      <c r="CM357" s="48"/>
      <c r="CN357" s="48"/>
      <c r="CO357" s="48"/>
      <c r="CP357" s="48"/>
      <c r="CQ357" s="48"/>
      <c r="CR357" s="48"/>
      <c r="CS357" s="48"/>
      <c r="CT357" s="48"/>
      <c r="CU357" s="48"/>
      <c r="CV357" s="48"/>
      <c r="CW357" s="48"/>
      <c r="CX357" s="48"/>
      <c r="CY357" s="48"/>
      <c r="CZ357" s="48"/>
      <c r="DA357" s="48"/>
      <c r="DB357" s="48"/>
      <c r="DC357" s="48"/>
      <c r="DD357" s="48"/>
      <c r="DE357" s="48"/>
      <c r="DF357" s="48"/>
      <c r="DG357" s="48"/>
      <c r="DH357" s="48"/>
      <c r="DI357" s="48"/>
      <c r="DJ357" s="48"/>
      <c r="DK357" s="48"/>
      <c r="DL357" s="48"/>
      <c r="DM357" s="48"/>
      <c r="DN357" s="48"/>
      <c r="DO357" s="48"/>
      <c r="DP357" s="48"/>
      <c r="DQ357" s="48"/>
      <c r="DR357" s="48"/>
      <c r="DS357" s="48"/>
    </row>
    <row r="358" spans="1:123" ht="15">
      <c r="A358"/>
      <c r="B358"/>
      <c r="C358"/>
      <c r="D358"/>
      <c r="E358"/>
      <c r="F358"/>
      <c r="G358"/>
      <c r="H358"/>
      <c r="I358"/>
      <c r="J35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48"/>
      <c r="BH358" s="48"/>
      <c r="BI358" s="48"/>
      <c r="BJ358" s="48"/>
      <c r="BK358" s="48"/>
      <c r="BL358" s="48"/>
      <c r="BM358" s="48"/>
      <c r="BN358" s="48"/>
      <c r="BO358" s="48"/>
      <c r="BP358" s="48"/>
      <c r="BQ358" s="48"/>
      <c r="BR358" s="48"/>
      <c r="BS358" s="48"/>
      <c r="BT358" s="48"/>
      <c r="BU358" s="48"/>
      <c r="BV358" s="48"/>
      <c r="BW358" s="48"/>
      <c r="BX358" s="48"/>
      <c r="BY358" s="48"/>
      <c r="BZ358" s="48"/>
      <c r="CA358" s="48"/>
      <c r="CB358" s="48"/>
      <c r="CC358" s="48"/>
      <c r="CD358" s="48"/>
      <c r="CE358" s="48"/>
      <c r="CF358" s="48"/>
      <c r="CG358" s="48"/>
      <c r="CH358" s="48"/>
      <c r="CI358" s="48"/>
      <c r="CJ358" s="48"/>
      <c r="CK358" s="48"/>
      <c r="CL358" s="48"/>
      <c r="CM358" s="48"/>
      <c r="CN358" s="48"/>
      <c r="CO358" s="48"/>
      <c r="CP358" s="48"/>
      <c r="CQ358" s="48"/>
      <c r="CR358" s="48"/>
      <c r="CS358" s="48"/>
      <c r="CT358" s="48"/>
      <c r="CU358" s="48"/>
      <c r="CV358" s="48"/>
      <c r="CW358" s="48"/>
      <c r="CX358" s="48"/>
      <c r="CY358" s="48"/>
      <c r="CZ358" s="48"/>
      <c r="DA358" s="48"/>
      <c r="DB358" s="48"/>
      <c r="DC358" s="48"/>
      <c r="DD358" s="48"/>
      <c r="DE358" s="48"/>
      <c r="DF358" s="48"/>
      <c r="DG358" s="48"/>
      <c r="DH358" s="48"/>
      <c r="DI358" s="48"/>
      <c r="DJ358" s="48"/>
      <c r="DK358" s="48"/>
      <c r="DL358" s="48"/>
      <c r="DM358" s="48"/>
      <c r="DN358" s="48"/>
      <c r="DO358" s="48"/>
      <c r="DP358" s="48"/>
      <c r="DQ358" s="48"/>
      <c r="DR358" s="48"/>
      <c r="DS358" s="48"/>
    </row>
    <row r="359" spans="1:123" ht="15">
      <c r="A359"/>
      <c r="B359"/>
      <c r="C359"/>
      <c r="D359"/>
      <c r="E359"/>
      <c r="F359"/>
      <c r="G359"/>
      <c r="H359"/>
      <c r="I359"/>
      <c r="J359"/>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8"/>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48"/>
      <c r="CZ359" s="48"/>
      <c r="DA359" s="48"/>
      <c r="DB359" s="48"/>
      <c r="DC359" s="48"/>
      <c r="DD359" s="48"/>
      <c r="DE359" s="48"/>
      <c r="DF359" s="48"/>
      <c r="DG359" s="48"/>
      <c r="DH359" s="48"/>
      <c r="DI359" s="48"/>
      <c r="DJ359" s="48"/>
      <c r="DK359" s="48"/>
      <c r="DL359" s="48"/>
      <c r="DM359" s="48"/>
      <c r="DN359" s="48"/>
      <c r="DO359" s="48"/>
      <c r="DP359" s="48"/>
      <c r="DQ359" s="48"/>
      <c r="DR359" s="48"/>
      <c r="DS359" s="48"/>
    </row>
    <row r="360" spans="1:123" ht="15">
      <c r="A360"/>
      <c r="B360"/>
      <c r="C360"/>
      <c r="D360"/>
      <c r="E360"/>
      <c r="F360"/>
      <c r="G360"/>
      <c r="H360"/>
      <c r="I360"/>
      <c r="J360"/>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c r="BP360" s="48"/>
      <c r="BQ360" s="48"/>
      <c r="BR360" s="48"/>
      <c r="BS360" s="48"/>
      <c r="BT360" s="48"/>
      <c r="BU360" s="48"/>
      <c r="BV360" s="48"/>
      <c r="BW360" s="48"/>
      <c r="BX360" s="48"/>
      <c r="BY360" s="48"/>
      <c r="BZ360" s="48"/>
      <c r="CA360" s="48"/>
      <c r="CB360" s="48"/>
      <c r="CC360" s="48"/>
      <c r="CD360" s="48"/>
      <c r="CE360" s="48"/>
      <c r="CF360" s="48"/>
      <c r="CG360" s="48"/>
      <c r="CH360" s="48"/>
      <c r="CI360" s="48"/>
      <c r="CJ360" s="48"/>
      <c r="CK360" s="48"/>
      <c r="CL360" s="48"/>
      <c r="CM360" s="48"/>
      <c r="CN360" s="48"/>
      <c r="CO360" s="48"/>
      <c r="CP360" s="48"/>
      <c r="CQ360" s="48"/>
      <c r="CR360" s="48"/>
      <c r="CS360" s="48"/>
      <c r="CT360" s="48"/>
      <c r="CU360" s="48"/>
      <c r="CV360" s="48"/>
      <c r="CW360" s="48"/>
      <c r="CX360" s="48"/>
      <c r="CY360" s="48"/>
      <c r="CZ360" s="48"/>
      <c r="DA360" s="48"/>
      <c r="DB360" s="48"/>
      <c r="DC360" s="48"/>
      <c r="DD360" s="48"/>
      <c r="DE360" s="48"/>
      <c r="DF360" s="48"/>
      <c r="DG360" s="48"/>
      <c r="DH360" s="48"/>
      <c r="DI360" s="48"/>
      <c r="DJ360" s="48"/>
      <c r="DK360" s="48"/>
      <c r="DL360" s="48"/>
      <c r="DM360" s="48"/>
      <c r="DN360" s="48"/>
      <c r="DO360" s="48"/>
      <c r="DP360" s="48"/>
      <c r="DQ360" s="48"/>
      <c r="DR360" s="48"/>
      <c r="DS360" s="48"/>
    </row>
    <row r="361" spans="1:123" ht="15">
      <c r="A361"/>
      <c r="B361"/>
      <c r="C361"/>
      <c r="D361"/>
      <c r="E361"/>
      <c r="F361"/>
      <c r="G361"/>
      <c r="H361"/>
      <c r="I361"/>
      <c r="J361"/>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48"/>
      <c r="BH361" s="48"/>
      <c r="BI361" s="48"/>
      <c r="BJ361" s="48"/>
      <c r="BK361" s="48"/>
      <c r="BL361" s="48"/>
      <c r="BM361" s="48"/>
      <c r="BN361" s="48"/>
      <c r="BO361" s="48"/>
      <c r="BP361" s="48"/>
      <c r="BQ361" s="48"/>
      <c r="BR361" s="48"/>
      <c r="BS361" s="48"/>
      <c r="BT361" s="48"/>
      <c r="BU361" s="48"/>
      <c r="BV361" s="48"/>
      <c r="BW361" s="48"/>
      <c r="BX361" s="48"/>
      <c r="BY361" s="48"/>
      <c r="BZ361" s="48"/>
      <c r="CA361" s="48"/>
      <c r="CB361" s="48"/>
      <c r="CC361" s="48"/>
      <c r="CD361" s="48"/>
      <c r="CE361" s="48"/>
      <c r="CF361" s="48"/>
      <c r="CG361" s="48"/>
      <c r="CH361" s="48"/>
      <c r="CI361" s="48"/>
      <c r="CJ361" s="48"/>
      <c r="CK361" s="48"/>
      <c r="CL361" s="48"/>
      <c r="CM361" s="48"/>
      <c r="CN361" s="48"/>
      <c r="CO361" s="48"/>
      <c r="CP361" s="48"/>
      <c r="CQ361" s="48"/>
      <c r="CR361" s="48"/>
      <c r="CS361" s="48"/>
      <c r="CT361" s="48"/>
      <c r="CU361" s="48"/>
      <c r="CV361" s="48"/>
      <c r="CW361" s="48"/>
      <c r="CX361" s="48"/>
      <c r="CY361" s="48"/>
      <c r="CZ361" s="48"/>
      <c r="DA361" s="48"/>
      <c r="DB361" s="48"/>
      <c r="DC361" s="48"/>
      <c r="DD361" s="48"/>
      <c r="DE361" s="48"/>
      <c r="DF361" s="48"/>
      <c r="DG361" s="48"/>
      <c r="DH361" s="48"/>
      <c r="DI361" s="48"/>
      <c r="DJ361" s="48"/>
      <c r="DK361" s="48"/>
      <c r="DL361" s="48"/>
      <c r="DM361" s="48"/>
      <c r="DN361" s="48"/>
      <c r="DO361" s="48"/>
      <c r="DP361" s="48"/>
      <c r="DQ361" s="48"/>
      <c r="DR361" s="48"/>
      <c r="DS361" s="48"/>
    </row>
    <row r="362" spans="1:123" ht="15">
      <c r="A362"/>
      <c r="B362"/>
      <c r="C362"/>
      <c r="D362"/>
      <c r="E362"/>
      <c r="F362"/>
      <c r="G362"/>
      <c r="H362"/>
      <c r="I362"/>
      <c r="J362"/>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48"/>
      <c r="BH362" s="48"/>
      <c r="BI362" s="48"/>
      <c r="BJ362" s="48"/>
      <c r="BK362" s="48"/>
      <c r="BL362" s="48"/>
      <c r="BM362" s="48"/>
      <c r="BN362" s="48"/>
      <c r="BO362" s="48"/>
      <c r="BP362" s="48"/>
      <c r="BQ362" s="48"/>
      <c r="BR362" s="48"/>
      <c r="BS362" s="48"/>
      <c r="BT362" s="48"/>
      <c r="BU362" s="48"/>
      <c r="BV362" s="48"/>
      <c r="BW362" s="48"/>
      <c r="BX362" s="48"/>
      <c r="BY362" s="48"/>
      <c r="BZ362" s="48"/>
      <c r="CA362" s="48"/>
      <c r="CB362" s="48"/>
      <c r="CC362" s="48"/>
      <c r="CD362" s="48"/>
      <c r="CE362" s="48"/>
      <c r="CF362" s="48"/>
      <c r="CG362" s="48"/>
      <c r="CH362" s="48"/>
      <c r="CI362" s="48"/>
      <c r="CJ362" s="48"/>
      <c r="CK362" s="48"/>
      <c r="CL362" s="48"/>
      <c r="CM362" s="48"/>
      <c r="CN362" s="48"/>
      <c r="CO362" s="48"/>
      <c r="CP362" s="48"/>
      <c r="CQ362" s="48"/>
      <c r="CR362" s="48"/>
      <c r="CS362" s="48"/>
      <c r="CT362" s="48"/>
      <c r="CU362" s="48"/>
      <c r="CV362" s="48"/>
      <c r="CW362" s="48"/>
      <c r="CX362" s="48"/>
      <c r="CY362" s="48"/>
      <c r="CZ362" s="48"/>
      <c r="DA362" s="48"/>
      <c r="DB362" s="48"/>
      <c r="DC362" s="48"/>
      <c r="DD362" s="48"/>
      <c r="DE362" s="48"/>
      <c r="DF362" s="48"/>
      <c r="DG362" s="48"/>
      <c r="DH362" s="48"/>
      <c r="DI362" s="48"/>
      <c r="DJ362" s="48"/>
      <c r="DK362" s="48"/>
      <c r="DL362" s="48"/>
      <c r="DM362" s="48"/>
      <c r="DN362" s="48"/>
      <c r="DO362" s="48"/>
      <c r="DP362" s="48"/>
      <c r="DQ362" s="48"/>
      <c r="DR362" s="48"/>
      <c r="DS362" s="48"/>
    </row>
    <row r="363" spans="1:123" ht="15">
      <c r="A363"/>
      <c r="B363"/>
      <c r="C363"/>
      <c r="D363"/>
      <c r="E363"/>
      <c r="F363"/>
      <c r="G363"/>
      <c r="H363"/>
      <c r="I363"/>
      <c r="J363"/>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48"/>
      <c r="BH363" s="48"/>
      <c r="BI363" s="48"/>
      <c r="BJ363" s="48"/>
      <c r="BK363" s="48"/>
      <c r="BL363" s="48"/>
      <c r="BM363" s="48"/>
      <c r="BN363" s="48"/>
      <c r="BO363" s="48"/>
      <c r="BP363" s="48"/>
      <c r="BQ363" s="48"/>
      <c r="BR363" s="48"/>
      <c r="BS363" s="48"/>
      <c r="BT363" s="48"/>
      <c r="BU363" s="48"/>
      <c r="BV363" s="48"/>
      <c r="BW363" s="48"/>
      <c r="BX363" s="48"/>
      <c r="BY363" s="48"/>
      <c r="BZ363" s="48"/>
      <c r="CA363" s="48"/>
      <c r="CB363" s="48"/>
      <c r="CC363" s="48"/>
      <c r="CD363" s="48"/>
      <c r="CE363" s="48"/>
      <c r="CF363" s="48"/>
      <c r="CG363" s="48"/>
      <c r="CH363" s="48"/>
      <c r="CI363" s="48"/>
      <c r="CJ363" s="48"/>
      <c r="CK363" s="48"/>
      <c r="CL363" s="48"/>
      <c r="CM363" s="48"/>
      <c r="CN363" s="48"/>
      <c r="CO363" s="48"/>
      <c r="CP363" s="48"/>
      <c r="CQ363" s="48"/>
      <c r="CR363" s="48"/>
      <c r="CS363" s="48"/>
      <c r="CT363" s="48"/>
      <c r="CU363" s="48"/>
      <c r="CV363" s="48"/>
      <c r="CW363" s="48"/>
      <c r="CX363" s="48"/>
      <c r="CY363" s="48"/>
      <c r="CZ363" s="48"/>
      <c r="DA363" s="48"/>
      <c r="DB363" s="48"/>
      <c r="DC363" s="48"/>
      <c r="DD363" s="48"/>
      <c r="DE363" s="48"/>
      <c r="DF363" s="48"/>
      <c r="DG363" s="48"/>
      <c r="DH363" s="48"/>
      <c r="DI363" s="48"/>
      <c r="DJ363" s="48"/>
      <c r="DK363" s="48"/>
      <c r="DL363" s="48"/>
      <c r="DM363" s="48"/>
      <c r="DN363" s="48"/>
      <c r="DO363" s="48"/>
      <c r="DP363" s="48"/>
      <c r="DQ363" s="48"/>
      <c r="DR363" s="48"/>
      <c r="DS363" s="48"/>
    </row>
    <row r="364" spans="1:123" ht="15">
      <c r="A364"/>
      <c r="B364"/>
      <c r="C364"/>
      <c r="D364"/>
      <c r="E364"/>
      <c r="F364"/>
      <c r="G364"/>
      <c r="H364"/>
      <c r="I364"/>
      <c r="J364"/>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48"/>
      <c r="BH364" s="48"/>
      <c r="BI364" s="48"/>
      <c r="BJ364" s="48"/>
      <c r="BK364" s="48"/>
      <c r="BL364" s="48"/>
      <c r="BM364" s="48"/>
      <c r="BN364" s="48"/>
      <c r="BO364" s="48"/>
      <c r="BP364" s="48"/>
      <c r="BQ364" s="48"/>
      <c r="BR364" s="48"/>
      <c r="BS364" s="48"/>
      <c r="BT364" s="48"/>
      <c r="BU364" s="48"/>
      <c r="BV364" s="48"/>
      <c r="BW364" s="48"/>
      <c r="BX364" s="48"/>
      <c r="BY364" s="48"/>
      <c r="BZ364" s="48"/>
      <c r="CA364" s="48"/>
      <c r="CB364" s="48"/>
      <c r="CC364" s="48"/>
      <c r="CD364" s="48"/>
      <c r="CE364" s="48"/>
      <c r="CF364" s="48"/>
      <c r="CG364" s="48"/>
      <c r="CH364" s="48"/>
      <c r="CI364" s="48"/>
      <c r="CJ364" s="48"/>
      <c r="CK364" s="48"/>
      <c r="CL364" s="48"/>
      <c r="CM364" s="48"/>
      <c r="CN364" s="48"/>
      <c r="CO364" s="48"/>
      <c r="CP364" s="48"/>
      <c r="CQ364" s="48"/>
      <c r="CR364" s="48"/>
      <c r="CS364" s="48"/>
      <c r="CT364" s="48"/>
      <c r="CU364" s="48"/>
      <c r="CV364" s="48"/>
      <c r="CW364" s="48"/>
      <c r="CX364" s="48"/>
      <c r="CY364" s="48"/>
      <c r="CZ364" s="48"/>
      <c r="DA364" s="48"/>
      <c r="DB364" s="48"/>
      <c r="DC364" s="48"/>
      <c r="DD364" s="48"/>
      <c r="DE364" s="48"/>
      <c r="DF364" s="48"/>
      <c r="DG364" s="48"/>
      <c r="DH364" s="48"/>
      <c r="DI364" s="48"/>
      <c r="DJ364" s="48"/>
      <c r="DK364" s="48"/>
      <c r="DL364" s="48"/>
      <c r="DM364" s="48"/>
      <c r="DN364" s="48"/>
      <c r="DO364" s="48"/>
      <c r="DP364" s="48"/>
      <c r="DQ364" s="48"/>
      <c r="DR364" s="48"/>
      <c r="DS364" s="48"/>
    </row>
    <row r="365" spans="1:123" ht="15">
      <c r="A365"/>
      <c r="B365"/>
      <c r="C365"/>
      <c r="D365"/>
      <c r="E365"/>
      <c r="F365"/>
      <c r="G365"/>
      <c r="H365"/>
      <c r="I365"/>
      <c r="J365"/>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48"/>
      <c r="BH365" s="48"/>
      <c r="BI365" s="48"/>
      <c r="BJ365" s="48"/>
      <c r="BK365" s="48"/>
      <c r="BL365" s="48"/>
      <c r="BM365" s="48"/>
      <c r="BN365" s="48"/>
      <c r="BO365" s="48"/>
      <c r="BP365" s="48"/>
      <c r="BQ365" s="48"/>
      <c r="BR365" s="48"/>
      <c r="BS365" s="48"/>
      <c r="BT365" s="48"/>
      <c r="BU365" s="48"/>
      <c r="BV365" s="48"/>
      <c r="BW365" s="48"/>
      <c r="BX365" s="48"/>
      <c r="BY365" s="48"/>
      <c r="BZ365" s="48"/>
      <c r="CA365" s="48"/>
      <c r="CB365" s="48"/>
      <c r="CC365" s="48"/>
      <c r="CD365" s="48"/>
      <c r="CE365" s="48"/>
      <c r="CF365" s="48"/>
      <c r="CG365" s="48"/>
      <c r="CH365" s="48"/>
      <c r="CI365" s="48"/>
      <c r="CJ365" s="48"/>
      <c r="CK365" s="48"/>
      <c r="CL365" s="48"/>
      <c r="CM365" s="48"/>
      <c r="CN365" s="48"/>
      <c r="CO365" s="48"/>
      <c r="CP365" s="48"/>
      <c r="CQ365" s="48"/>
      <c r="CR365" s="48"/>
      <c r="CS365" s="48"/>
      <c r="CT365" s="48"/>
      <c r="CU365" s="48"/>
      <c r="CV365" s="48"/>
      <c r="CW365" s="48"/>
      <c r="CX365" s="48"/>
      <c r="CY365" s="48"/>
      <c r="CZ365" s="48"/>
      <c r="DA365" s="48"/>
      <c r="DB365" s="48"/>
      <c r="DC365" s="48"/>
      <c r="DD365" s="48"/>
      <c r="DE365" s="48"/>
      <c r="DF365" s="48"/>
      <c r="DG365" s="48"/>
      <c r="DH365" s="48"/>
      <c r="DI365" s="48"/>
      <c r="DJ365" s="48"/>
      <c r="DK365" s="48"/>
      <c r="DL365" s="48"/>
      <c r="DM365" s="48"/>
      <c r="DN365" s="48"/>
      <c r="DO365" s="48"/>
      <c r="DP365" s="48"/>
      <c r="DQ365" s="48"/>
      <c r="DR365" s="48"/>
      <c r="DS365" s="48"/>
    </row>
    <row r="366" spans="1:123" ht="15">
      <c r="A366"/>
      <c r="B366"/>
      <c r="C366"/>
      <c r="D366"/>
      <c r="E366"/>
      <c r="F366"/>
      <c r="G366"/>
      <c r="H366"/>
      <c r="I366"/>
      <c r="J366"/>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c r="BS366" s="48"/>
      <c r="BT366" s="48"/>
      <c r="BU366" s="48"/>
      <c r="BV366" s="48"/>
      <c r="BW366" s="48"/>
      <c r="BX366" s="48"/>
      <c r="BY366" s="48"/>
      <c r="BZ366" s="48"/>
      <c r="CA366" s="48"/>
      <c r="CB366" s="48"/>
      <c r="CC366" s="48"/>
      <c r="CD366" s="48"/>
      <c r="CE366" s="48"/>
      <c r="CF366" s="48"/>
      <c r="CG366" s="48"/>
      <c r="CH366" s="48"/>
      <c r="CI366" s="48"/>
      <c r="CJ366" s="48"/>
      <c r="CK366" s="48"/>
      <c r="CL366" s="48"/>
      <c r="CM366" s="48"/>
      <c r="CN366" s="48"/>
      <c r="CO366" s="48"/>
      <c r="CP366" s="48"/>
      <c r="CQ366" s="48"/>
      <c r="CR366" s="48"/>
      <c r="CS366" s="48"/>
      <c r="CT366" s="48"/>
      <c r="CU366" s="48"/>
      <c r="CV366" s="48"/>
      <c r="CW366" s="48"/>
      <c r="CX366" s="48"/>
      <c r="CY366" s="48"/>
      <c r="CZ366" s="48"/>
      <c r="DA366" s="48"/>
      <c r="DB366" s="48"/>
      <c r="DC366" s="48"/>
      <c r="DD366" s="48"/>
      <c r="DE366" s="48"/>
      <c r="DF366" s="48"/>
      <c r="DG366" s="48"/>
      <c r="DH366" s="48"/>
      <c r="DI366" s="48"/>
      <c r="DJ366" s="48"/>
      <c r="DK366" s="48"/>
      <c r="DL366" s="48"/>
      <c r="DM366" s="48"/>
      <c r="DN366" s="48"/>
      <c r="DO366" s="48"/>
      <c r="DP366" s="48"/>
      <c r="DQ366" s="48"/>
      <c r="DR366" s="48"/>
      <c r="DS366" s="48"/>
    </row>
    <row r="367" spans="1:123" ht="15">
      <c r="A367"/>
      <c r="B367"/>
      <c r="C367"/>
      <c r="D367"/>
      <c r="E367"/>
      <c r="F367"/>
      <c r="G367"/>
      <c r="H367"/>
      <c r="I367"/>
      <c r="J367"/>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48"/>
      <c r="BH367" s="48"/>
      <c r="BI367" s="48"/>
      <c r="BJ367" s="48"/>
      <c r="BK367" s="48"/>
      <c r="BL367" s="48"/>
      <c r="BM367" s="48"/>
      <c r="BN367" s="48"/>
      <c r="BO367" s="48"/>
      <c r="BP367" s="48"/>
      <c r="BQ367" s="48"/>
      <c r="BR367" s="48"/>
      <c r="BS367" s="48"/>
      <c r="BT367" s="48"/>
      <c r="BU367" s="48"/>
      <c r="BV367" s="48"/>
      <c r="BW367" s="48"/>
      <c r="BX367" s="48"/>
      <c r="BY367" s="48"/>
      <c r="BZ367" s="48"/>
      <c r="CA367" s="48"/>
      <c r="CB367" s="48"/>
      <c r="CC367" s="48"/>
      <c r="CD367" s="48"/>
      <c r="CE367" s="48"/>
      <c r="CF367" s="48"/>
      <c r="CG367" s="48"/>
      <c r="CH367" s="48"/>
      <c r="CI367" s="48"/>
      <c r="CJ367" s="48"/>
      <c r="CK367" s="48"/>
      <c r="CL367" s="48"/>
      <c r="CM367" s="48"/>
      <c r="CN367" s="48"/>
      <c r="CO367" s="48"/>
      <c r="CP367" s="48"/>
      <c r="CQ367" s="48"/>
      <c r="CR367" s="48"/>
      <c r="CS367" s="48"/>
      <c r="CT367" s="48"/>
      <c r="CU367" s="48"/>
      <c r="CV367" s="48"/>
      <c r="CW367" s="48"/>
      <c r="CX367" s="48"/>
      <c r="CY367" s="48"/>
      <c r="CZ367" s="48"/>
      <c r="DA367" s="48"/>
      <c r="DB367" s="48"/>
      <c r="DC367" s="48"/>
      <c r="DD367" s="48"/>
      <c r="DE367" s="48"/>
      <c r="DF367" s="48"/>
      <c r="DG367" s="48"/>
      <c r="DH367" s="48"/>
      <c r="DI367" s="48"/>
      <c r="DJ367" s="48"/>
      <c r="DK367" s="48"/>
      <c r="DL367" s="48"/>
      <c r="DM367" s="48"/>
      <c r="DN367" s="48"/>
      <c r="DO367" s="48"/>
      <c r="DP367" s="48"/>
      <c r="DQ367" s="48"/>
      <c r="DR367" s="48"/>
      <c r="DS367" s="48"/>
    </row>
    <row r="368" spans="1:123" ht="15">
      <c r="A368"/>
      <c r="B368"/>
      <c r="C368"/>
      <c r="D368"/>
      <c r="E368"/>
      <c r="F368"/>
      <c r="G368"/>
      <c r="H368"/>
      <c r="I368"/>
      <c r="J36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8"/>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48"/>
      <c r="CZ368" s="48"/>
      <c r="DA368" s="48"/>
      <c r="DB368" s="48"/>
      <c r="DC368" s="48"/>
      <c r="DD368" s="48"/>
      <c r="DE368" s="48"/>
      <c r="DF368" s="48"/>
      <c r="DG368" s="48"/>
      <c r="DH368" s="48"/>
      <c r="DI368" s="48"/>
      <c r="DJ368" s="48"/>
      <c r="DK368" s="48"/>
      <c r="DL368" s="48"/>
      <c r="DM368" s="48"/>
      <c r="DN368" s="48"/>
      <c r="DO368" s="48"/>
      <c r="DP368" s="48"/>
      <c r="DQ368" s="48"/>
      <c r="DR368" s="48"/>
      <c r="DS368" s="48"/>
    </row>
    <row r="369" spans="1:123" ht="15">
      <c r="A369"/>
      <c r="B369"/>
      <c r="C369"/>
      <c r="D369"/>
      <c r="E369"/>
      <c r="F369"/>
      <c r="G369"/>
      <c r="H369"/>
      <c r="I369"/>
      <c r="J369"/>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48"/>
      <c r="BH369" s="48"/>
      <c r="BI369" s="48"/>
      <c r="BJ369" s="48"/>
      <c r="BK369" s="48"/>
      <c r="BL369" s="48"/>
      <c r="BM369" s="48"/>
      <c r="BN369" s="48"/>
      <c r="BO369" s="48"/>
      <c r="BP369" s="48"/>
      <c r="BQ369" s="48"/>
      <c r="BR369" s="48"/>
      <c r="BS369" s="48"/>
      <c r="BT369" s="48"/>
      <c r="BU369" s="48"/>
      <c r="BV369" s="48"/>
      <c r="BW369" s="48"/>
      <c r="BX369" s="48"/>
      <c r="BY369" s="48"/>
      <c r="BZ369" s="48"/>
      <c r="CA369" s="48"/>
      <c r="CB369" s="48"/>
      <c r="CC369" s="48"/>
      <c r="CD369" s="48"/>
      <c r="CE369" s="48"/>
      <c r="CF369" s="48"/>
      <c r="CG369" s="48"/>
      <c r="CH369" s="48"/>
      <c r="CI369" s="48"/>
      <c r="CJ369" s="48"/>
      <c r="CK369" s="48"/>
      <c r="CL369" s="48"/>
      <c r="CM369" s="48"/>
      <c r="CN369" s="48"/>
      <c r="CO369" s="48"/>
      <c r="CP369" s="48"/>
      <c r="CQ369" s="48"/>
      <c r="CR369" s="48"/>
      <c r="CS369" s="48"/>
      <c r="CT369" s="48"/>
      <c r="CU369" s="48"/>
      <c r="CV369" s="48"/>
      <c r="CW369" s="48"/>
      <c r="CX369" s="48"/>
      <c r="CY369" s="48"/>
      <c r="CZ369" s="48"/>
      <c r="DA369" s="48"/>
      <c r="DB369" s="48"/>
      <c r="DC369" s="48"/>
      <c r="DD369" s="48"/>
      <c r="DE369" s="48"/>
      <c r="DF369" s="48"/>
      <c r="DG369" s="48"/>
      <c r="DH369" s="48"/>
      <c r="DI369" s="48"/>
      <c r="DJ369" s="48"/>
      <c r="DK369" s="48"/>
      <c r="DL369" s="48"/>
      <c r="DM369" s="48"/>
      <c r="DN369" s="48"/>
      <c r="DO369" s="48"/>
      <c r="DP369" s="48"/>
      <c r="DQ369" s="48"/>
      <c r="DR369" s="48"/>
      <c r="DS369" s="48"/>
    </row>
    <row r="370" spans="1:123" ht="15">
      <c r="A370"/>
      <c r="B370"/>
      <c r="C370"/>
      <c r="D370"/>
      <c r="E370"/>
      <c r="F370"/>
      <c r="G370"/>
      <c r="H370"/>
      <c r="I370"/>
      <c r="J370"/>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48"/>
      <c r="BH370" s="48"/>
      <c r="BI370" s="48"/>
      <c r="BJ370" s="48"/>
      <c r="BK370" s="48"/>
      <c r="BL370" s="48"/>
      <c r="BM370" s="48"/>
      <c r="BN370" s="48"/>
      <c r="BO370" s="48"/>
      <c r="BP370" s="48"/>
      <c r="BQ370" s="48"/>
      <c r="BR370" s="48"/>
      <c r="BS370" s="48"/>
      <c r="BT370" s="48"/>
      <c r="BU370" s="48"/>
      <c r="BV370" s="48"/>
      <c r="BW370" s="48"/>
      <c r="BX370" s="48"/>
      <c r="BY370" s="48"/>
      <c r="BZ370" s="48"/>
      <c r="CA370" s="48"/>
      <c r="CB370" s="48"/>
      <c r="CC370" s="48"/>
      <c r="CD370" s="48"/>
      <c r="CE370" s="48"/>
      <c r="CF370" s="48"/>
      <c r="CG370" s="48"/>
      <c r="CH370" s="48"/>
      <c r="CI370" s="48"/>
      <c r="CJ370" s="48"/>
      <c r="CK370" s="48"/>
      <c r="CL370" s="48"/>
      <c r="CM370" s="48"/>
      <c r="CN370" s="48"/>
      <c r="CO370" s="48"/>
      <c r="CP370" s="48"/>
      <c r="CQ370" s="48"/>
      <c r="CR370" s="48"/>
      <c r="CS370" s="48"/>
      <c r="CT370" s="48"/>
      <c r="CU370" s="48"/>
      <c r="CV370" s="48"/>
      <c r="CW370" s="48"/>
      <c r="CX370" s="48"/>
      <c r="CY370" s="48"/>
      <c r="CZ370" s="48"/>
      <c r="DA370" s="48"/>
      <c r="DB370" s="48"/>
      <c r="DC370" s="48"/>
      <c r="DD370" s="48"/>
      <c r="DE370" s="48"/>
      <c r="DF370" s="48"/>
      <c r="DG370" s="48"/>
      <c r="DH370" s="48"/>
      <c r="DI370" s="48"/>
      <c r="DJ370" s="48"/>
      <c r="DK370" s="48"/>
      <c r="DL370" s="48"/>
      <c r="DM370" s="48"/>
      <c r="DN370" s="48"/>
      <c r="DO370" s="48"/>
      <c r="DP370" s="48"/>
      <c r="DQ370" s="48"/>
      <c r="DR370" s="48"/>
      <c r="DS370" s="48"/>
    </row>
    <row r="371" spans="1:123" ht="15">
      <c r="A371"/>
      <c r="B371"/>
      <c r="C371"/>
      <c r="D371"/>
      <c r="E371"/>
      <c r="F371"/>
      <c r="G371"/>
      <c r="H371"/>
      <c r="I371"/>
      <c r="J371"/>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48"/>
      <c r="BH371" s="48"/>
      <c r="BI371" s="48"/>
      <c r="BJ371" s="48"/>
      <c r="BK371" s="48"/>
      <c r="BL371" s="48"/>
      <c r="BM371" s="48"/>
      <c r="BN371" s="48"/>
      <c r="BO371" s="48"/>
      <c r="BP371" s="48"/>
      <c r="BQ371" s="48"/>
      <c r="BR371" s="48"/>
      <c r="BS371" s="48"/>
      <c r="BT371" s="48"/>
      <c r="BU371" s="48"/>
      <c r="BV371" s="48"/>
      <c r="BW371" s="48"/>
      <c r="BX371" s="48"/>
      <c r="BY371" s="48"/>
      <c r="BZ371" s="48"/>
      <c r="CA371" s="48"/>
      <c r="CB371" s="48"/>
      <c r="CC371" s="48"/>
      <c r="CD371" s="48"/>
      <c r="CE371" s="48"/>
      <c r="CF371" s="48"/>
      <c r="CG371" s="48"/>
      <c r="CH371" s="48"/>
      <c r="CI371" s="48"/>
      <c r="CJ371" s="48"/>
      <c r="CK371" s="48"/>
      <c r="CL371" s="48"/>
      <c r="CM371" s="48"/>
      <c r="CN371" s="48"/>
      <c r="CO371" s="48"/>
      <c r="CP371" s="48"/>
      <c r="CQ371" s="48"/>
      <c r="CR371" s="48"/>
      <c r="CS371" s="48"/>
      <c r="CT371" s="48"/>
      <c r="CU371" s="48"/>
      <c r="CV371" s="48"/>
      <c r="CW371" s="48"/>
      <c r="CX371" s="48"/>
      <c r="CY371" s="48"/>
      <c r="CZ371" s="48"/>
      <c r="DA371" s="48"/>
      <c r="DB371" s="48"/>
      <c r="DC371" s="48"/>
      <c r="DD371" s="48"/>
      <c r="DE371" s="48"/>
      <c r="DF371" s="48"/>
      <c r="DG371" s="48"/>
      <c r="DH371" s="48"/>
      <c r="DI371" s="48"/>
      <c r="DJ371" s="48"/>
      <c r="DK371" s="48"/>
      <c r="DL371" s="48"/>
      <c r="DM371" s="48"/>
      <c r="DN371" s="48"/>
      <c r="DO371" s="48"/>
      <c r="DP371" s="48"/>
      <c r="DQ371" s="48"/>
      <c r="DR371" s="48"/>
      <c r="DS371" s="48"/>
    </row>
    <row r="372" spans="1:123" ht="15">
      <c r="A372"/>
      <c r="B372"/>
      <c r="C372"/>
      <c r="D372"/>
      <c r="E372"/>
      <c r="F372"/>
      <c r="G372"/>
      <c r="H372"/>
      <c r="I372"/>
      <c r="J372"/>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48"/>
      <c r="BH372" s="48"/>
      <c r="BI372" s="48"/>
      <c r="BJ372" s="48"/>
      <c r="BK372" s="48"/>
      <c r="BL372" s="48"/>
      <c r="BM372" s="48"/>
      <c r="BN372" s="48"/>
      <c r="BO372" s="48"/>
      <c r="BP372" s="48"/>
      <c r="BQ372" s="48"/>
      <c r="BR372" s="48"/>
      <c r="BS372" s="48"/>
      <c r="BT372" s="48"/>
      <c r="BU372" s="48"/>
      <c r="BV372" s="48"/>
      <c r="BW372" s="48"/>
      <c r="BX372" s="48"/>
      <c r="BY372" s="48"/>
      <c r="BZ372" s="48"/>
      <c r="CA372" s="48"/>
      <c r="CB372" s="48"/>
      <c r="CC372" s="48"/>
      <c r="CD372" s="48"/>
      <c r="CE372" s="48"/>
      <c r="CF372" s="48"/>
      <c r="CG372" s="48"/>
      <c r="CH372" s="48"/>
      <c r="CI372" s="48"/>
      <c r="CJ372" s="48"/>
      <c r="CK372" s="48"/>
      <c r="CL372" s="48"/>
      <c r="CM372" s="48"/>
      <c r="CN372" s="48"/>
      <c r="CO372" s="48"/>
      <c r="CP372" s="48"/>
      <c r="CQ372" s="48"/>
      <c r="CR372" s="48"/>
      <c r="CS372" s="48"/>
      <c r="CT372" s="48"/>
      <c r="CU372" s="48"/>
      <c r="CV372" s="48"/>
      <c r="CW372" s="48"/>
      <c r="CX372" s="48"/>
      <c r="CY372" s="48"/>
      <c r="CZ372" s="48"/>
      <c r="DA372" s="48"/>
      <c r="DB372" s="48"/>
      <c r="DC372" s="48"/>
      <c r="DD372" s="48"/>
      <c r="DE372" s="48"/>
      <c r="DF372" s="48"/>
      <c r="DG372" s="48"/>
      <c r="DH372" s="48"/>
      <c r="DI372" s="48"/>
      <c r="DJ372" s="48"/>
      <c r="DK372" s="48"/>
      <c r="DL372" s="48"/>
      <c r="DM372" s="48"/>
      <c r="DN372" s="48"/>
      <c r="DO372" s="48"/>
      <c r="DP372" s="48"/>
      <c r="DQ372" s="48"/>
      <c r="DR372" s="48"/>
      <c r="DS372" s="48"/>
    </row>
    <row r="373" spans="1:123" ht="15">
      <c r="A373"/>
      <c r="B373"/>
      <c r="C373"/>
      <c r="D373"/>
      <c r="E373"/>
      <c r="F373"/>
      <c r="G373"/>
      <c r="H373"/>
      <c r="I373"/>
      <c r="J373"/>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48"/>
      <c r="BJ373" s="48"/>
      <c r="BK373" s="48"/>
      <c r="BL373" s="48"/>
      <c r="BM373" s="48"/>
      <c r="BN373" s="48"/>
      <c r="BO373" s="48"/>
      <c r="BP373" s="48"/>
      <c r="BQ373" s="48"/>
      <c r="BR373" s="48"/>
      <c r="BS373" s="48"/>
      <c r="BT373" s="48"/>
      <c r="BU373" s="48"/>
      <c r="BV373" s="48"/>
      <c r="BW373" s="48"/>
      <c r="BX373" s="48"/>
      <c r="BY373" s="48"/>
      <c r="BZ373" s="48"/>
      <c r="CA373" s="48"/>
      <c r="CB373" s="48"/>
      <c r="CC373" s="48"/>
      <c r="CD373" s="48"/>
      <c r="CE373" s="48"/>
      <c r="CF373" s="48"/>
      <c r="CG373" s="48"/>
      <c r="CH373" s="48"/>
      <c r="CI373" s="48"/>
      <c r="CJ373" s="48"/>
      <c r="CK373" s="48"/>
      <c r="CL373" s="48"/>
      <c r="CM373" s="48"/>
      <c r="CN373" s="48"/>
      <c r="CO373" s="48"/>
      <c r="CP373" s="48"/>
      <c r="CQ373" s="48"/>
      <c r="CR373" s="48"/>
      <c r="CS373" s="48"/>
      <c r="CT373" s="48"/>
      <c r="CU373" s="48"/>
      <c r="CV373" s="48"/>
      <c r="CW373" s="48"/>
      <c r="CX373" s="48"/>
      <c r="CY373" s="48"/>
      <c r="CZ373" s="48"/>
      <c r="DA373" s="48"/>
      <c r="DB373" s="48"/>
      <c r="DC373" s="48"/>
      <c r="DD373" s="48"/>
      <c r="DE373" s="48"/>
      <c r="DF373" s="48"/>
      <c r="DG373" s="48"/>
      <c r="DH373" s="48"/>
      <c r="DI373" s="48"/>
      <c r="DJ373" s="48"/>
      <c r="DK373" s="48"/>
      <c r="DL373" s="48"/>
      <c r="DM373" s="48"/>
      <c r="DN373" s="48"/>
      <c r="DO373" s="48"/>
      <c r="DP373" s="48"/>
      <c r="DQ373" s="48"/>
      <c r="DR373" s="48"/>
      <c r="DS373" s="48"/>
    </row>
    <row r="374" spans="1:123" ht="15">
      <c r="A374"/>
      <c r="B374"/>
      <c r="C374"/>
      <c r="D374"/>
      <c r="E374"/>
      <c r="F374"/>
      <c r="G374"/>
      <c r="H374"/>
      <c r="I374"/>
      <c r="J374"/>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48"/>
      <c r="BJ374" s="48"/>
      <c r="BK374" s="48"/>
      <c r="BL374" s="48"/>
      <c r="BM374" s="48"/>
      <c r="BN374" s="48"/>
      <c r="BO374" s="48"/>
      <c r="BP374" s="48"/>
      <c r="BQ374" s="48"/>
      <c r="BR374" s="48"/>
      <c r="BS374" s="48"/>
      <c r="BT374" s="48"/>
      <c r="BU374" s="48"/>
      <c r="BV374" s="48"/>
      <c r="BW374" s="48"/>
      <c r="BX374" s="48"/>
      <c r="BY374" s="48"/>
      <c r="BZ374" s="48"/>
      <c r="CA374" s="48"/>
      <c r="CB374" s="48"/>
      <c r="CC374" s="48"/>
      <c r="CD374" s="48"/>
      <c r="CE374" s="48"/>
      <c r="CF374" s="48"/>
      <c r="CG374" s="48"/>
      <c r="CH374" s="48"/>
      <c r="CI374" s="48"/>
      <c r="CJ374" s="48"/>
      <c r="CK374" s="48"/>
      <c r="CL374" s="48"/>
      <c r="CM374" s="48"/>
      <c r="CN374" s="48"/>
      <c r="CO374" s="48"/>
      <c r="CP374" s="48"/>
      <c r="CQ374" s="48"/>
      <c r="CR374" s="48"/>
      <c r="CS374" s="48"/>
      <c r="CT374" s="48"/>
      <c r="CU374" s="48"/>
      <c r="CV374" s="48"/>
      <c r="CW374" s="48"/>
      <c r="CX374" s="48"/>
      <c r="CY374" s="48"/>
      <c r="CZ374" s="48"/>
      <c r="DA374" s="48"/>
      <c r="DB374" s="48"/>
      <c r="DC374" s="48"/>
      <c r="DD374" s="48"/>
      <c r="DE374" s="48"/>
      <c r="DF374" s="48"/>
      <c r="DG374" s="48"/>
      <c r="DH374" s="48"/>
      <c r="DI374" s="48"/>
      <c r="DJ374" s="48"/>
      <c r="DK374" s="48"/>
      <c r="DL374" s="48"/>
      <c r="DM374" s="48"/>
      <c r="DN374" s="48"/>
      <c r="DO374" s="48"/>
      <c r="DP374" s="48"/>
      <c r="DQ374" s="48"/>
      <c r="DR374" s="48"/>
      <c r="DS374" s="48"/>
    </row>
    <row r="375" spans="1:123" ht="15">
      <c r="A375"/>
      <c r="B375"/>
      <c r="C375"/>
      <c r="D375"/>
      <c r="E375"/>
      <c r="F375"/>
      <c r="G375"/>
      <c r="H375"/>
      <c r="I375"/>
      <c r="J375"/>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8"/>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48"/>
      <c r="CZ375" s="48"/>
      <c r="DA375" s="48"/>
      <c r="DB375" s="48"/>
      <c r="DC375" s="48"/>
      <c r="DD375" s="48"/>
      <c r="DE375" s="48"/>
      <c r="DF375" s="48"/>
      <c r="DG375" s="48"/>
      <c r="DH375" s="48"/>
      <c r="DI375" s="48"/>
      <c r="DJ375" s="48"/>
      <c r="DK375" s="48"/>
      <c r="DL375" s="48"/>
      <c r="DM375" s="48"/>
      <c r="DN375" s="48"/>
      <c r="DO375" s="48"/>
      <c r="DP375" s="48"/>
      <c r="DQ375" s="48"/>
      <c r="DR375" s="48"/>
      <c r="DS375" s="48"/>
    </row>
    <row r="376" spans="1:123" ht="15">
      <c r="A376"/>
      <c r="B376"/>
      <c r="C376"/>
      <c r="D376"/>
      <c r="E376"/>
      <c r="F376"/>
      <c r="G376"/>
      <c r="H376"/>
      <c r="I376"/>
      <c r="J376"/>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48"/>
      <c r="BH376" s="48"/>
      <c r="BI376" s="48"/>
      <c r="BJ376" s="48"/>
      <c r="BK376" s="48"/>
      <c r="BL376" s="48"/>
      <c r="BM376" s="48"/>
      <c r="BN376" s="48"/>
      <c r="BO376" s="48"/>
      <c r="BP376" s="48"/>
      <c r="BQ376" s="48"/>
      <c r="BR376" s="48"/>
      <c r="BS376" s="48"/>
      <c r="BT376" s="48"/>
      <c r="BU376" s="48"/>
      <c r="BV376" s="48"/>
      <c r="BW376" s="48"/>
      <c r="BX376" s="48"/>
      <c r="BY376" s="48"/>
      <c r="BZ376" s="48"/>
      <c r="CA376" s="48"/>
      <c r="CB376" s="48"/>
      <c r="CC376" s="48"/>
      <c r="CD376" s="48"/>
      <c r="CE376" s="48"/>
      <c r="CF376" s="48"/>
      <c r="CG376" s="48"/>
      <c r="CH376" s="48"/>
      <c r="CI376" s="48"/>
      <c r="CJ376" s="48"/>
      <c r="CK376" s="48"/>
      <c r="CL376" s="48"/>
      <c r="CM376" s="48"/>
      <c r="CN376" s="48"/>
      <c r="CO376" s="48"/>
      <c r="CP376" s="48"/>
      <c r="CQ376" s="48"/>
      <c r="CR376" s="48"/>
      <c r="CS376" s="48"/>
      <c r="CT376" s="48"/>
      <c r="CU376" s="48"/>
      <c r="CV376" s="48"/>
      <c r="CW376" s="48"/>
      <c r="CX376" s="48"/>
      <c r="CY376" s="48"/>
      <c r="CZ376" s="48"/>
      <c r="DA376" s="48"/>
      <c r="DB376" s="48"/>
      <c r="DC376" s="48"/>
      <c r="DD376" s="48"/>
      <c r="DE376" s="48"/>
      <c r="DF376" s="48"/>
      <c r="DG376" s="48"/>
      <c r="DH376" s="48"/>
      <c r="DI376" s="48"/>
      <c r="DJ376" s="48"/>
      <c r="DK376" s="48"/>
      <c r="DL376" s="48"/>
      <c r="DM376" s="48"/>
      <c r="DN376" s="48"/>
      <c r="DO376" s="48"/>
      <c r="DP376" s="48"/>
      <c r="DQ376" s="48"/>
      <c r="DR376" s="48"/>
      <c r="DS376" s="48"/>
    </row>
    <row r="377" spans="1:123" ht="15">
      <c r="A377"/>
      <c r="B377"/>
      <c r="C377"/>
      <c r="D377"/>
      <c r="E377"/>
      <c r="F377"/>
      <c r="G377"/>
      <c r="H377"/>
      <c r="I377"/>
      <c r="J377"/>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c r="BO377" s="48"/>
      <c r="BP377" s="48"/>
      <c r="BQ377" s="48"/>
      <c r="BR377" s="48"/>
      <c r="BS377" s="48"/>
      <c r="BT377" s="48"/>
      <c r="BU377" s="48"/>
      <c r="BV377" s="48"/>
      <c r="BW377" s="48"/>
      <c r="BX377" s="48"/>
      <c r="BY377" s="48"/>
      <c r="BZ377" s="48"/>
      <c r="CA377" s="48"/>
      <c r="CB377" s="48"/>
      <c r="CC377" s="48"/>
      <c r="CD377" s="48"/>
      <c r="CE377" s="48"/>
      <c r="CF377" s="48"/>
      <c r="CG377" s="48"/>
      <c r="CH377" s="48"/>
      <c r="CI377" s="48"/>
      <c r="CJ377" s="48"/>
      <c r="CK377" s="48"/>
      <c r="CL377" s="48"/>
      <c r="CM377" s="48"/>
      <c r="CN377" s="48"/>
      <c r="CO377" s="48"/>
      <c r="CP377" s="48"/>
      <c r="CQ377" s="48"/>
      <c r="CR377" s="48"/>
      <c r="CS377" s="48"/>
      <c r="CT377" s="48"/>
      <c r="CU377" s="48"/>
      <c r="CV377" s="48"/>
      <c r="CW377" s="48"/>
      <c r="CX377" s="48"/>
      <c r="CY377" s="48"/>
      <c r="CZ377" s="48"/>
      <c r="DA377" s="48"/>
      <c r="DB377" s="48"/>
      <c r="DC377" s="48"/>
      <c r="DD377" s="48"/>
      <c r="DE377" s="48"/>
      <c r="DF377" s="48"/>
      <c r="DG377" s="48"/>
      <c r="DH377" s="48"/>
      <c r="DI377" s="48"/>
      <c r="DJ377" s="48"/>
      <c r="DK377" s="48"/>
      <c r="DL377" s="48"/>
      <c r="DM377" s="48"/>
      <c r="DN377" s="48"/>
      <c r="DO377" s="48"/>
      <c r="DP377" s="48"/>
      <c r="DQ377" s="48"/>
      <c r="DR377" s="48"/>
      <c r="DS377" s="48"/>
    </row>
    <row r="378" spans="1:123" ht="15">
      <c r="A378"/>
      <c r="B378"/>
      <c r="C378"/>
      <c r="D378"/>
      <c r="E378"/>
      <c r="F378"/>
      <c r="G378"/>
      <c r="H378"/>
      <c r="I378"/>
      <c r="J37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c r="BO378" s="48"/>
      <c r="BP378" s="48"/>
      <c r="BQ378" s="48"/>
      <c r="BR378" s="48"/>
      <c r="BS378" s="48"/>
      <c r="BT378" s="48"/>
      <c r="BU378" s="48"/>
      <c r="BV378" s="48"/>
      <c r="BW378" s="48"/>
      <c r="BX378" s="48"/>
      <c r="BY378" s="48"/>
      <c r="BZ378" s="48"/>
      <c r="CA378" s="48"/>
      <c r="CB378" s="48"/>
      <c r="CC378" s="48"/>
      <c r="CD378" s="48"/>
      <c r="CE378" s="48"/>
      <c r="CF378" s="48"/>
      <c r="CG378" s="48"/>
      <c r="CH378" s="48"/>
      <c r="CI378" s="48"/>
      <c r="CJ378" s="48"/>
      <c r="CK378" s="48"/>
      <c r="CL378" s="48"/>
      <c r="CM378" s="48"/>
      <c r="CN378" s="48"/>
      <c r="CO378" s="48"/>
      <c r="CP378" s="48"/>
      <c r="CQ378" s="48"/>
      <c r="CR378" s="48"/>
      <c r="CS378" s="48"/>
      <c r="CT378" s="48"/>
      <c r="CU378" s="48"/>
      <c r="CV378" s="48"/>
      <c r="CW378" s="48"/>
      <c r="CX378" s="48"/>
      <c r="CY378" s="48"/>
      <c r="CZ378" s="48"/>
      <c r="DA378" s="48"/>
      <c r="DB378" s="48"/>
      <c r="DC378" s="48"/>
      <c r="DD378" s="48"/>
      <c r="DE378" s="48"/>
      <c r="DF378" s="48"/>
      <c r="DG378" s="48"/>
      <c r="DH378" s="48"/>
      <c r="DI378" s="48"/>
      <c r="DJ378" s="48"/>
      <c r="DK378" s="48"/>
      <c r="DL378" s="48"/>
      <c r="DM378" s="48"/>
      <c r="DN378" s="48"/>
      <c r="DO378" s="48"/>
      <c r="DP378" s="48"/>
      <c r="DQ378" s="48"/>
      <c r="DR378" s="48"/>
      <c r="DS378" s="48"/>
    </row>
    <row r="379" spans="1:123" ht="15">
      <c r="A379"/>
      <c r="B379"/>
      <c r="C379"/>
      <c r="D379"/>
      <c r="E379"/>
      <c r="F379"/>
      <c r="G379"/>
      <c r="H379"/>
      <c r="I379"/>
      <c r="J379"/>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c r="BO379" s="48"/>
      <c r="BP379" s="48"/>
      <c r="BQ379" s="48"/>
      <c r="BR379" s="48"/>
      <c r="BS379" s="48"/>
      <c r="BT379" s="48"/>
      <c r="BU379" s="48"/>
      <c r="BV379" s="48"/>
      <c r="BW379" s="48"/>
      <c r="BX379" s="48"/>
      <c r="BY379" s="48"/>
      <c r="BZ379" s="48"/>
      <c r="CA379" s="48"/>
      <c r="CB379" s="48"/>
      <c r="CC379" s="48"/>
      <c r="CD379" s="48"/>
      <c r="CE379" s="48"/>
      <c r="CF379" s="48"/>
      <c r="CG379" s="48"/>
      <c r="CH379" s="48"/>
      <c r="CI379" s="48"/>
      <c r="CJ379" s="48"/>
      <c r="CK379" s="48"/>
      <c r="CL379" s="48"/>
      <c r="CM379" s="48"/>
      <c r="CN379" s="48"/>
      <c r="CO379" s="48"/>
      <c r="CP379" s="48"/>
      <c r="CQ379" s="48"/>
      <c r="CR379" s="48"/>
      <c r="CS379" s="48"/>
      <c r="CT379" s="48"/>
      <c r="CU379" s="48"/>
      <c r="CV379" s="48"/>
      <c r="CW379" s="48"/>
      <c r="CX379" s="48"/>
      <c r="CY379" s="48"/>
      <c r="CZ379" s="48"/>
      <c r="DA379" s="48"/>
      <c r="DB379" s="48"/>
      <c r="DC379" s="48"/>
      <c r="DD379" s="48"/>
      <c r="DE379" s="48"/>
      <c r="DF379" s="48"/>
      <c r="DG379" s="48"/>
      <c r="DH379" s="48"/>
      <c r="DI379" s="48"/>
      <c r="DJ379" s="48"/>
      <c r="DK379" s="48"/>
      <c r="DL379" s="48"/>
      <c r="DM379" s="48"/>
      <c r="DN379" s="48"/>
      <c r="DO379" s="48"/>
      <c r="DP379" s="48"/>
      <c r="DQ379" s="48"/>
      <c r="DR379" s="48"/>
      <c r="DS379" s="48"/>
    </row>
    <row r="380" spans="1:123" ht="15">
      <c r="A380"/>
      <c r="B380"/>
      <c r="C380"/>
      <c r="D380"/>
      <c r="E380"/>
      <c r="F380"/>
      <c r="G380"/>
      <c r="H380"/>
      <c r="I380"/>
      <c r="J380"/>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8"/>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48"/>
      <c r="CZ380" s="48"/>
      <c r="DA380" s="48"/>
      <c r="DB380" s="48"/>
      <c r="DC380" s="48"/>
      <c r="DD380" s="48"/>
      <c r="DE380" s="48"/>
      <c r="DF380" s="48"/>
      <c r="DG380" s="48"/>
      <c r="DH380" s="48"/>
      <c r="DI380" s="48"/>
      <c r="DJ380" s="48"/>
      <c r="DK380" s="48"/>
      <c r="DL380" s="48"/>
      <c r="DM380" s="48"/>
      <c r="DN380" s="48"/>
      <c r="DO380" s="48"/>
      <c r="DP380" s="48"/>
      <c r="DQ380" s="48"/>
      <c r="DR380" s="48"/>
      <c r="DS380" s="48"/>
    </row>
    <row r="381" spans="1:123" ht="15">
      <c r="A381"/>
      <c r="B381"/>
      <c r="C381"/>
      <c r="D381"/>
      <c r="E381"/>
      <c r="F381"/>
      <c r="G381"/>
      <c r="H381"/>
      <c r="I381"/>
      <c r="J381"/>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48"/>
      <c r="BH381" s="48"/>
      <c r="BI381" s="48"/>
      <c r="BJ381" s="48"/>
      <c r="BK381" s="48"/>
      <c r="BL381" s="48"/>
      <c r="BM381" s="48"/>
      <c r="BN381" s="48"/>
      <c r="BO381" s="48"/>
      <c r="BP381" s="48"/>
      <c r="BQ381" s="48"/>
      <c r="BR381" s="48"/>
      <c r="BS381" s="48"/>
      <c r="BT381" s="48"/>
      <c r="BU381" s="48"/>
      <c r="BV381" s="48"/>
      <c r="BW381" s="48"/>
      <c r="BX381" s="48"/>
      <c r="BY381" s="48"/>
      <c r="BZ381" s="48"/>
      <c r="CA381" s="48"/>
      <c r="CB381" s="48"/>
      <c r="CC381" s="48"/>
      <c r="CD381" s="48"/>
      <c r="CE381" s="48"/>
      <c r="CF381" s="48"/>
      <c r="CG381" s="48"/>
      <c r="CH381" s="48"/>
      <c r="CI381" s="48"/>
      <c r="CJ381" s="48"/>
      <c r="CK381" s="48"/>
      <c r="CL381" s="48"/>
      <c r="CM381" s="48"/>
      <c r="CN381" s="48"/>
      <c r="CO381" s="48"/>
      <c r="CP381" s="48"/>
      <c r="CQ381" s="48"/>
      <c r="CR381" s="48"/>
      <c r="CS381" s="48"/>
      <c r="CT381" s="48"/>
      <c r="CU381" s="48"/>
      <c r="CV381" s="48"/>
      <c r="CW381" s="48"/>
      <c r="CX381" s="48"/>
      <c r="CY381" s="48"/>
      <c r="CZ381" s="48"/>
      <c r="DA381" s="48"/>
      <c r="DB381" s="48"/>
      <c r="DC381" s="48"/>
      <c r="DD381" s="48"/>
      <c r="DE381" s="48"/>
      <c r="DF381" s="48"/>
      <c r="DG381" s="48"/>
      <c r="DH381" s="48"/>
      <c r="DI381" s="48"/>
      <c r="DJ381" s="48"/>
      <c r="DK381" s="48"/>
      <c r="DL381" s="48"/>
      <c r="DM381" s="48"/>
      <c r="DN381" s="48"/>
      <c r="DO381" s="48"/>
      <c r="DP381" s="48"/>
      <c r="DQ381" s="48"/>
      <c r="DR381" s="48"/>
      <c r="DS381" s="48"/>
    </row>
    <row r="382" spans="1:123" ht="15">
      <c r="A382"/>
      <c r="B382"/>
      <c r="C382"/>
      <c r="D382"/>
      <c r="E382"/>
      <c r="F382"/>
      <c r="G382"/>
      <c r="H382"/>
      <c r="I382"/>
      <c r="J382"/>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48"/>
      <c r="BH382" s="48"/>
      <c r="BI382" s="48"/>
      <c r="BJ382" s="48"/>
      <c r="BK382" s="48"/>
      <c r="BL382" s="48"/>
      <c r="BM382" s="48"/>
      <c r="BN382" s="48"/>
      <c r="BO382" s="48"/>
      <c r="BP382" s="48"/>
      <c r="BQ382" s="48"/>
      <c r="BR382" s="48"/>
      <c r="BS382" s="48"/>
      <c r="BT382" s="48"/>
      <c r="BU382" s="48"/>
      <c r="BV382" s="48"/>
      <c r="BW382" s="48"/>
      <c r="BX382" s="48"/>
      <c r="BY382" s="48"/>
      <c r="BZ382" s="48"/>
      <c r="CA382" s="48"/>
      <c r="CB382" s="48"/>
      <c r="CC382" s="48"/>
      <c r="CD382" s="48"/>
      <c r="CE382" s="48"/>
      <c r="CF382" s="48"/>
      <c r="CG382" s="48"/>
      <c r="CH382" s="48"/>
      <c r="CI382" s="48"/>
      <c r="CJ382" s="48"/>
      <c r="CK382" s="48"/>
      <c r="CL382" s="48"/>
      <c r="CM382" s="48"/>
      <c r="CN382" s="48"/>
      <c r="CO382" s="48"/>
      <c r="CP382" s="48"/>
      <c r="CQ382" s="48"/>
      <c r="CR382" s="48"/>
      <c r="CS382" s="48"/>
      <c r="CT382" s="48"/>
      <c r="CU382" s="48"/>
      <c r="CV382" s="48"/>
      <c r="CW382" s="48"/>
      <c r="CX382" s="48"/>
      <c r="CY382" s="48"/>
      <c r="CZ382" s="48"/>
      <c r="DA382" s="48"/>
      <c r="DB382" s="48"/>
      <c r="DC382" s="48"/>
      <c r="DD382" s="48"/>
      <c r="DE382" s="48"/>
      <c r="DF382" s="48"/>
      <c r="DG382" s="48"/>
      <c r="DH382" s="48"/>
      <c r="DI382" s="48"/>
      <c r="DJ382" s="48"/>
      <c r="DK382" s="48"/>
      <c r="DL382" s="48"/>
      <c r="DM382" s="48"/>
      <c r="DN382" s="48"/>
      <c r="DO382" s="48"/>
      <c r="DP382" s="48"/>
      <c r="DQ382" s="48"/>
      <c r="DR382" s="48"/>
      <c r="DS382" s="48"/>
    </row>
    <row r="383" spans="1:123" ht="15">
      <c r="A383"/>
      <c r="B383"/>
      <c r="C383"/>
      <c r="D383"/>
      <c r="E383"/>
      <c r="F383"/>
      <c r="G383"/>
      <c r="H383"/>
      <c r="I383"/>
      <c r="J383"/>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48"/>
      <c r="BH383" s="48"/>
      <c r="BI383" s="48"/>
      <c r="BJ383" s="48"/>
      <c r="BK383" s="48"/>
      <c r="BL383" s="48"/>
      <c r="BM383" s="48"/>
      <c r="BN383" s="48"/>
      <c r="BO383" s="48"/>
      <c r="BP383" s="48"/>
      <c r="BQ383" s="48"/>
      <c r="BR383" s="48"/>
      <c r="BS383" s="48"/>
      <c r="BT383" s="48"/>
      <c r="BU383" s="48"/>
      <c r="BV383" s="48"/>
      <c r="BW383" s="48"/>
      <c r="BX383" s="48"/>
      <c r="BY383" s="48"/>
      <c r="BZ383" s="48"/>
      <c r="CA383" s="48"/>
      <c r="CB383" s="48"/>
      <c r="CC383" s="48"/>
      <c r="CD383" s="48"/>
      <c r="CE383" s="48"/>
      <c r="CF383" s="48"/>
      <c r="CG383" s="48"/>
      <c r="CH383" s="48"/>
      <c r="CI383" s="48"/>
      <c r="CJ383" s="48"/>
      <c r="CK383" s="48"/>
      <c r="CL383" s="48"/>
      <c r="CM383" s="48"/>
      <c r="CN383" s="48"/>
      <c r="CO383" s="48"/>
      <c r="CP383" s="48"/>
      <c r="CQ383" s="48"/>
      <c r="CR383" s="48"/>
      <c r="CS383" s="48"/>
      <c r="CT383" s="48"/>
      <c r="CU383" s="48"/>
      <c r="CV383" s="48"/>
      <c r="CW383" s="48"/>
      <c r="CX383" s="48"/>
      <c r="CY383" s="48"/>
      <c r="CZ383" s="48"/>
      <c r="DA383" s="48"/>
      <c r="DB383" s="48"/>
      <c r="DC383" s="48"/>
      <c r="DD383" s="48"/>
      <c r="DE383" s="48"/>
      <c r="DF383" s="48"/>
      <c r="DG383" s="48"/>
      <c r="DH383" s="48"/>
      <c r="DI383" s="48"/>
      <c r="DJ383" s="48"/>
      <c r="DK383" s="48"/>
      <c r="DL383" s="48"/>
      <c r="DM383" s="48"/>
      <c r="DN383" s="48"/>
      <c r="DO383" s="48"/>
      <c r="DP383" s="48"/>
      <c r="DQ383" s="48"/>
      <c r="DR383" s="48"/>
      <c r="DS383" s="48"/>
    </row>
    <row r="384" spans="1:123" ht="15">
      <c r="A384"/>
      <c r="B384"/>
      <c r="C384"/>
      <c r="D384"/>
      <c r="E384"/>
      <c r="F384"/>
      <c r="G384"/>
      <c r="H384"/>
      <c r="I384"/>
      <c r="J384"/>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c r="BV384" s="48"/>
      <c r="BW384" s="48"/>
      <c r="BX384" s="48"/>
      <c r="BY384" s="48"/>
      <c r="BZ384" s="48"/>
      <c r="CA384" s="48"/>
      <c r="CB384" s="48"/>
      <c r="CC384" s="48"/>
      <c r="CD384" s="48"/>
      <c r="CE384" s="48"/>
      <c r="CF384" s="48"/>
      <c r="CG384" s="48"/>
      <c r="CH384" s="48"/>
      <c r="CI384" s="48"/>
      <c r="CJ384" s="48"/>
      <c r="CK384" s="48"/>
      <c r="CL384" s="48"/>
      <c r="CM384" s="48"/>
      <c r="CN384" s="48"/>
      <c r="CO384" s="48"/>
      <c r="CP384" s="48"/>
      <c r="CQ384" s="48"/>
      <c r="CR384" s="48"/>
      <c r="CS384" s="48"/>
      <c r="CT384" s="48"/>
      <c r="CU384" s="48"/>
      <c r="CV384" s="48"/>
      <c r="CW384" s="48"/>
      <c r="CX384" s="48"/>
      <c r="CY384" s="48"/>
      <c r="CZ384" s="48"/>
      <c r="DA384" s="48"/>
      <c r="DB384" s="48"/>
      <c r="DC384" s="48"/>
      <c r="DD384" s="48"/>
      <c r="DE384" s="48"/>
      <c r="DF384" s="48"/>
      <c r="DG384" s="48"/>
      <c r="DH384" s="48"/>
      <c r="DI384" s="48"/>
      <c r="DJ384" s="48"/>
      <c r="DK384" s="48"/>
      <c r="DL384" s="48"/>
      <c r="DM384" s="48"/>
      <c r="DN384" s="48"/>
      <c r="DO384" s="48"/>
      <c r="DP384" s="48"/>
      <c r="DQ384" s="48"/>
      <c r="DR384" s="48"/>
      <c r="DS384" s="48"/>
    </row>
    <row r="385" spans="1:123" ht="15">
      <c r="A385"/>
      <c r="B385"/>
      <c r="C385"/>
      <c r="D385"/>
      <c r="E385"/>
      <c r="F385"/>
      <c r="G385"/>
      <c r="H385"/>
      <c r="I385"/>
      <c r="J385"/>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48"/>
      <c r="BH385" s="48"/>
      <c r="BI385" s="48"/>
      <c r="BJ385" s="48"/>
      <c r="BK385" s="48"/>
      <c r="BL385" s="48"/>
      <c r="BM385" s="48"/>
      <c r="BN385" s="48"/>
      <c r="BO385" s="48"/>
      <c r="BP385" s="48"/>
      <c r="BQ385" s="48"/>
      <c r="BR385" s="48"/>
      <c r="BS385" s="48"/>
      <c r="BT385" s="48"/>
      <c r="BU385" s="48"/>
      <c r="BV385" s="48"/>
      <c r="BW385" s="48"/>
      <c r="BX385" s="48"/>
      <c r="BY385" s="48"/>
      <c r="BZ385" s="48"/>
      <c r="CA385" s="48"/>
      <c r="CB385" s="48"/>
      <c r="CC385" s="48"/>
      <c r="CD385" s="48"/>
      <c r="CE385" s="48"/>
      <c r="CF385" s="48"/>
      <c r="CG385" s="48"/>
      <c r="CH385" s="48"/>
      <c r="CI385" s="48"/>
      <c r="CJ385" s="48"/>
      <c r="CK385" s="48"/>
      <c r="CL385" s="48"/>
      <c r="CM385" s="48"/>
      <c r="CN385" s="48"/>
      <c r="CO385" s="48"/>
      <c r="CP385" s="48"/>
      <c r="CQ385" s="48"/>
      <c r="CR385" s="48"/>
      <c r="CS385" s="48"/>
      <c r="CT385" s="48"/>
      <c r="CU385" s="48"/>
      <c r="CV385" s="48"/>
      <c r="CW385" s="48"/>
      <c r="CX385" s="48"/>
      <c r="CY385" s="48"/>
      <c r="CZ385" s="48"/>
      <c r="DA385" s="48"/>
      <c r="DB385" s="48"/>
      <c r="DC385" s="48"/>
      <c r="DD385" s="48"/>
      <c r="DE385" s="48"/>
      <c r="DF385" s="48"/>
      <c r="DG385" s="48"/>
      <c r="DH385" s="48"/>
      <c r="DI385" s="48"/>
      <c r="DJ385" s="48"/>
      <c r="DK385" s="48"/>
      <c r="DL385" s="48"/>
      <c r="DM385" s="48"/>
      <c r="DN385" s="48"/>
      <c r="DO385" s="48"/>
      <c r="DP385" s="48"/>
      <c r="DQ385" s="48"/>
      <c r="DR385" s="48"/>
      <c r="DS385" s="48"/>
    </row>
    <row r="386" spans="1:123" ht="15">
      <c r="A386"/>
      <c r="B386"/>
      <c r="C386"/>
      <c r="D386"/>
      <c r="E386"/>
      <c r="F386"/>
      <c r="G386"/>
      <c r="H386"/>
      <c r="I386"/>
      <c r="J386"/>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c r="BS386" s="48"/>
      <c r="BT386" s="48"/>
      <c r="BU386" s="48"/>
      <c r="BV386" s="48"/>
      <c r="BW386" s="48"/>
      <c r="BX386" s="48"/>
      <c r="BY386" s="48"/>
      <c r="BZ386" s="48"/>
      <c r="CA386" s="48"/>
      <c r="CB386" s="48"/>
      <c r="CC386" s="48"/>
      <c r="CD386" s="48"/>
      <c r="CE386" s="48"/>
      <c r="CF386" s="48"/>
      <c r="CG386" s="48"/>
      <c r="CH386" s="48"/>
      <c r="CI386" s="48"/>
      <c r="CJ386" s="48"/>
      <c r="CK386" s="48"/>
      <c r="CL386" s="48"/>
      <c r="CM386" s="48"/>
      <c r="CN386" s="48"/>
      <c r="CO386" s="48"/>
      <c r="CP386" s="48"/>
      <c r="CQ386" s="48"/>
      <c r="CR386" s="48"/>
      <c r="CS386" s="48"/>
      <c r="CT386" s="48"/>
      <c r="CU386" s="48"/>
      <c r="CV386" s="48"/>
      <c r="CW386" s="48"/>
      <c r="CX386" s="48"/>
      <c r="CY386" s="48"/>
      <c r="CZ386" s="48"/>
      <c r="DA386" s="48"/>
      <c r="DB386" s="48"/>
      <c r="DC386" s="48"/>
      <c r="DD386" s="48"/>
      <c r="DE386" s="48"/>
      <c r="DF386" s="48"/>
      <c r="DG386" s="48"/>
      <c r="DH386" s="48"/>
      <c r="DI386" s="48"/>
      <c r="DJ386" s="48"/>
      <c r="DK386" s="48"/>
      <c r="DL386" s="48"/>
      <c r="DM386" s="48"/>
      <c r="DN386" s="48"/>
      <c r="DO386" s="48"/>
      <c r="DP386" s="48"/>
      <c r="DQ386" s="48"/>
      <c r="DR386" s="48"/>
      <c r="DS386" s="48"/>
    </row>
    <row r="387" spans="1:123" ht="15">
      <c r="A387"/>
      <c r="B387"/>
      <c r="C387"/>
      <c r="D387"/>
      <c r="E387"/>
      <c r="F387"/>
      <c r="G387"/>
      <c r="H387"/>
      <c r="I387"/>
      <c r="J387"/>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48"/>
      <c r="BH387" s="48"/>
      <c r="BI387" s="48"/>
      <c r="BJ387" s="48"/>
      <c r="BK387" s="48"/>
      <c r="BL387" s="48"/>
      <c r="BM387" s="48"/>
      <c r="BN387" s="48"/>
      <c r="BO387" s="48"/>
      <c r="BP387" s="48"/>
      <c r="BQ387" s="48"/>
      <c r="BR387" s="48"/>
      <c r="BS387" s="48"/>
      <c r="BT387" s="48"/>
      <c r="BU387" s="48"/>
      <c r="BV387" s="48"/>
      <c r="BW387" s="48"/>
      <c r="BX387" s="48"/>
      <c r="BY387" s="48"/>
      <c r="BZ387" s="48"/>
      <c r="CA387" s="48"/>
      <c r="CB387" s="48"/>
      <c r="CC387" s="48"/>
      <c r="CD387" s="48"/>
      <c r="CE387" s="48"/>
      <c r="CF387" s="48"/>
      <c r="CG387" s="48"/>
      <c r="CH387" s="48"/>
      <c r="CI387" s="48"/>
      <c r="CJ387" s="48"/>
      <c r="CK387" s="48"/>
      <c r="CL387" s="48"/>
      <c r="CM387" s="48"/>
      <c r="CN387" s="48"/>
      <c r="CO387" s="48"/>
      <c r="CP387" s="48"/>
      <c r="CQ387" s="48"/>
      <c r="CR387" s="48"/>
      <c r="CS387" s="48"/>
      <c r="CT387" s="48"/>
      <c r="CU387" s="48"/>
      <c r="CV387" s="48"/>
      <c r="CW387" s="48"/>
      <c r="CX387" s="48"/>
      <c r="CY387" s="48"/>
      <c r="CZ387" s="48"/>
      <c r="DA387" s="48"/>
      <c r="DB387" s="48"/>
      <c r="DC387" s="48"/>
      <c r="DD387" s="48"/>
      <c r="DE387" s="48"/>
      <c r="DF387" s="48"/>
      <c r="DG387" s="48"/>
      <c r="DH387" s="48"/>
      <c r="DI387" s="48"/>
      <c r="DJ387" s="48"/>
      <c r="DK387" s="48"/>
      <c r="DL387" s="48"/>
      <c r="DM387" s="48"/>
      <c r="DN387" s="48"/>
      <c r="DO387" s="48"/>
      <c r="DP387" s="48"/>
      <c r="DQ387" s="48"/>
      <c r="DR387" s="48"/>
      <c r="DS387" s="48"/>
    </row>
    <row r="388" spans="1:123" ht="15">
      <c r="A388"/>
      <c r="B388"/>
      <c r="C388"/>
      <c r="D388"/>
      <c r="E388"/>
      <c r="F388"/>
      <c r="G388"/>
      <c r="H388"/>
      <c r="I388"/>
      <c r="J38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48"/>
      <c r="BH388" s="48"/>
      <c r="BI388" s="48"/>
      <c r="BJ388" s="48"/>
      <c r="BK388" s="48"/>
      <c r="BL388" s="48"/>
      <c r="BM388" s="48"/>
      <c r="BN388" s="48"/>
      <c r="BO388" s="48"/>
      <c r="BP388" s="48"/>
      <c r="BQ388" s="48"/>
      <c r="BR388" s="48"/>
      <c r="BS388" s="48"/>
      <c r="BT388" s="48"/>
      <c r="BU388" s="48"/>
      <c r="BV388" s="48"/>
      <c r="BW388" s="48"/>
      <c r="BX388" s="48"/>
      <c r="BY388" s="48"/>
      <c r="BZ388" s="48"/>
      <c r="CA388" s="48"/>
      <c r="CB388" s="48"/>
      <c r="CC388" s="48"/>
      <c r="CD388" s="48"/>
      <c r="CE388" s="48"/>
      <c r="CF388" s="48"/>
      <c r="CG388" s="48"/>
      <c r="CH388" s="48"/>
      <c r="CI388" s="48"/>
      <c r="CJ388" s="48"/>
      <c r="CK388" s="48"/>
      <c r="CL388" s="48"/>
      <c r="CM388" s="48"/>
      <c r="CN388" s="48"/>
      <c r="CO388" s="48"/>
      <c r="CP388" s="48"/>
      <c r="CQ388" s="48"/>
      <c r="CR388" s="48"/>
      <c r="CS388" s="48"/>
      <c r="CT388" s="48"/>
      <c r="CU388" s="48"/>
      <c r="CV388" s="48"/>
      <c r="CW388" s="48"/>
      <c r="CX388" s="48"/>
      <c r="CY388" s="48"/>
      <c r="CZ388" s="48"/>
      <c r="DA388" s="48"/>
      <c r="DB388" s="48"/>
      <c r="DC388" s="48"/>
      <c r="DD388" s="48"/>
      <c r="DE388" s="48"/>
      <c r="DF388" s="48"/>
      <c r="DG388" s="48"/>
      <c r="DH388" s="48"/>
      <c r="DI388" s="48"/>
      <c r="DJ388" s="48"/>
      <c r="DK388" s="48"/>
      <c r="DL388" s="48"/>
      <c r="DM388" s="48"/>
      <c r="DN388" s="48"/>
      <c r="DO388" s="48"/>
      <c r="DP388" s="48"/>
      <c r="DQ388" s="48"/>
      <c r="DR388" s="48"/>
      <c r="DS388" s="48"/>
    </row>
    <row r="389" spans="1:123" ht="15">
      <c r="A389"/>
      <c r="B389"/>
      <c r="C389"/>
      <c r="D389"/>
      <c r="E389"/>
      <c r="F389"/>
      <c r="G389"/>
      <c r="H389"/>
      <c r="I389"/>
      <c r="J389"/>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8"/>
      <c r="BN389" s="48"/>
      <c r="BO389" s="48"/>
      <c r="BP389" s="48"/>
      <c r="BQ389" s="48"/>
      <c r="BR389" s="48"/>
      <c r="BS389" s="48"/>
      <c r="BT389" s="48"/>
      <c r="BU389" s="48"/>
      <c r="BV389" s="48"/>
      <c r="BW389" s="48"/>
      <c r="BX389" s="48"/>
      <c r="BY389" s="48"/>
      <c r="BZ389" s="48"/>
      <c r="CA389" s="48"/>
      <c r="CB389" s="48"/>
      <c r="CC389" s="48"/>
      <c r="CD389" s="48"/>
      <c r="CE389" s="48"/>
      <c r="CF389" s="48"/>
      <c r="CG389" s="48"/>
      <c r="CH389" s="48"/>
      <c r="CI389" s="48"/>
      <c r="CJ389" s="48"/>
      <c r="CK389" s="48"/>
      <c r="CL389" s="48"/>
      <c r="CM389" s="48"/>
      <c r="CN389" s="48"/>
      <c r="CO389" s="48"/>
      <c r="CP389" s="48"/>
      <c r="CQ389" s="48"/>
      <c r="CR389" s="48"/>
      <c r="CS389" s="48"/>
      <c r="CT389" s="48"/>
      <c r="CU389" s="48"/>
      <c r="CV389" s="48"/>
      <c r="CW389" s="48"/>
      <c r="CX389" s="48"/>
      <c r="CY389" s="48"/>
      <c r="CZ389" s="48"/>
      <c r="DA389" s="48"/>
      <c r="DB389" s="48"/>
      <c r="DC389" s="48"/>
      <c r="DD389" s="48"/>
      <c r="DE389" s="48"/>
      <c r="DF389" s="48"/>
      <c r="DG389" s="48"/>
      <c r="DH389" s="48"/>
      <c r="DI389" s="48"/>
      <c r="DJ389" s="48"/>
      <c r="DK389" s="48"/>
      <c r="DL389" s="48"/>
      <c r="DM389" s="48"/>
      <c r="DN389" s="48"/>
      <c r="DO389" s="48"/>
      <c r="DP389" s="48"/>
      <c r="DQ389" s="48"/>
      <c r="DR389" s="48"/>
      <c r="DS389" s="48"/>
    </row>
    <row r="390" spans="1:123" ht="15">
      <c r="A390"/>
      <c r="B390"/>
      <c r="C390"/>
      <c r="D390"/>
      <c r="E390"/>
      <c r="F390"/>
      <c r="G390"/>
      <c r="H390"/>
      <c r="I390"/>
      <c r="J390"/>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8"/>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48"/>
      <c r="CZ390" s="48"/>
      <c r="DA390" s="48"/>
      <c r="DB390" s="48"/>
      <c r="DC390" s="48"/>
      <c r="DD390" s="48"/>
      <c r="DE390" s="48"/>
      <c r="DF390" s="48"/>
      <c r="DG390" s="48"/>
      <c r="DH390" s="48"/>
      <c r="DI390" s="48"/>
      <c r="DJ390" s="48"/>
      <c r="DK390" s="48"/>
      <c r="DL390" s="48"/>
      <c r="DM390" s="48"/>
      <c r="DN390" s="48"/>
      <c r="DO390" s="48"/>
      <c r="DP390" s="48"/>
      <c r="DQ390" s="48"/>
      <c r="DR390" s="48"/>
      <c r="DS390" s="48"/>
    </row>
    <row r="391" spans="1:123" ht="15">
      <c r="A391"/>
      <c r="B391"/>
      <c r="C391"/>
      <c r="D391"/>
      <c r="E391"/>
      <c r="F391"/>
      <c r="G391"/>
      <c r="H391"/>
      <c r="I391"/>
      <c r="J391"/>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48"/>
      <c r="BJ391" s="48"/>
      <c r="BK391" s="48"/>
      <c r="BL391" s="48"/>
      <c r="BM391" s="48"/>
      <c r="BN391" s="48"/>
      <c r="BO391" s="48"/>
      <c r="BP391" s="48"/>
      <c r="BQ391" s="48"/>
      <c r="BR391" s="48"/>
      <c r="BS391" s="48"/>
      <c r="BT391" s="48"/>
      <c r="BU391" s="48"/>
      <c r="BV391" s="48"/>
      <c r="BW391" s="48"/>
      <c r="BX391" s="48"/>
      <c r="BY391" s="48"/>
      <c r="BZ391" s="48"/>
      <c r="CA391" s="48"/>
      <c r="CB391" s="48"/>
      <c r="CC391" s="48"/>
      <c r="CD391" s="48"/>
      <c r="CE391" s="48"/>
      <c r="CF391" s="48"/>
      <c r="CG391" s="48"/>
      <c r="CH391" s="48"/>
      <c r="CI391" s="48"/>
      <c r="CJ391" s="48"/>
      <c r="CK391" s="48"/>
      <c r="CL391" s="48"/>
      <c r="CM391" s="48"/>
      <c r="CN391" s="48"/>
      <c r="CO391" s="48"/>
      <c r="CP391" s="48"/>
      <c r="CQ391" s="48"/>
      <c r="CR391" s="48"/>
      <c r="CS391" s="48"/>
      <c r="CT391" s="48"/>
      <c r="CU391" s="48"/>
      <c r="CV391" s="48"/>
      <c r="CW391" s="48"/>
      <c r="CX391" s="48"/>
      <c r="CY391" s="48"/>
      <c r="CZ391" s="48"/>
      <c r="DA391" s="48"/>
      <c r="DB391" s="48"/>
      <c r="DC391" s="48"/>
      <c r="DD391" s="48"/>
      <c r="DE391" s="48"/>
      <c r="DF391" s="48"/>
      <c r="DG391" s="48"/>
      <c r="DH391" s="48"/>
      <c r="DI391" s="48"/>
      <c r="DJ391" s="48"/>
      <c r="DK391" s="48"/>
      <c r="DL391" s="48"/>
      <c r="DM391" s="48"/>
      <c r="DN391" s="48"/>
      <c r="DO391" s="48"/>
      <c r="DP391" s="48"/>
      <c r="DQ391" s="48"/>
      <c r="DR391" s="48"/>
      <c r="DS391" s="48"/>
    </row>
    <row r="392" spans="1:123" ht="15">
      <c r="A392"/>
      <c r="B392"/>
      <c r="C392"/>
      <c r="D392"/>
      <c r="E392"/>
      <c r="F392"/>
      <c r="G392"/>
      <c r="H392"/>
      <c r="I392"/>
      <c r="J392"/>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48"/>
      <c r="BJ392" s="48"/>
      <c r="BK392" s="48"/>
      <c r="BL392" s="48"/>
      <c r="BM392" s="48"/>
      <c r="BN392" s="48"/>
      <c r="BO392" s="48"/>
      <c r="BP392" s="48"/>
      <c r="BQ392" s="48"/>
      <c r="BR392" s="48"/>
      <c r="BS392" s="48"/>
      <c r="BT392" s="48"/>
      <c r="BU392" s="48"/>
      <c r="BV392" s="48"/>
      <c r="BW392" s="48"/>
      <c r="BX392" s="48"/>
      <c r="BY392" s="48"/>
      <c r="BZ392" s="48"/>
      <c r="CA392" s="48"/>
      <c r="CB392" s="48"/>
      <c r="CC392" s="48"/>
      <c r="CD392" s="48"/>
      <c r="CE392" s="48"/>
      <c r="CF392" s="48"/>
      <c r="CG392" s="48"/>
      <c r="CH392" s="48"/>
      <c r="CI392" s="48"/>
      <c r="CJ392" s="48"/>
      <c r="CK392" s="48"/>
      <c r="CL392" s="48"/>
      <c r="CM392" s="48"/>
      <c r="CN392" s="48"/>
      <c r="CO392" s="48"/>
      <c r="CP392" s="48"/>
      <c r="CQ392" s="48"/>
      <c r="CR392" s="48"/>
      <c r="CS392" s="48"/>
      <c r="CT392" s="48"/>
      <c r="CU392" s="48"/>
      <c r="CV392" s="48"/>
      <c r="CW392" s="48"/>
      <c r="CX392" s="48"/>
      <c r="CY392" s="48"/>
      <c r="CZ392" s="48"/>
      <c r="DA392" s="48"/>
      <c r="DB392" s="48"/>
      <c r="DC392" s="48"/>
      <c r="DD392" s="48"/>
      <c r="DE392" s="48"/>
      <c r="DF392" s="48"/>
      <c r="DG392" s="48"/>
      <c r="DH392" s="48"/>
      <c r="DI392" s="48"/>
      <c r="DJ392" s="48"/>
      <c r="DK392" s="48"/>
      <c r="DL392" s="48"/>
      <c r="DM392" s="48"/>
      <c r="DN392" s="48"/>
      <c r="DO392" s="48"/>
      <c r="DP392" s="48"/>
      <c r="DQ392" s="48"/>
      <c r="DR392" s="48"/>
      <c r="DS392" s="48"/>
    </row>
    <row r="393" spans="1:123" ht="15">
      <c r="A393"/>
      <c r="B393"/>
      <c r="C393"/>
      <c r="D393"/>
      <c r="E393"/>
      <c r="F393"/>
      <c r="G393"/>
      <c r="H393"/>
      <c r="I393"/>
      <c r="J393"/>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48"/>
      <c r="BH393" s="48"/>
      <c r="BI393" s="48"/>
      <c r="BJ393" s="48"/>
      <c r="BK393" s="48"/>
      <c r="BL393" s="48"/>
      <c r="BM393" s="48"/>
      <c r="BN393" s="48"/>
      <c r="BO393" s="48"/>
      <c r="BP393" s="48"/>
      <c r="BQ393" s="48"/>
      <c r="BR393" s="48"/>
      <c r="BS393" s="48"/>
      <c r="BT393" s="48"/>
      <c r="BU393" s="48"/>
      <c r="BV393" s="48"/>
      <c r="BW393" s="48"/>
      <c r="BX393" s="48"/>
      <c r="BY393" s="48"/>
      <c r="BZ393" s="48"/>
      <c r="CA393" s="48"/>
      <c r="CB393" s="48"/>
      <c r="CC393" s="48"/>
      <c r="CD393" s="48"/>
      <c r="CE393" s="48"/>
      <c r="CF393" s="48"/>
      <c r="CG393" s="48"/>
      <c r="CH393" s="48"/>
      <c r="CI393" s="48"/>
      <c r="CJ393" s="48"/>
      <c r="CK393" s="48"/>
      <c r="CL393" s="48"/>
      <c r="CM393" s="48"/>
      <c r="CN393" s="48"/>
      <c r="CO393" s="48"/>
      <c r="CP393" s="48"/>
      <c r="CQ393" s="48"/>
      <c r="CR393" s="48"/>
      <c r="CS393" s="48"/>
      <c r="CT393" s="48"/>
      <c r="CU393" s="48"/>
      <c r="CV393" s="48"/>
      <c r="CW393" s="48"/>
      <c r="CX393" s="48"/>
      <c r="CY393" s="48"/>
      <c r="CZ393" s="48"/>
      <c r="DA393" s="48"/>
      <c r="DB393" s="48"/>
      <c r="DC393" s="48"/>
      <c r="DD393" s="48"/>
      <c r="DE393" s="48"/>
      <c r="DF393" s="48"/>
      <c r="DG393" s="48"/>
      <c r="DH393" s="48"/>
      <c r="DI393" s="48"/>
      <c r="DJ393" s="48"/>
      <c r="DK393" s="48"/>
      <c r="DL393" s="48"/>
      <c r="DM393" s="48"/>
      <c r="DN393" s="48"/>
      <c r="DO393" s="48"/>
      <c r="DP393" s="48"/>
      <c r="DQ393" s="48"/>
      <c r="DR393" s="48"/>
      <c r="DS393" s="48"/>
    </row>
    <row r="394" spans="1:123" ht="15">
      <c r="A394"/>
      <c r="B394"/>
      <c r="C394"/>
      <c r="D394"/>
      <c r="E394"/>
      <c r="F394"/>
      <c r="G394"/>
      <c r="H394"/>
      <c r="I394"/>
      <c r="J394"/>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48"/>
      <c r="BH394" s="48"/>
      <c r="BI394" s="48"/>
      <c r="BJ394" s="48"/>
      <c r="BK394" s="48"/>
      <c r="BL394" s="48"/>
      <c r="BM394" s="48"/>
      <c r="BN394" s="48"/>
      <c r="BO394" s="48"/>
      <c r="BP394" s="48"/>
      <c r="BQ394" s="48"/>
      <c r="BR394" s="48"/>
      <c r="BS394" s="48"/>
      <c r="BT394" s="48"/>
      <c r="BU394" s="48"/>
      <c r="BV394" s="48"/>
      <c r="BW394" s="48"/>
      <c r="BX394" s="48"/>
      <c r="BY394" s="48"/>
      <c r="BZ394" s="48"/>
      <c r="CA394" s="48"/>
      <c r="CB394" s="48"/>
      <c r="CC394" s="48"/>
      <c r="CD394" s="48"/>
      <c r="CE394" s="48"/>
      <c r="CF394" s="48"/>
      <c r="CG394" s="48"/>
      <c r="CH394" s="48"/>
      <c r="CI394" s="48"/>
      <c r="CJ394" s="48"/>
      <c r="CK394" s="48"/>
      <c r="CL394" s="48"/>
      <c r="CM394" s="48"/>
      <c r="CN394" s="48"/>
      <c r="CO394" s="48"/>
      <c r="CP394" s="48"/>
      <c r="CQ394" s="48"/>
      <c r="CR394" s="48"/>
      <c r="CS394" s="48"/>
      <c r="CT394" s="48"/>
      <c r="CU394" s="48"/>
      <c r="CV394" s="48"/>
      <c r="CW394" s="48"/>
      <c r="CX394" s="48"/>
      <c r="CY394" s="48"/>
      <c r="CZ394" s="48"/>
      <c r="DA394" s="48"/>
      <c r="DB394" s="48"/>
      <c r="DC394" s="48"/>
      <c r="DD394" s="48"/>
      <c r="DE394" s="48"/>
      <c r="DF394" s="48"/>
      <c r="DG394" s="48"/>
      <c r="DH394" s="48"/>
      <c r="DI394" s="48"/>
      <c r="DJ394" s="48"/>
      <c r="DK394" s="48"/>
      <c r="DL394" s="48"/>
      <c r="DM394" s="48"/>
      <c r="DN394" s="48"/>
      <c r="DO394" s="48"/>
      <c r="DP394" s="48"/>
      <c r="DQ394" s="48"/>
      <c r="DR394" s="48"/>
      <c r="DS394" s="48"/>
    </row>
    <row r="395" spans="1:123" ht="15">
      <c r="A395"/>
      <c r="B395"/>
      <c r="C395"/>
      <c r="D395"/>
      <c r="E395"/>
      <c r="F395"/>
      <c r="G395"/>
      <c r="H395"/>
      <c r="I395"/>
      <c r="J395"/>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c r="BS395" s="48"/>
      <c r="BT395" s="48"/>
      <c r="BU395" s="48"/>
      <c r="BV395" s="48"/>
      <c r="BW395" s="48"/>
      <c r="BX395" s="48"/>
      <c r="BY395" s="48"/>
      <c r="BZ395" s="48"/>
      <c r="CA395" s="48"/>
      <c r="CB395" s="48"/>
      <c r="CC395" s="48"/>
      <c r="CD395" s="48"/>
      <c r="CE395" s="48"/>
      <c r="CF395" s="48"/>
      <c r="CG395" s="48"/>
      <c r="CH395" s="48"/>
      <c r="CI395" s="48"/>
      <c r="CJ395" s="48"/>
      <c r="CK395" s="48"/>
      <c r="CL395" s="48"/>
      <c r="CM395" s="48"/>
      <c r="CN395" s="48"/>
      <c r="CO395" s="48"/>
      <c r="CP395" s="48"/>
      <c r="CQ395" s="48"/>
      <c r="CR395" s="48"/>
      <c r="CS395" s="48"/>
      <c r="CT395" s="48"/>
      <c r="CU395" s="48"/>
      <c r="CV395" s="48"/>
      <c r="CW395" s="48"/>
      <c r="CX395" s="48"/>
      <c r="CY395" s="48"/>
      <c r="CZ395" s="48"/>
      <c r="DA395" s="48"/>
      <c r="DB395" s="48"/>
      <c r="DC395" s="48"/>
      <c r="DD395" s="48"/>
      <c r="DE395" s="48"/>
      <c r="DF395" s="48"/>
      <c r="DG395" s="48"/>
      <c r="DH395" s="48"/>
      <c r="DI395" s="48"/>
      <c r="DJ395" s="48"/>
      <c r="DK395" s="48"/>
      <c r="DL395" s="48"/>
      <c r="DM395" s="48"/>
      <c r="DN395" s="48"/>
      <c r="DO395" s="48"/>
      <c r="DP395" s="48"/>
      <c r="DQ395" s="48"/>
      <c r="DR395" s="48"/>
      <c r="DS395" s="48"/>
    </row>
    <row r="396" spans="1:123" ht="15">
      <c r="A396"/>
      <c r="B396"/>
      <c r="C396"/>
      <c r="D396"/>
      <c r="E396"/>
      <c r="F396"/>
      <c r="G396"/>
      <c r="H396"/>
      <c r="I396"/>
      <c r="J396"/>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48"/>
      <c r="BW396" s="48"/>
      <c r="BX396" s="48"/>
      <c r="BY396" s="48"/>
      <c r="BZ396" s="48"/>
      <c r="CA396" s="48"/>
      <c r="CB396" s="48"/>
      <c r="CC396" s="48"/>
      <c r="CD396" s="48"/>
      <c r="CE396" s="48"/>
      <c r="CF396" s="48"/>
      <c r="CG396" s="48"/>
      <c r="CH396" s="48"/>
      <c r="CI396" s="48"/>
      <c r="CJ396" s="48"/>
      <c r="CK396" s="48"/>
      <c r="CL396" s="48"/>
      <c r="CM396" s="48"/>
      <c r="CN396" s="48"/>
      <c r="CO396" s="48"/>
      <c r="CP396" s="48"/>
      <c r="CQ396" s="48"/>
      <c r="CR396" s="48"/>
      <c r="CS396" s="48"/>
      <c r="CT396" s="48"/>
      <c r="CU396" s="48"/>
      <c r="CV396" s="48"/>
      <c r="CW396" s="48"/>
      <c r="CX396" s="48"/>
      <c r="CY396" s="48"/>
      <c r="CZ396" s="48"/>
      <c r="DA396" s="48"/>
      <c r="DB396" s="48"/>
      <c r="DC396" s="48"/>
      <c r="DD396" s="48"/>
      <c r="DE396" s="48"/>
      <c r="DF396" s="48"/>
      <c r="DG396" s="48"/>
      <c r="DH396" s="48"/>
      <c r="DI396" s="48"/>
      <c r="DJ396" s="48"/>
      <c r="DK396" s="48"/>
      <c r="DL396" s="48"/>
      <c r="DM396" s="48"/>
      <c r="DN396" s="48"/>
      <c r="DO396" s="48"/>
      <c r="DP396" s="48"/>
      <c r="DQ396" s="48"/>
      <c r="DR396" s="48"/>
      <c r="DS396" s="48"/>
    </row>
    <row r="397" spans="1:123" ht="15">
      <c r="A397"/>
      <c r="B397"/>
      <c r="C397"/>
      <c r="D397"/>
      <c r="E397"/>
      <c r="F397"/>
      <c r="G397"/>
      <c r="H397"/>
      <c r="I397"/>
      <c r="J397"/>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48"/>
      <c r="BH397" s="48"/>
      <c r="BI397" s="48"/>
      <c r="BJ397" s="48"/>
      <c r="BK397" s="48"/>
      <c r="BL397" s="48"/>
      <c r="BM397" s="48"/>
      <c r="BN397" s="48"/>
      <c r="BO397" s="48"/>
      <c r="BP397" s="48"/>
      <c r="BQ397" s="48"/>
      <c r="BR397" s="48"/>
      <c r="BS397" s="48"/>
      <c r="BT397" s="48"/>
      <c r="BU397" s="48"/>
      <c r="BV397" s="48"/>
      <c r="BW397" s="48"/>
      <c r="BX397" s="48"/>
      <c r="BY397" s="48"/>
      <c r="BZ397" s="48"/>
      <c r="CA397" s="48"/>
      <c r="CB397" s="48"/>
      <c r="CC397" s="48"/>
      <c r="CD397" s="48"/>
      <c r="CE397" s="48"/>
      <c r="CF397" s="48"/>
      <c r="CG397" s="48"/>
      <c r="CH397" s="48"/>
      <c r="CI397" s="48"/>
      <c r="CJ397" s="48"/>
      <c r="CK397" s="48"/>
      <c r="CL397" s="48"/>
      <c r="CM397" s="48"/>
      <c r="CN397" s="48"/>
      <c r="CO397" s="48"/>
      <c r="CP397" s="48"/>
      <c r="CQ397" s="48"/>
      <c r="CR397" s="48"/>
      <c r="CS397" s="48"/>
      <c r="CT397" s="48"/>
      <c r="CU397" s="48"/>
      <c r="CV397" s="48"/>
      <c r="CW397" s="48"/>
      <c r="CX397" s="48"/>
      <c r="CY397" s="48"/>
      <c r="CZ397" s="48"/>
      <c r="DA397" s="48"/>
      <c r="DB397" s="48"/>
      <c r="DC397" s="48"/>
      <c r="DD397" s="48"/>
      <c r="DE397" s="48"/>
      <c r="DF397" s="48"/>
      <c r="DG397" s="48"/>
      <c r="DH397" s="48"/>
      <c r="DI397" s="48"/>
      <c r="DJ397" s="48"/>
      <c r="DK397" s="48"/>
      <c r="DL397" s="48"/>
      <c r="DM397" s="48"/>
      <c r="DN397" s="48"/>
      <c r="DO397" s="48"/>
      <c r="DP397" s="48"/>
      <c r="DQ397" s="48"/>
      <c r="DR397" s="48"/>
      <c r="DS397" s="48"/>
    </row>
    <row r="398" spans="1:123" ht="15">
      <c r="A398"/>
      <c r="B398"/>
      <c r="C398"/>
      <c r="D398"/>
      <c r="E398"/>
      <c r="F398"/>
      <c r="G398"/>
      <c r="H398"/>
      <c r="I398"/>
      <c r="J39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48"/>
      <c r="BH398" s="48"/>
      <c r="BI398" s="48"/>
      <c r="BJ398" s="48"/>
      <c r="BK398" s="48"/>
      <c r="BL398" s="48"/>
      <c r="BM398" s="48"/>
      <c r="BN398" s="48"/>
      <c r="BO398" s="48"/>
      <c r="BP398" s="48"/>
      <c r="BQ398" s="48"/>
      <c r="BR398" s="48"/>
      <c r="BS398" s="48"/>
      <c r="BT398" s="48"/>
      <c r="BU398" s="48"/>
      <c r="BV398" s="48"/>
      <c r="BW398" s="48"/>
      <c r="BX398" s="48"/>
      <c r="BY398" s="48"/>
      <c r="BZ398" s="48"/>
      <c r="CA398" s="48"/>
      <c r="CB398" s="48"/>
      <c r="CC398" s="48"/>
      <c r="CD398" s="48"/>
      <c r="CE398" s="48"/>
      <c r="CF398" s="48"/>
      <c r="CG398" s="48"/>
      <c r="CH398" s="48"/>
      <c r="CI398" s="48"/>
      <c r="CJ398" s="48"/>
      <c r="CK398" s="48"/>
      <c r="CL398" s="48"/>
      <c r="CM398" s="48"/>
      <c r="CN398" s="48"/>
      <c r="CO398" s="48"/>
      <c r="CP398" s="48"/>
      <c r="CQ398" s="48"/>
      <c r="CR398" s="48"/>
      <c r="CS398" s="48"/>
      <c r="CT398" s="48"/>
      <c r="CU398" s="48"/>
      <c r="CV398" s="48"/>
      <c r="CW398" s="48"/>
      <c r="CX398" s="48"/>
      <c r="CY398" s="48"/>
      <c r="CZ398" s="48"/>
      <c r="DA398" s="48"/>
      <c r="DB398" s="48"/>
      <c r="DC398" s="48"/>
      <c r="DD398" s="48"/>
      <c r="DE398" s="48"/>
      <c r="DF398" s="48"/>
      <c r="DG398" s="48"/>
      <c r="DH398" s="48"/>
      <c r="DI398" s="48"/>
      <c r="DJ398" s="48"/>
      <c r="DK398" s="48"/>
      <c r="DL398" s="48"/>
      <c r="DM398" s="48"/>
      <c r="DN398" s="48"/>
      <c r="DO398" s="48"/>
      <c r="DP398" s="48"/>
      <c r="DQ398" s="48"/>
      <c r="DR398" s="48"/>
      <c r="DS398" s="48"/>
    </row>
    <row r="399" spans="1:123" ht="15">
      <c r="A399"/>
      <c r="B399"/>
      <c r="C399"/>
      <c r="D399"/>
      <c r="E399"/>
      <c r="F399"/>
      <c r="G399"/>
      <c r="H399"/>
      <c r="I399"/>
      <c r="J399"/>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48"/>
      <c r="BH399" s="48"/>
      <c r="BI399" s="48"/>
      <c r="BJ399" s="48"/>
      <c r="BK399" s="48"/>
      <c r="BL399" s="48"/>
      <c r="BM399" s="48"/>
      <c r="BN399" s="48"/>
      <c r="BO399" s="48"/>
      <c r="BP399" s="48"/>
      <c r="BQ399" s="48"/>
      <c r="BR399" s="48"/>
      <c r="BS399" s="48"/>
      <c r="BT399" s="48"/>
      <c r="BU399" s="48"/>
      <c r="BV399" s="48"/>
      <c r="BW399" s="48"/>
      <c r="BX399" s="48"/>
      <c r="BY399" s="48"/>
      <c r="BZ399" s="48"/>
      <c r="CA399" s="48"/>
      <c r="CB399" s="48"/>
      <c r="CC399" s="48"/>
      <c r="CD399" s="48"/>
      <c r="CE399" s="48"/>
      <c r="CF399" s="48"/>
      <c r="CG399" s="48"/>
      <c r="CH399" s="48"/>
      <c r="CI399" s="48"/>
      <c r="CJ399" s="48"/>
      <c r="CK399" s="48"/>
      <c r="CL399" s="48"/>
      <c r="CM399" s="48"/>
      <c r="CN399" s="48"/>
      <c r="CO399" s="48"/>
      <c r="CP399" s="48"/>
      <c r="CQ399" s="48"/>
      <c r="CR399" s="48"/>
      <c r="CS399" s="48"/>
      <c r="CT399" s="48"/>
      <c r="CU399" s="48"/>
      <c r="CV399" s="48"/>
      <c r="CW399" s="48"/>
      <c r="CX399" s="48"/>
      <c r="CY399" s="48"/>
      <c r="CZ399" s="48"/>
      <c r="DA399" s="48"/>
      <c r="DB399" s="48"/>
      <c r="DC399" s="48"/>
      <c r="DD399" s="48"/>
      <c r="DE399" s="48"/>
      <c r="DF399" s="48"/>
      <c r="DG399" s="48"/>
      <c r="DH399" s="48"/>
      <c r="DI399" s="48"/>
      <c r="DJ399" s="48"/>
      <c r="DK399" s="48"/>
      <c r="DL399" s="48"/>
      <c r="DM399" s="48"/>
      <c r="DN399" s="48"/>
      <c r="DO399" s="48"/>
      <c r="DP399" s="48"/>
      <c r="DQ399" s="48"/>
      <c r="DR399" s="48"/>
      <c r="DS399" s="48"/>
    </row>
    <row r="400" spans="1:123" ht="15">
      <c r="A400"/>
      <c r="B400"/>
      <c r="C400"/>
      <c r="D400"/>
      <c r="E400"/>
      <c r="F400"/>
      <c r="G400"/>
      <c r="H400"/>
      <c r="I400"/>
      <c r="J400"/>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c r="BS400" s="48"/>
      <c r="BT400" s="48"/>
      <c r="BU400" s="48"/>
      <c r="BV400" s="48"/>
      <c r="BW400" s="48"/>
      <c r="BX400" s="48"/>
      <c r="BY400" s="48"/>
      <c r="BZ400" s="48"/>
      <c r="CA400" s="48"/>
      <c r="CB400" s="48"/>
      <c r="CC400" s="48"/>
      <c r="CD400" s="48"/>
      <c r="CE400" s="48"/>
      <c r="CF400" s="48"/>
      <c r="CG400" s="48"/>
      <c r="CH400" s="48"/>
      <c r="CI400" s="48"/>
      <c r="CJ400" s="48"/>
      <c r="CK400" s="48"/>
      <c r="CL400" s="48"/>
      <c r="CM400" s="48"/>
      <c r="CN400" s="48"/>
      <c r="CO400" s="48"/>
      <c r="CP400" s="48"/>
      <c r="CQ400" s="48"/>
      <c r="CR400" s="48"/>
      <c r="CS400" s="48"/>
      <c r="CT400" s="48"/>
      <c r="CU400" s="48"/>
      <c r="CV400" s="48"/>
      <c r="CW400" s="48"/>
      <c r="CX400" s="48"/>
      <c r="CY400" s="48"/>
      <c r="CZ400" s="48"/>
      <c r="DA400" s="48"/>
      <c r="DB400" s="48"/>
      <c r="DC400" s="48"/>
      <c r="DD400" s="48"/>
      <c r="DE400" s="48"/>
      <c r="DF400" s="48"/>
      <c r="DG400" s="48"/>
      <c r="DH400" s="48"/>
      <c r="DI400" s="48"/>
      <c r="DJ400" s="48"/>
      <c r="DK400" s="48"/>
      <c r="DL400" s="48"/>
      <c r="DM400" s="48"/>
      <c r="DN400" s="48"/>
      <c r="DO400" s="48"/>
      <c r="DP400" s="48"/>
      <c r="DQ400" s="48"/>
      <c r="DR400" s="48"/>
      <c r="DS400" s="48"/>
    </row>
    <row r="401" spans="1:123" ht="15">
      <c r="A401"/>
      <c r="B401"/>
      <c r="C401"/>
      <c r="D401"/>
      <c r="E401"/>
      <c r="F401"/>
      <c r="G401"/>
      <c r="H401"/>
      <c r="I401"/>
      <c r="J401"/>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c r="BS401" s="48"/>
      <c r="BT401" s="48"/>
      <c r="BU401" s="48"/>
      <c r="BV401" s="48"/>
      <c r="BW401" s="48"/>
      <c r="BX401" s="48"/>
      <c r="BY401" s="48"/>
      <c r="BZ401" s="48"/>
      <c r="CA401" s="48"/>
      <c r="CB401" s="48"/>
      <c r="CC401" s="48"/>
      <c r="CD401" s="48"/>
      <c r="CE401" s="48"/>
      <c r="CF401" s="48"/>
      <c r="CG401" s="48"/>
      <c r="CH401" s="48"/>
      <c r="CI401" s="48"/>
      <c r="CJ401" s="48"/>
      <c r="CK401" s="48"/>
      <c r="CL401" s="48"/>
      <c r="CM401" s="48"/>
      <c r="CN401" s="48"/>
      <c r="CO401" s="48"/>
      <c r="CP401" s="48"/>
      <c r="CQ401" s="48"/>
      <c r="CR401" s="48"/>
      <c r="CS401" s="48"/>
      <c r="CT401" s="48"/>
      <c r="CU401" s="48"/>
      <c r="CV401" s="48"/>
      <c r="CW401" s="48"/>
      <c r="CX401" s="48"/>
      <c r="CY401" s="48"/>
      <c r="CZ401" s="48"/>
      <c r="DA401" s="48"/>
      <c r="DB401" s="48"/>
      <c r="DC401" s="48"/>
      <c r="DD401" s="48"/>
      <c r="DE401" s="48"/>
      <c r="DF401" s="48"/>
      <c r="DG401" s="48"/>
      <c r="DH401" s="48"/>
      <c r="DI401" s="48"/>
      <c r="DJ401" s="48"/>
      <c r="DK401" s="48"/>
      <c r="DL401" s="48"/>
      <c r="DM401" s="48"/>
      <c r="DN401" s="48"/>
      <c r="DO401" s="48"/>
      <c r="DP401" s="48"/>
      <c r="DQ401" s="48"/>
      <c r="DR401" s="48"/>
      <c r="DS401" s="48"/>
    </row>
    <row r="402" spans="1:123" ht="15">
      <c r="A402"/>
      <c r="B402"/>
      <c r="C402"/>
      <c r="D402"/>
      <c r="E402"/>
      <c r="F402"/>
      <c r="G402"/>
      <c r="H402"/>
      <c r="I402"/>
      <c r="J402"/>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48"/>
      <c r="BH402" s="48"/>
      <c r="BI402" s="48"/>
      <c r="BJ402" s="48"/>
      <c r="BK402" s="48"/>
      <c r="BL402" s="48"/>
      <c r="BM402" s="48"/>
      <c r="BN402" s="48"/>
      <c r="BO402" s="48"/>
      <c r="BP402" s="48"/>
      <c r="BQ402" s="48"/>
      <c r="BR402" s="48"/>
      <c r="BS402" s="48"/>
      <c r="BT402" s="48"/>
      <c r="BU402" s="48"/>
      <c r="BV402" s="48"/>
      <c r="BW402" s="48"/>
      <c r="BX402" s="48"/>
      <c r="BY402" s="48"/>
      <c r="BZ402" s="48"/>
      <c r="CA402" s="48"/>
      <c r="CB402" s="48"/>
      <c r="CC402" s="48"/>
      <c r="CD402" s="48"/>
      <c r="CE402" s="48"/>
      <c r="CF402" s="48"/>
      <c r="CG402" s="48"/>
      <c r="CH402" s="48"/>
      <c r="CI402" s="48"/>
      <c r="CJ402" s="48"/>
      <c r="CK402" s="48"/>
      <c r="CL402" s="48"/>
      <c r="CM402" s="48"/>
      <c r="CN402" s="48"/>
      <c r="CO402" s="48"/>
      <c r="CP402" s="48"/>
      <c r="CQ402" s="48"/>
      <c r="CR402" s="48"/>
      <c r="CS402" s="48"/>
      <c r="CT402" s="48"/>
      <c r="CU402" s="48"/>
      <c r="CV402" s="48"/>
      <c r="CW402" s="48"/>
      <c r="CX402" s="48"/>
      <c r="CY402" s="48"/>
      <c r="CZ402" s="48"/>
      <c r="DA402" s="48"/>
      <c r="DB402" s="48"/>
      <c r="DC402" s="48"/>
      <c r="DD402" s="48"/>
      <c r="DE402" s="48"/>
      <c r="DF402" s="48"/>
      <c r="DG402" s="48"/>
      <c r="DH402" s="48"/>
      <c r="DI402" s="48"/>
      <c r="DJ402" s="48"/>
      <c r="DK402" s="48"/>
      <c r="DL402" s="48"/>
      <c r="DM402" s="48"/>
      <c r="DN402" s="48"/>
      <c r="DO402" s="48"/>
      <c r="DP402" s="48"/>
      <c r="DQ402" s="48"/>
      <c r="DR402" s="48"/>
      <c r="DS402" s="48"/>
    </row>
    <row r="403" spans="1:123" ht="15">
      <c r="A403"/>
      <c r="B403"/>
      <c r="C403"/>
      <c r="D403"/>
      <c r="E403"/>
      <c r="F403"/>
      <c r="G403"/>
      <c r="H403"/>
      <c r="I403"/>
      <c r="J403"/>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8"/>
      <c r="BN403" s="48"/>
      <c r="BO403" s="48"/>
      <c r="BP403" s="48"/>
      <c r="BQ403" s="48"/>
      <c r="BR403" s="48"/>
      <c r="BS403" s="48"/>
      <c r="BT403" s="48"/>
      <c r="BU403" s="48"/>
      <c r="BV403" s="48"/>
      <c r="BW403" s="48"/>
      <c r="BX403" s="48"/>
      <c r="BY403" s="48"/>
      <c r="BZ403" s="48"/>
      <c r="CA403" s="48"/>
      <c r="CB403" s="48"/>
      <c r="CC403" s="48"/>
      <c r="CD403" s="48"/>
      <c r="CE403" s="48"/>
      <c r="CF403" s="48"/>
      <c r="CG403" s="48"/>
      <c r="CH403" s="48"/>
      <c r="CI403" s="48"/>
      <c r="CJ403" s="48"/>
      <c r="CK403" s="48"/>
      <c r="CL403" s="48"/>
      <c r="CM403" s="48"/>
      <c r="CN403" s="48"/>
      <c r="CO403" s="48"/>
      <c r="CP403" s="48"/>
      <c r="CQ403" s="48"/>
      <c r="CR403" s="48"/>
      <c r="CS403" s="48"/>
      <c r="CT403" s="48"/>
      <c r="CU403" s="48"/>
      <c r="CV403" s="48"/>
      <c r="CW403" s="48"/>
      <c r="CX403" s="48"/>
      <c r="CY403" s="48"/>
      <c r="CZ403" s="48"/>
      <c r="DA403" s="48"/>
      <c r="DB403" s="48"/>
      <c r="DC403" s="48"/>
      <c r="DD403" s="48"/>
      <c r="DE403" s="48"/>
      <c r="DF403" s="48"/>
      <c r="DG403" s="48"/>
      <c r="DH403" s="48"/>
      <c r="DI403" s="48"/>
      <c r="DJ403" s="48"/>
      <c r="DK403" s="48"/>
      <c r="DL403" s="48"/>
      <c r="DM403" s="48"/>
      <c r="DN403" s="48"/>
      <c r="DO403" s="48"/>
      <c r="DP403" s="48"/>
      <c r="DQ403" s="48"/>
      <c r="DR403" s="48"/>
      <c r="DS403" s="48"/>
    </row>
    <row r="404" spans="1:123" ht="15">
      <c r="A404"/>
      <c r="B404"/>
      <c r="C404"/>
      <c r="D404"/>
      <c r="E404"/>
      <c r="F404"/>
      <c r="G404"/>
      <c r="H404"/>
      <c r="I404"/>
      <c r="J404"/>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48"/>
      <c r="BH404" s="48"/>
      <c r="BI404" s="48"/>
      <c r="BJ404" s="48"/>
      <c r="BK404" s="48"/>
      <c r="BL404" s="48"/>
      <c r="BM404" s="48"/>
      <c r="BN404" s="48"/>
      <c r="BO404" s="48"/>
      <c r="BP404" s="48"/>
      <c r="BQ404" s="48"/>
      <c r="BR404" s="48"/>
      <c r="BS404" s="48"/>
      <c r="BT404" s="48"/>
      <c r="BU404" s="48"/>
      <c r="BV404" s="48"/>
      <c r="BW404" s="48"/>
      <c r="BX404" s="48"/>
      <c r="BY404" s="48"/>
      <c r="BZ404" s="48"/>
      <c r="CA404" s="48"/>
      <c r="CB404" s="48"/>
      <c r="CC404" s="48"/>
      <c r="CD404" s="48"/>
      <c r="CE404" s="48"/>
      <c r="CF404" s="48"/>
      <c r="CG404" s="48"/>
      <c r="CH404" s="48"/>
      <c r="CI404" s="48"/>
      <c r="CJ404" s="48"/>
      <c r="CK404" s="48"/>
      <c r="CL404" s="48"/>
      <c r="CM404" s="48"/>
      <c r="CN404" s="48"/>
      <c r="CO404" s="48"/>
      <c r="CP404" s="48"/>
      <c r="CQ404" s="48"/>
      <c r="CR404" s="48"/>
      <c r="CS404" s="48"/>
      <c r="CT404" s="48"/>
      <c r="CU404" s="48"/>
      <c r="CV404" s="48"/>
      <c r="CW404" s="48"/>
      <c r="CX404" s="48"/>
      <c r="CY404" s="48"/>
      <c r="CZ404" s="48"/>
      <c r="DA404" s="48"/>
      <c r="DB404" s="48"/>
      <c r="DC404" s="48"/>
      <c r="DD404" s="48"/>
      <c r="DE404" s="48"/>
      <c r="DF404" s="48"/>
      <c r="DG404" s="48"/>
      <c r="DH404" s="48"/>
      <c r="DI404" s="48"/>
      <c r="DJ404" s="48"/>
      <c r="DK404" s="48"/>
      <c r="DL404" s="48"/>
      <c r="DM404" s="48"/>
      <c r="DN404" s="48"/>
      <c r="DO404" s="48"/>
      <c r="DP404" s="48"/>
      <c r="DQ404" s="48"/>
      <c r="DR404" s="48"/>
      <c r="DS404" s="48"/>
    </row>
    <row r="405" spans="1:123" ht="15">
      <c r="A405"/>
      <c r="B405"/>
      <c r="C405"/>
      <c r="D405"/>
      <c r="E405"/>
      <c r="F405"/>
      <c r="G405"/>
      <c r="H405"/>
      <c r="I405"/>
      <c r="J405"/>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8"/>
      <c r="BN405" s="48"/>
      <c r="BO405" s="48"/>
      <c r="BP405" s="48"/>
      <c r="BQ405" s="48"/>
      <c r="BR405" s="48"/>
      <c r="BS405" s="48"/>
      <c r="BT405" s="48"/>
      <c r="BU405" s="48"/>
      <c r="BV405" s="48"/>
      <c r="BW405" s="48"/>
      <c r="BX405" s="48"/>
      <c r="BY405" s="48"/>
      <c r="BZ405" s="48"/>
      <c r="CA405" s="48"/>
      <c r="CB405" s="48"/>
      <c r="CC405" s="48"/>
      <c r="CD405" s="48"/>
      <c r="CE405" s="48"/>
      <c r="CF405" s="48"/>
      <c r="CG405" s="48"/>
      <c r="CH405" s="48"/>
      <c r="CI405" s="48"/>
      <c r="CJ405" s="48"/>
      <c r="CK405" s="48"/>
      <c r="CL405" s="48"/>
      <c r="CM405" s="48"/>
      <c r="CN405" s="48"/>
      <c r="CO405" s="48"/>
      <c r="CP405" s="48"/>
      <c r="CQ405" s="48"/>
      <c r="CR405" s="48"/>
      <c r="CS405" s="48"/>
      <c r="CT405" s="48"/>
      <c r="CU405" s="48"/>
      <c r="CV405" s="48"/>
      <c r="CW405" s="48"/>
      <c r="CX405" s="48"/>
      <c r="CY405" s="48"/>
      <c r="CZ405" s="48"/>
      <c r="DA405" s="48"/>
      <c r="DB405" s="48"/>
      <c r="DC405" s="48"/>
      <c r="DD405" s="48"/>
      <c r="DE405" s="48"/>
      <c r="DF405" s="48"/>
      <c r="DG405" s="48"/>
      <c r="DH405" s="48"/>
      <c r="DI405" s="48"/>
      <c r="DJ405" s="48"/>
      <c r="DK405" s="48"/>
      <c r="DL405" s="48"/>
      <c r="DM405" s="48"/>
      <c r="DN405" s="48"/>
      <c r="DO405" s="48"/>
      <c r="DP405" s="48"/>
      <c r="DQ405" s="48"/>
      <c r="DR405" s="48"/>
      <c r="DS405" s="48"/>
    </row>
    <row r="406" spans="1:123" ht="15">
      <c r="A406"/>
      <c r="B406"/>
      <c r="C406"/>
      <c r="D406"/>
      <c r="E406"/>
      <c r="F406"/>
      <c r="G406"/>
      <c r="H406"/>
      <c r="I406"/>
      <c r="J406"/>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c r="BS406" s="48"/>
      <c r="BT406" s="48"/>
      <c r="BU406" s="48"/>
      <c r="BV406" s="48"/>
      <c r="BW406" s="48"/>
      <c r="BX406" s="48"/>
      <c r="BY406" s="48"/>
      <c r="BZ406" s="48"/>
      <c r="CA406" s="48"/>
      <c r="CB406" s="48"/>
      <c r="CC406" s="48"/>
      <c r="CD406" s="48"/>
      <c r="CE406" s="48"/>
      <c r="CF406" s="48"/>
      <c r="CG406" s="48"/>
      <c r="CH406" s="48"/>
      <c r="CI406" s="48"/>
      <c r="CJ406" s="48"/>
      <c r="CK406" s="48"/>
      <c r="CL406" s="48"/>
      <c r="CM406" s="48"/>
      <c r="CN406" s="48"/>
      <c r="CO406" s="48"/>
      <c r="CP406" s="48"/>
      <c r="CQ406" s="48"/>
      <c r="CR406" s="48"/>
      <c r="CS406" s="48"/>
      <c r="CT406" s="48"/>
      <c r="CU406" s="48"/>
      <c r="CV406" s="48"/>
      <c r="CW406" s="48"/>
      <c r="CX406" s="48"/>
      <c r="CY406" s="48"/>
      <c r="CZ406" s="48"/>
      <c r="DA406" s="48"/>
      <c r="DB406" s="48"/>
      <c r="DC406" s="48"/>
      <c r="DD406" s="48"/>
      <c r="DE406" s="48"/>
      <c r="DF406" s="48"/>
      <c r="DG406" s="48"/>
      <c r="DH406" s="48"/>
      <c r="DI406" s="48"/>
      <c r="DJ406" s="48"/>
      <c r="DK406" s="48"/>
      <c r="DL406" s="48"/>
      <c r="DM406" s="48"/>
      <c r="DN406" s="48"/>
      <c r="DO406" s="48"/>
      <c r="DP406" s="48"/>
      <c r="DQ406" s="48"/>
      <c r="DR406" s="48"/>
      <c r="DS406" s="48"/>
    </row>
    <row r="407" spans="1:123" ht="15">
      <c r="A407"/>
      <c r="B407"/>
      <c r="C407"/>
      <c r="D407"/>
      <c r="E407"/>
      <c r="F407"/>
      <c r="G407"/>
      <c r="H407"/>
      <c r="I407"/>
      <c r="J407"/>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c r="BS407" s="48"/>
      <c r="BT407" s="48"/>
      <c r="BU407" s="48"/>
      <c r="BV407" s="48"/>
      <c r="BW407" s="48"/>
      <c r="BX407" s="48"/>
      <c r="BY407" s="48"/>
      <c r="BZ407" s="48"/>
      <c r="CA407" s="48"/>
      <c r="CB407" s="48"/>
      <c r="CC407" s="48"/>
      <c r="CD407" s="48"/>
      <c r="CE407" s="48"/>
      <c r="CF407" s="48"/>
      <c r="CG407" s="48"/>
      <c r="CH407" s="48"/>
      <c r="CI407" s="48"/>
      <c r="CJ407" s="48"/>
      <c r="CK407" s="48"/>
      <c r="CL407" s="48"/>
      <c r="CM407" s="48"/>
      <c r="CN407" s="48"/>
      <c r="CO407" s="48"/>
      <c r="CP407" s="48"/>
      <c r="CQ407" s="48"/>
      <c r="CR407" s="48"/>
      <c r="CS407" s="48"/>
      <c r="CT407" s="48"/>
      <c r="CU407" s="48"/>
      <c r="CV407" s="48"/>
      <c r="CW407" s="48"/>
      <c r="CX407" s="48"/>
      <c r="CY407" s="48"/>
      <c r="CZ407" s="48"/>
      <c r="DA407" s="48"/>
      <c r="DB407" s="48"/>
      <c r="DC407" s="48"/>
      <c r="DD407" s="48"/>
      <c r="DE407" s="48"/>
      <c r="DF407" s="48"/>
      <c r="DG407" s="48"/>
      <c r="DH407" s="48"/>
      <c r="DI407" s="48"/>
      <c r="DJ407" s="48"/>
      <c r="DK407" s="48"/>
      <c r="DL407" s="48"/>
      <c r="DM407" s="48"/>
      <c r="DN407" s="48"/>
      <c r="DO407" s="48"/>
      <c r="DP407" s="48"/>
      <c r="DQ407" s="48"/>
      <c r="DR407" s="48"/>
      <c r="DS407" s="48"/>
    </row>
    <row r="408" spans="1:123" ht="15">
      <c r="A408"/>
      <c r="B408"/>
      <c r="C408"/>
      <c r="D408"/>
      <c r="E408"/>
      <c r="F408"/>
      <c r="G408"/>
      <c r="H408"/>
      <c r="I408"/>
      <c r="J40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8"/>
      <c r="BN408" s="48"/>
      <c r="BO408" s="48"/>
      <c r="BP408" s="48"/>
      <c r="BQ408" s="48"/>
      <c r="BR408" s="48"/>
      <c r="BS408" s="48"/>
      <c r="BT408" s="48"/>
      <c r="BU408" s="48"/>
      <c r="BV408" s="48"/>
      <c r="BW408" s="48"/>
      <c r="BX408" s="48"/>
      <c r="BY408" s="48"/>
      <c r="BZ408" s="48"/>
      <c r="CA408" s="48"/>
      <c r="CB408" s="48"/>
      <c r="CC408" s="48"/>
      <c r="CD408" s="48"/>
      <c r="CE408" s="48"/>
      <c r="CF408" s="48"/>
      <c r="CG408" s="48"/>
      <c r="CH408" s="48"/>
      <c r="CI408" s="48"/>
      <c r="CJ408" s="48"/>
      <c r="CK408" s="48"/>
      <c r="CL408" s="48"/>
      <c r="CM408" s="48"/>
      <c r="CN408" s="48"/>
      <c r="CO408" s="48"/>
      <c r="CP408" s="48"/>
      <c r="CQ408" s="48"/>
      <c r="CR408" s="48"/>
      <c r="CS408" s="48"/>
      <c r="CT408" s="48"/>
      <c r="CU408" s="48"/>
      <c r="CV408" s="48"/>
      <c r="CW408" s="48"/>
      <c r="CX408" s="48"/>
      <c r="CY408" s="48"/>
      <c r="CZ408" s="48"/>
      <c r="DA408" s="48"/>
      <c r="DB408" s="48"/>
      <c r="DC408" s="48"/>
      <c r="DD408" s="48"/>
      <c r="DE408" s="48"/>
      <c r="DF408" s="48"/>
      <c r="DG408" s="48"/>
      <c r="DH408" s="48"/>
      <c r="DI408" s="48"/>
      <c r="DJ408" s="48"/>
      <c r="DK408" s="48"/>
      <c r="DL408" s="48"/>
      <c r="DM408" s="48"/>
      <c r="DN408" s="48"/>
      <c r="DO408" s="48"/>
      <c r="DP408" s="48"/>
      <c r="DQ408" s="48"/>
      <c r="DR408" s="48"/>
      <c r="DS408" s="48"/>
    </row>
    <row r="409" spans="1:123" ht="15">
      <c r="A409"/>
      <c r="B409"/>
      <c r="C409"/>
      <c r="D409"/>
      <c r="E409"/>
      <c r="F409"/>
      <c r="G409"/>
      <c r="H409"/>
      <c r="I409"/>
      <c r="J409"/>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48"/>
      <c r="BH409" s="48"/>
      <c r="BI409" s="48"/>
      <c r="BJ409" s="48"/>
      <c r="BK409" s="48"/>
      <c r="BL409" s="48"/>
      <c r="BM409" s="48"/>
      <c r="BN409" s="48"/>
      <c r="BO409" s="48"/>
      <c r="BP409" s="48"/>
      <c r="BQ409" s="48"/>
      <c r="BR409" s="48"/>
      <c r="BS409" s="48"/>
      <c r="BT409" s="48"/>
      <c r="BU409" s="48"/>
      <c r="BV409" s="48"/>
      <c r="BW409" s="48"/>
      <c r="BX409" s="48"/>
      <c r="BY409" s="48"/>
      <c r="BZ409" s="48"/>
      <c r="CA409" s="48"/>
      <c r="CB409" s="48"/>
      <c r="CC409" s="48"/>
      <c r="CD409" s="48"/>
      <c r="CE409" s="48"/>
      <c r="CF409" s="48"/>
      <c r="CG409" s="48"/>
      <c r="CH409" s="48"/>
      <c r="CI409" s="48"/>
      <c r="CJ409" s="48"/>
      <c r="CK409" s="48"/>
      <c r="CL409" s="48"/>
      <c r="CM409" s="48"/>
      <c r="CN409" s="48"/>
      <c r="CO409" s="48"/>
      <c r="CP409" s="48"/>
      <c r="CQ409" s="48"/>
      <c r="CR409" s="48"/>
      <c r="CS409" s="48"/>
      <c r="CT409" s="48"/>
      <c r="CU409" s="48"/>
      <c r="CV409" s="48"/>
      <c r="CW409" s="48"/>
      <c r="CX409" s="48"/>
      <c r="CY409" s="48"/>
      <c r="CZ409" s="48"/>
      <c r="DA409" s="48"/>
      <c r="DB409" s="48"/>
      <c r="DC409" s="48"/>
      <c r="DD409" s="48"/>
      <c r="DE409" s="48"/>
      <c r="DF409" s="48"/>
      <c r="DG409" s="48"/>
      <c r="DH409" s="48"/>
      <c r="DI409" s="48"/>
      <c r="DJ409" s="48"/>
      <c r="DK409" s="48"/>
      <c r="DL409" s="48"/>
      <c r="DM409" s="48"/>
      <c r="DN409" s="48"/>
      <c r="DO409" s="48"/>
      <c r="DP409" s="48"/>
      <c r="DQ409" s="48"/>
      <c r="DR409" s="48"/>
      <c r="DS409" s="48"/>
    </row>
    <row r="410" spans="1:123" ht="15">
      <c r="A410"/>
      <c r="B410"/>
      <c r="C410"/>
      <c r="D410"/>
      <c r="E410"/>
      <c r="F410"/>
      <c r="G410"/>
      <c r="H410"/>
      <c r="I410"/>
      <c r="J410"/>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8"/>
      <c r="BN410" s="48"/>
      <c r="BO410" s="48"/>
      <c r="BP410" s="48"/>
      <c r="BQ410" s="48"/>
      <c r="BR410" s="48"/>
      <c r="BS410" s="48"/>
      <c r="BT410" s="48"/>
      <c r="BU410" s="48"/>
      <c r="BV410" s="48"/>
      <c r="BW410" s="48"/>
      <c r="BX410" s="48"/>
      <c r="BY410" s="48"/>
      <c r="BZ410" s="48"/>
      <c r="CA410" s="48"/>
      <c r="CB410" s="48"/>
      <c r="CC410" s="48"/>
      <c r="CD410" s="48"/>
      <c r="CE410" s="48"/>
      <c r="CF410" s="48"/>
      <c r="CG410" s="48"/>
      <c r="CH410" s="48"/>
      <c r="CI410" s="48"/>
      <c r="CJ410" s="48"/>
      <c r="CK410" s="48"/>
      <c r="CL410" s="48"/>
      <c r="CM410" s="48"/>
      <c r="CN410" s="48"/>
      <c r="CO410" s="48"/>
      <c r="CP410" s="48"/>
      <c r="CQ410" s="48"/>
      <c r="CR410" s="48"/>
      <c r="CS410" s="48"/>
      <c r="CT410" s="48"/>
      <c r="CU410" s="48"/>
      <c r="CV410" s="48"/>
      <c r="CW410" s="48"/>
      <c r="CX410" s="48"/>
      <c r="CY410" s="48"/>
      <c r="CZ410" s="48"/>
      <c r="DA410" s="48"/>
      <c r="DB410" s="48"/>
      <c r="DC410" s="48"/>
      <c r="DD410" s="48"/>
      <c r="DE410" s="48"/>
      <c r="DF410" s="48"/>
      <c r="DG410" s="48"/>
      <c r="DH410" s="48"/>
      <c r="DI410" s="48"/>
      <c r="DJ410" s="48"/>
      <c r="DK410" s="48"/>
      <c r="DL410" s="48"/>
      <c r="DM410" s="48"/>
      <c r="DN410" s="48"/>
      <c r="DO410" s="48"/>
      <c r="DP410" s="48"/>
      <c r="DQ410" s="48"/>
      <c r="DR410" s="48"/>
      <c r="DS410" s="48"/>
    </row>
    <row r="411" spans="1:123" ht="15">
      <c r="A411"/>
      <c r="B411"/>
      <c r="C411"/>
      <c r="D411"/>
      <c r="E411"/>
      <c r="F411"/>
      <c r="G411"/>
      <c r="H411"/>
      <c r="I411"/>
      <c r="J411"/>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8"/>
      <c r="BN411" s="48"/>
      <c r="BO411" s="48"/>
      <c r="BP411" s="48"/>
      <c r="BQ411" s="48"/>
      <c r="BR411" s="48"/>
      <c r="BS411" s="48"/>
      <c r="BT411" s="48"/>
      <c r="BU411" s="48"/>
      <c r="BV411" s="48"/>
      <c r="BW411" s="48"/>
      <c r="BX411" s="48"/>
      <c r="BY411" s="48"/>
      <c r="BZ411" s="48"/>
      <c r="CA411" s="48"/>
      <c r="CB411" s="48"/>
      <c r="CC411" s="48"/>
      <c r="CD411" s="48"/>
      <c r="CE411" s="48"/>
      <c r="CF411" s="48"/>
      <c r="CG411" s="48"/>
      <c r="CH411" s="48"/>
      <c r="CI411" s="48"/>
      <c r="CJ411" s="48"/>
      <c r="CK411" s="48"/>
      <c r="CL411" s="48"/>
      <c r="CM411" s="48"/>
      <c r="CN411" s="48"/>
      <c r="CO411" s="48"/>
      <c r="CP411" s="48"/>
      <c r="CQ411" s="48"/>
      <c r="CR411" s="48"/>
      <c r="CS411" s="48"/>
      <c r="CT411" s="48"/>
      <c r="CU411" s="48"/>
      <c r="CV411" s="48"/>
      <c r="CW411" s="48"/>
      <c r="CX411" s="48"/>
      <c r="CY411" s="48"/>
      <c r="CZ411" s="48"/>
      <c r="DA411" s="48"/>
      <c r="DB411" s="48"/>
      <c r="DC411" s="48"/>
      <c r="DD411" s="48"/>
      <c r="DE411" s="48"/>
      <c r="DF411" s="48"/>
      <c r="DG411" s="48"/>
      <c r="DH411" s="48"/>
      <c r="DI411" s="48"/>
      <c r="DJ411" s="48"/>
      <c r="DK411" s="48"/>
      <c r="DL411" s="48"/>
      <c r="DM411" s="48"/>
      <c r="DN411" s="48"/>
      <c r="DO411" s="48"/>
      <c r="DP411" s="48"/>
      <c r="DQ411" s="48"/>
      <c r="DR411" s="48"/>
      <c r="DS411" s="48"/>
    </row>
    <row r="412" spans="1:123" ht="15">
      <c r="A412"/>
      <c r="B412"/>
      <c r="C412"/>
      <c r="D412"/>
      <c r="E412"/>
      <c r="F412"/>
      <c r="G412"/>
      <c r="H412"/>
      <c r="I412"/>
      <c r="J412"/>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8"/>
      <c r="BN412" s="48"/>
      <c r="BO412" s="48"/>
      <c r="BP412" s="48"/>
      <c r="BQ412" s="48"/>
      <c r="BR412" s="48"/>
      <c r="BS412" s="48"/>
      <c r="BT412" s="48"/>
      <c r="BU412" s="48"/>
      <c r="BV412" s="48"/>
      <c r="BW412" s="48"/>
      <c r="BX412" s="48"/>
      <c r="BY412" s="48"/>
      <c r="BZ412" s="48"/>
      <c r="CA412" s="48"/>
      <c r="CB412" s="48"/>
      <c r="CC412" s="48"/>
      <c r="CD412" s="48"/>
      <c r="CE412" s="48"/>
      <c r="CF412" s="48"/>
      <c r="CG412" s="48"/>
      <c r="CH412" s="48"/>
      <c r="CI412" s="48"/>
      <c r="CJ412" s="48"/>
      <c r="CK412" s="48"/>
      <c r="CL412" s="48"/>
      <c r="CM412" s="48"/>
      <c r="CN412" s="48"/>
      <c r="CO412" s="48"/>
      <c r="CP412" s="48"/>
      <c r="CQ412" s="48"/>
      <c r="CR412" s="48"/>
      <c r="CS412" s="48"/>
      <c r="CT412" s="48"/>
      <c r="CU412" s="48"/>
      <c r="CV412" s="48"/>
      <c r="CW412" s="48"/>
      <c r="CX412" s="48"/>
      <c r="CY412" s="48"/>
      <c r="CZ412" s="48"/>
      <c r="DA412" s="48"/>
      <c r="DB412" s="48"/>
      <c r="DC412" s="48"/>
      <c r="DD412" s="48"/>
      <c r="DE412" s="48"/>
      <c r="DF412" s="48"/>
      <c r="DG412" s="48"/>
      <c r="DH412" s="48"/>
      <c r="DI412" s="48"/>
      <c r="DJ412" s="48"/>
      <c r="DK412" s="48"/>
      <c r="DL412" s="48"/>
      <c r="DM412" s="48"/>
      <c r="DN412" s="48"/>
      <c r="DO412" s="48"/>
      <c r="DP412" s="48"/>
      <c r="DQ412" s="48"/>
      <c r="DR412" s="48"/>
      <c r="DS412" s="48"/>
    </row>
    <row r="413" spans="1:123" ht="15">
      <c r="A413"/>
      <c r="B413"/>
      <c r="C413"/>
      <c r="D413"/>
      <c r="E413"/>
      <c r="F413"/>
      <c r="G413"/>
      <c r="H413"/>
      <c r="I413"/>
      <c r="J413"/>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c r="BS413" s="48"/>
      <c r="BT413" s="48"/>
      <c r="BU413" s="48"/>
      <c r="BV413" s="48"/>
      <c r="BW413" s="48"/>
      <c r="BX413" s="48"/>
      <c r="BY413" s="48"/>
      <c r="BZ413" s="48"/>
      <c r="CA413" s="48"/>
      <c r="CB413" s="48"/>
      <c r="CC413" s="48"/>
      <c r="CD413" s="48"/>
      <c r="CE413" s="48"/>
      <c r="CF413" s="48"/>
      <c r="CG413" s="48"/>
      <c r="CH413" s="48"/>
      <c r="CI413" s="48"/>
      <c r="CJ413" s="48"/>
      <c r="CK413" s="48"/>
      <c r="CL413" s="48"/>
      <c r="CM413" s="48"/>
      <c r="CN413" s="48"/>
      <c r="CO413" s="48"/>
      <c r="CP413" s="48"/>
      <c r="CQ413" s="48"/>
      <c r="CR413" s="48"/>
      <c r="CS413" s="48"/>
      <c r="CT413" s="48"/>
      <c r="CU413" s="48"/>
      <c r="CV413" s="48"/>
      <c r="CW413" s="48"/>
      <c r="CX413" s="48"/>
      <c r="CY413" s="48"/>
      <c r="CZ413" s="48"/>
      <c r="DA413" s="48"/>
      <c r="DB413" s="48"/>
      <c r="DC413" s="48"/>
      <c r="DD413" s="48"/>
      <c r="DE413" s="48"/>
      <c r="DF413" s="48"/>
      <c r="DG413" s="48"/>
      <c r="DH413" s="48"/>
      <c r="DI413" s="48"/>
      <c r="DJ413" s="48"/>
      <c r="DK413" s="48"/>
      <c r="DL413" s="48"/>
      <c r="DM413" s="48"/>
      <c r="DN413" s="48"/>
      <c r="DO413" s="48"/>
      <c r="DP413" s="48"/>
      <c r="DQ413" s="48"/>
      <c r="DR413" s="48"/>
      <c r="DS413" s="48"/>
    </row>
    <row r="414" spans="1:123" ht="15">
      <c r="A414"/>
      <c r="B414"/>
      <c r="C414"/>
      <c r="D414"/>
      <c r="E414"/>
      <c r="F414"/>
      <c r="G414"/>
      <c r="H414"/>
      <c r="I414"/>
      <c r="J414"/>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48"/>
      <c r="BW414" s="48"/>
      <c r="BX414" s="48"/>
      <c r="BY414" s="48"/>
      <c r="BZ414" s="48"/>
      <c r="CA414" s="48"/>
      <c r="CB414" s="48"/>
      <c r="CC414" s="48"/>
      <c r="CD414" s="48"/>
      <c r="CE414" s="48"/>
      <c r="CF414" s="48"/>
      <c r="CG414" s="48"/>
      <c r="CH414" s="48"/>
      <c r="CI414" s="48"/>
      <c r="CJ414" s="48"/>
      <c r="CK414" s="48"/>
      <c r="CL414" s="48"/>
      <c r="CM414" s="48"/>
      <c r="CN414" s="48"/>
      <c r="CO414" s="48"/>
      <c r="CP414" s="48"/>
      <c r="CQ414" s="48"/>
      <c r="CR414" s="48"/>
      <c r="CS414" s="48"/>
      <c r="CT414" s="48"/>
      <c r="CU414" s="48"/>
      <c r="CV414" s="48"/>
      <c r="CW414" s="48"/>
      <c r="CX414" s="48"/>
      <c r="CY414" s="48"/>
      <c r="CZ414" s="48"/>
      <c r="DA414" s="48"/>
      <c r="DB414" s="48"/>
      <c r="DC414" s="48"/>
      <c r="DD414" s="48"/>
      <c r="DE414" s="48"/>
      <c r="DF414" s="48"/>
      <c r="DG414" s="48"/>
      <c r="DH414" s="48"/>
      <c r="DI414" s="48"/>
      <c r="DJ414" s="48"/>
      <c r="DK414" s="48"/>
      <c r="DL414" s="48"/>
      <c r="DM414" s="48"/>
      <c r="DN414" s="48"/>
      <c r="DO414" s="48"/>
      <c r="DP414" s="48"/>
      <c r="DQ414" s="48"/>
      <c r="DR414" s="48"/>
      <c r="DS414" s="48"/>
    </row>
    <row r="415" spans="1:123" ht="15">
      <c r="A415"/>
      <c r="B415"/>
      <c r="C415"/>
      <c r="D415"/>
      <c r="E415"/>
      <c r="F415"/>
      <c r="G415"/>
      <c r="H415"/>
      <c r="I415"/>
      <c r="J415"/>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8"/>
      <c r="BN415" s="48"/>
      <c r="BO415" s="48"/>
      <c r="BP415" s="48"/>
      <c r="BQ415" s="48"/>
      <c r="BR415" s="48"/>
      <c r="BS415" s="48"/>
      <c r="BT415" s="48"/>
      <c r="BU415" s="48"/>
      <c r="BV415" s="48"/>
      <c r="BW415" s="48"/>
      <c r="BX415" s="48"/>
      <c r="BY415" s="48"/>
      <c r="BZ415" s="48"/>
      <c r="CA415" s="48"/>
      <c r="CB415" s="48"/>
      <c r="CC415" s="48"/>
      <c r="CD415" s="48"/>
      <c r="CE415" s="48"/>
      <c r="CF415" s="48"/>
      <c r="CG415" s="48"/>
      <c r="CH415" s="48"/>
      <c r="CI415" s="48"/>
      <c r="CJ415" s="48"/>
      <c r="CK415" s="48"/>
      <c r="CL415" s="48"/>
      <c r="CM415" s="48"/>
      <c r="CN415" s="48"/>
      <c r="CO415" s="48"/>
      <c r="CP415" s="48"/>
      <c r="CQ415" s="48"/>
      <c r="CR415" s="48"/>
      <c r="CS415" s="48"/>
      <c r="CT415" s="48"/>
      <c r="CU415" s="48"/>
      <c r="CV415" s="48"/>
      <c r="CW415" s="48"/>
      <c r="CX415" s="48"/>
      <c r="CY415" s="48"/>
      <c r="CZ415" s="48"/>
      <c r="DA415" s="48"/>
      <c r="DB415" s="48"/>
      <c r="DC415" s="48"/>
      <c r="DD415" s="48"/>
      <c r="DE415" s="48"/>
      <c r="DF415" s="48"/>
      <c r="DG415" s="48"/>
      <c r="DH415" s="48"/>
      <c r="DI415" s="48"/>
      <c r="DJ415" s="48"/>
      <c r="DK415" s="48"/>
      <c r="DL415" s="48"/>
      <c r="DM415" s="48"/>
      <c r="DN415" s="48"/>
      <c r="DO415" s="48"/>
      <c r="DP415" s="48"/>
      <c r="DQ415" s="48"/>
      <c r="DR415" s="48"/>
      <c r="DS415" s="48"/>
    </row>
    <row r="416" spans="1:123" ht="15">
      <c r="A416"/>
      <c r="B416"/>
      <c r="C416"/>
      <c r="D416"/>
      <c r="E416"/>
      <c r="F416"/>
      <c r="G416"/>
      <c r="H416"/>
      <c r="I416"/>
      <c r="J416"/>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8"/>
      <c r="BN416" s="48"/>
      <c r="BO416" s="48"/>
      <c r="BP416" s="48"/>
      <c r="BQ416" s="48"/>
      <c r="BR416" s="48"/>
      <c r="BS416" s="48"/>
      <c r="BT416" s="48"/>
      <c r="BU416" s="48"/>
      <c r="BV416" s="48"/>
      <c r="BW416" s="48"/>
      <c r="BX416" s="48"/>
      <c r="BY416" s="48"/>
      <c r="BZ416" s="48"/>
      <c r="CA416" s="48"/>
      <c r="CB416" s="48"/>
      <c r="CC416" s="48"/>
      <c r="CD416" s="48"/>
      <c r="CE416" s="48"/>
      <c r="CF416" s="48"/>
      <c r="CG416" s="48"/>
      <c r="CH416" s="48"/>
      <c r="CI416" s="48"/>
      <c r="CJ416" s="48"/>
      <c r="CK416" s="48"/>
      <c r="CL416" s="48"/>
      <c r="CM416" s="48"/>
      <c r="CN416" s="48"/>
      <c r="CO416" s="48"/>
      <c r="CP416" s="48"/>
      <c r="CQ416" s="48"/>
      <c r="CR416" s="48"/>
      <c r="CS416" s="48"/>
      <c r="CT416" s="48"/>
      <c r="CU416" s="48"/>
      <c r="CV416" s="48"/>
      <c r="CW416" s="48"/>
      <c r="CX416" s="48"/>
      <c r="CY416" s="48"/>
      <c r="CZ416" s="48"/>
      <c r="DA416" s="48"/>
      <c r="DB416" s="48"/>
      <c r="DC416" s="48"/>
      <c r="DD416" s="48"/>
      <c r="DE416" s="48"/>
      <c r="DF416" s="48"/>
      <c r="DG416" s="48"/>
      <c r="DH416" s="48"/>
      <c r="DI416" s="48"/>
      <c r="DJ416" s="48"/>
      <c r="DK416" s="48"/>
      <c r="DL416" s="48"/>
      <c r="DM416" s="48"/>
      <c r="DN416" s="48"/>
      <c r="DO416" s="48"/>
      <c r="DP416" s="48"/>
      <c r="DQ416" s="48"/>
      <c r="DR416" s="48"/>
      <c r="DS416" s="48"/>
    </row>
    <row r="417" spans="1:123" ht="15">
      <c r="A417"/>
      <c r="B417"/>
      <c r="C417"/>
      <c r="D417"/>
      <c r="E417"/>
      <c r="F417"/>
      <c r="G417"/>
      <c r="H417"/>
      <c r="I417"/>
      <c r="J417"/>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c r="BM417" s="48"/>
      <c r="BN417" s="48"/>
      <c r="BO417" s="48"/>
      <c r="BP417" s="48"/>
      <c r="BQ417" s="48"/>
      <c r="BR417" s="48"/>
      <c r="BS417" s="48"/>
      <c r="BT417" s="48"/>
      <c r="BU417" s="48"/>
      <c r="BV417" s="48"/>
      <c r="BW417" s="48"/>
      <c r="BX417" s="48"/>
      <c r="BY417" s="48"/>
      <c r="BZ417" s="48"/>
      <c r="CA417" s="48"/>
      <c r="CB417" s="48"/>
      <c r="CC417" s="48"/>
      <c r="CD417" s="48"/>
      <c r="CE417" s="48"/>
      <c r="CF417" s="48"/>
      <c r="CG417" s="48"/>
      <c r="CH417" s="48"/>
      <c r="CI417" s="48"/>
      <c r="CJ417" s="48"/>
      <c r="CK417" s="48"/>
      <c r="CL417" s="48"/>
      <c r="CM417" s="48"/>
      <c r="CN417" s="48"/>
      <c r="CO417" s="48"/>
      <c r="CP417" s="48"/>
      <c r="CQ417" s="48"/>
      <c r="CR417" s="48"/>
      <c r="CS417" s="48"/>
      <c r="CT417" s="48"/>
      <c r="CU417" s="48"/>
      <c r="CV417" s="48"/>
      <c r="CW417" s="48"/>
      <c r="CX417" s="48"/>
      <c r="CY417" s="48"/>
      <c r="CZ417" s="48"/>
      <c r="DA417" s="48"/>
      <c r="DB417" s="48"/>
      <c r="DC417" s="48"/>
      <c r="DD417" s="48"/>
      <c r="DE417" s="48"/>
      <c r="DF417" s="48"/>
      <c r="DG417" s="48"/>
      <c r="DH417" s="48"/>
      <c r="DI417" s="48"/>
      <c r="DJ417" s="48"/>
      <c r="DK417" s="48"/>
      <c r="DL417" s="48"/>
      <c r="DM417" s="48"/>
      <c r="DN417" s="48"/>
      <c r="DO417" s="48"/>
      <c r="DP417" s="48"/>
      <c r="DQ417" s="48"/>
      <c r="DR417" s="48"/>
      <c r="DS417" s="48"/>
    </row>
    <row r="418" spans="1:123" ht="15">
      <c r="A418"/>
      <c r="B418"/>
      <c r="C418"/>
      <c r="D418"/>
      <c r="E418"/>
      <c r="F418"/>
      <c r="G418"/>
      <c r="H418"/>
      <c r="I418"/>
      <c r="J41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c r="BM418" s="48"/>
      <c r="BN418" s="48"/>
      <c r="BO418" s="48"/>
      <c r="BP418" s="48"/>
      <c r="BQ418" s="48"/>
      <c r="BR418" s="48"/>
      <c r="BS418" s="48"/>
      <c r="BT418" s="48"/>
      <c r="BU418" s="48"/>
      <c r="BV418" s="48"/>
      <c r="BW418" s="48"/>
      <c r="BX418" s="48"/>
      <c r="BY418" s="48"/>
      <c r="BZ418" s="48"/>
      <c r="CA418" s="48"/>
      <c r="CB418" s="48"/>
      <c r="CC418" s="48"/>
      <c r="CD418" s="48"/>
      <c r="CE418" s="48"/>
      <c r="CF418" s="48"/>
      <c r="CG418" s="48"/>
      <c r="CH418" s="48"/>
      <c r="CI418" s="48"/>
      <c r="CJ418" s="48"/>
      <c r="CK418" s="48"/>
      <c r="CL418" s="48"/>
      <c r="CM418" s="48"/>
      <c r="CN418" s="48"/>
      <c r="CO418" s="48"/>
      <c r="CP418" s="48"/>
      <c r="CQ418" s="48"/>
      <c r="CR418" s="48"/>
      <c r="CS418" s="48"/>
      <c r="CT418" s="48"/>
      <c r="CU418" s="48"/>
      <c r="CV418" s="48"/>
      <c r="CW418" s="48"/>
      <c r="CX418" s="48"/>
      <c r="CY418" s="48"/>
      <c r="CZ418" s="48"/>
      <c r="DA418" s="48"/>
      <c r="DB418" s="48"/>
      <c r="DC418" s="48"/>
      <c r="DD418" s="48"/>
      <c r="DE418" s="48"/>
      <c r="DF418" s="48"/>
      <c r="DG418" s="48"/>
      <c r="DH418" s="48"/>
      <c r="DI418" s="48"/>
      <c r="DJ418" s="48"/>
      <c r="DK418" s="48"/>
      <c r="DL418" s="48"/>
      <c r="DM418" s="48"/>
      <c r="DN418" s="48"/>
      <c r="DO418" s="48"/>
      <c r="DP418" s="48"/>
      <c r="DQ418" s="48"/>
      <c r="DR418" s="48"/>
      <c r="DS418" s="48"/>
    </row>
    <row r="419" spans="1:123" ht="15">
      <c r="A419"/>
      <c r="B419"/>
      <c r="C419"/>
      <c r="D419"/>
      <c r="E419"/>
      <c r="F419"/>
      <c r="G419"/>
      <c r="H419"/>
      <c r="I419"/>
      <c r="J419"/>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c r="BM419" s="48"/>
      <c r="BN419" s="48"/>
      <c r="BO419" s="48"/>
      <c r="BP419" s="48"/>
      <c r="BQ419" s="48"/>
      <c r="BR419" s="48"/>
      <c r="BS419" s="48"/>
      <c r="BT419" s="48"/>
      <c r="BU419" s="48"/>
      <c r="BV419" s="48"/>
      <c r="BW419" s="48"/>
      <c r="BX419" s="48"/>
      <c r="BY419" s="48"/>
      <c r="BZ419" s="48"/>
      <c r="CA419" s="48"/>
      <c r="CB419" s="48"/>
      <c r="CC419" s="48"/>
      <c r="CD419" s="48"/>
      <c r="CE419" s="48"/>
      <c r="CF419" s="48"/>
      <c r="CG419" s="48"/>
      <c r="CH419" s="48"/>
      <c r="CI419" s="48"/>
      <c r="CJ419" s="48"/>
      <c r="CK419" s="48"/>
      <c r="CL419" s="48"/>
      <c r="CM419" s="48"/>
      <c r="CN419" s="48"/>
      <c r="CO419" s="48"/>
      <c r="CP419" s="48"/>
      <c r="CQ419" s="48"/>
      <c r="CR419" s="48"/>
      <c r="CS419" s="48"/>
      <c r="CT419" s="48"/>
      <c r="CU419" s="48"/>
      <c r="CV419" s="48"/>
      <c r="CW419" s="48"/>
      <c r="CX419" s="48"/>
      <c r="CY419" s="48"/>
      <c r="CZ419" s="48"/>
      <c r="DA419" s="48"/>
      <c r="DB419" s="48"/>
      <c r="DC419" s="48"/>
      <c r="DD419" s="48"/>
      <c r="DE419" s="48"/>
      <c r="DF419" s="48"/>
      <c r="DG419" s="48"/>
      <c r="DH419" s="48"/>
      <c r="DI419" s="48"/>
      <c r="DJ419" s="48"/>
      <c r="DK419" s="48"/>
      <c r="DL419" s="48"/>
      <c r="DM419" s="48"/>
      <c r="DN419" s="48"/>
      <c r="DO419" s="48"/>
      <c r="DP419" s="48"/>
      <c r="DQ419" s="48"/>
      <c r="DR419" s="48"/>
      <c r="DS419" s="48"/>
    </row>
    <row r="420" spans="1:123" ht="15">
      <c r="A420"/>
      <c r="B420"/>
      <c r="C420"/>
      <c r="D420"/>
      <c r="E420"/>
      <c r="F420"/>
      <c r="G420"/>
      <c r="H420"/>
      <c r="I420"/>
      <c r="J420"/>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48"/>
      <c r="BW420" s="48"/>
      <c r="BX420" s="48"/>
      <c r="BY420" s="48"/>
      <c r="BZ420" s="48"/>
      <c r="CA420" s="48"/>
      <c r="CB420" s="48"/>
      <c r="CC420" s="48"/>
      <c r="CD420" s="48"/>
      <c r="CE420" s="48"/>
      <c r="CF420" s="48"/>
      <c r="CG420" s="48"/>
      <c r="CH420" s="48"/>
      <c r="CI420" s="48"/>
      <c r="CJ420" s="48"/>
      <c r="CK420" s="48"/>
      <c r="CL420" s="48"/>
      <c r="CM420" s="48"/>
      <c r="CN420" s="48"/>
      <c r="CO420" s="48"/>
      <c r="CP420" s="48"/>
      <c r="CQ420" s="48"/>
      <c r="CR420" s="48"/>
      <c r="CS420" s="48"/>
      <c r="CT420" s="48"/>
      <c r="CU420" s="48"/>
      <c r="CV420" s="48"/>
      <c r="CW420" s="48"/>
      <c r="CX420" s="48"/>
      <c r="CY420" s="48"/>
      <c r="CZ420" s="48"/>
      <c r="DA420" s="48"/>
      <c r="DB420" s="48"/>
      <c r="DC420" s="48"/>
      <c r="DD420" s="48"/>
      <c r="DE420" s="48"/>
      <c r="DF420" s="48"/>
      <c r="DG420" s="48"/>
      <c r="DH420" s="48"/>
      <c r="DI420" s="48"/>
      <c r="DJ420" s="48"/>
      <c r="DK420" s="48"/>
      <c r="DL420" s="48"/>
      <c r="DM420" s="48"/>
      <c r="DN420" s="48"/>
      <c r="DO420" s="48"/>
      <c r="DP420" s="48"/>
      <c r="DQ420" s="48"/>
      <c r="DR420" s="48"/>
      <c r="DS420" s="48"/>
    </row>
    <row r="421" spans="1:123" ht="15">
      <c r="A421"/>
      <c r="B421"/>
      <c r="C421"/>
      <c r="D421"/>
      <c r="E421"/>
      <c r="F421"/>
      <c r="G421"/>
      <c r="H421"/>
      <c r="I421"/>
      <c r="J421"/>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48"/>
      <c r="BH421" s="48"/>
      <c r="BI421" s="48"/>
      <c r="BJ421" s="48"/>
      <c r="BK421" s="48"/>
      <c r="BL421" s="48"/>
      <c r="BM421" s="48"/>
      <c r="BN421" s="48"/>
      <c r="BO421" s="48"/>
      <c r="BP421" s="48"/>
      <c r="BQ421" s="48"/>
      <c r="BR421" s="48"/>
      <c r="BS421" s="48"/>
      <c r="BT421" s="48"/>
      <c r="BU421" s="48"/>
      <c r="BV421" s="48"/>
      <c r="BW421" s="48"/>
      <c r="BX421" s="48"/>
      <c r="BY421" s="48"/>
      <c r="BZ421" s="48"/>
      <c r="CA421" s="48"/>
      <c r="CB421" s="48"/>
      <c r="CC421" s="48"/>
      <c r="CD421" s="48"/>
      <c r="CE421" s="48"/>
      <c r="CF421" s="48"/>
      <c r="CG421" s="48"/>
      <c r="CH421" s="48"/>
      <c r="CI421" s="48"/>
      <c r="CJ421" s="48"/>
      <c r="CK421" s="48"/>
      <c r="CL421" s="48"/>
      <c r="CM421" s="48"/>
      <c r="CN421" s="48"/>
      <c r="CO421" s="48"/>
      <c r="CP421" s="48"/>
      <c r="CQ421" s="48"/>
      <c r="CR421" s="48"/>
      <c r="CS421" s="48"/>
      <c r="CT421" s="48"/>
      <c r="CU421" s="48"/>
      <c r="CV421" s="48"/>
      <c r="CW421" s="48"/>
      <c r="CX421" s="48"/>
      <c r="CY421" s="48"/>
      <c r="CZ421" s="48"/>
      <c r="DA421" s="48"/>
      <c r="DB421" s="48"/>
      <c r="DC421" s="48"/>
      <c r="DD421" s="48"/>
      <c r="DE421" s="48"/>
      <c r="DF421" s="48"/>
      <c r="DG421" s="48"/>
      <c r="DH421" s="48"/>
      <c r="DI421" s="48"/>
      <c r="DJ421" s="48"/>
      <c r="DK421" s="48"/>
      <c r="DL421" s="48"/>
      <c r="DM421" s="48"/>
      <c r="DN421" s="48"/>
      <c r="DO421" s="48"/>
      <c r="DP421" s="48"/>
      <c r="DQ421" s="48"/>
      <c r="DR421" s="48"/>
      <c r="DS421" s="48"/>
    </row>
    <row r="422" spans="1:123" ht="15">
      <c r="A422"/>
      <c r="B422"/>
      <c r="C422"/>
      <c r="D422"/>
      <c r="E422"/>
      <c r="F422"/>
      <c r="G422"/>
      <c r="H422"/>
      <c r="I422"/>
      <c r="J422"/>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48"/>
      <c r="BH422" s="48"/>
      <c r="BI422" s="48"/>
      <c r="BJ422" s="48"/>
      <c r="BK422" s="48"/>
      <c r="BL422" s="48"/>
      <c r="BM422" s="48"/>
      <c r="BN422" s="48"/>
      <c r="BO422" s="48"/>
      <c r="BP422" s="48"/>
      <c r="BQ422" s="48"/>
      <c r="BR422" s="48"/>
      <c r="BS422" s="48"/>
      <c r="BT422" s="48"/>
      <c r="BU422" s="48"/>
      <c r="BV422" s="48"/>
      <c r="BW422" s="48"/>
      <c r="BX422" s="48"/>
      <c r="BY422" s="48"/>
      <c r="BZ422" s="48"/>
      <c r="CA422" s="48"/>
      <c r="CB422" s="48"/>
      <c r="CC422" s="48"/>
      <c r="CD422" s="48"/>
      <c r="CE422" s="48"/>
      <c r="CF422" s="48"/>
      <c r="CG422" s="48"/>
      <c r="CH422" s="48"/>
      <c r="CI422" s="48"/>
      <c r="CJ422" s="48"/>
      <c r="CK422" s="48"/>
      <c r="CL422" s="48"/>
      <c r="CM422" s="48"/>
      <c r="CN422" s="48"/>
      <c r="CO422" s="48"/>
      <c r="CP422" s="48"/>
      <c r="CQ422" s="48"/>
      <c r="CR422" s="48"/>
      <c r="CS422" s="48"/>
      <c r="CT422" s="48"/>
      <c r="CU422" s="48"/>
      <c r="CV422" s="48"/>
      <c r="CW422" s="48"/>
      <c r="CX422" s="48"/>
      <c r="CY422" s="48"/>
      <c r="CZ422" s="48"/>
      <c r="DA422" s="48"/>
      <c r="DB422" s="48"/>
      <c r="DC422" s="48"/>
      <c r="DD422" s="48"/>
      <c r="DE422" s="48"/>
      <c r="DF422" s="48"/>
      <c r="DG422" s="48"/>
      <c r="DH422" s="48"/>
      <c r="DI422" s="48"/>
      <c r="DJ422" s="48"/>
      <c r="DK422" s="48"/>
      <c r="DL422" s="48"/>
      <c r="DM422" s="48"/>
      <c r="DN422" s="48"/>
      <c r="DO422" s="48"/>
      <c r="DP422" s="48"/>
      <c r="DQ422" s="48"/>
      <c r="DR422" s="48"/>
      <c r="DS422" s="48"/>
    </row>
    <row r="423" spans="1:123" ht="15">
      <c r="A423"/>
      <c r="B423"/>
      <c r="C423"/>
      <c r="D423"/>
      <c r="E423"/>
      <c r="F423"/>
      <c r="G423"/>
      <c r="H423"/>
      <c r="I423"/>
      <c r="J423"/>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8"/>
      <c r="BN423" s="48"/>
      <c r="BO423" s="48"/>
      <c r="BP423" s="48"/>
      <c r="BQ423" s="48"/>
      <c r="BR423" s="48"/>
      <c r="BS423" s="48"/>
      <c r="BT423" s="48"/>
      <c r="BU423" s="48"/>
      <c r="BV423" s="48"/>
      <c r="BW423" s="48"/>
      <c r="BX423" s="48"/>
      <c r="BY423" s="48"/>
      <c r="BZ423" s="48"/>
      <c r="CA423" s="48"/>
      <c r="CB423" s="48"/>
      <c r="CC423" s="48"/>
      <c r="CD423" s="48"/>
      <c r="CE423" s="48"/>
      <c r="CF423" s="48"/>
      <c r="CG423" s="48"/>
      <c r="CH423" s="48"/>
      <c r="CI423" s="48"/>
      <c r="CJ423" s="48"/>
      <c r="CK423" s="48"/>
      <c r="CL423" s="48"/>
      <c r="CM423" s="48"/>
      <c r="CN423" s="48"/>
      <c r="CO423" s="48"/>
      <c r="CP423" s="48"/>
      <c r="CQ423" s="48"/>
      <c r="CR423" s="48"/>
      <c r="CS423" s="48"/>
      <c r="CT423" s="48"/>
      <c r="CU423" s="48"/>
      <c r="CV423" s="48"/>
      <c r="CW423" s="48"/>
      <c r="CX423" s="48"/>
      <c r="CY423" s="48"/>
      <c r="CZ423" s="48"/>
      <c r="DA423" s="48"/>
      <c r="DB423" s="48"/>
      <c r="DC423" s="48"/>
      <c r="DD423" s="48"/>
      <c r="DE423" s="48"/>
      <c r="DF423" s="48"/>
      <c r="DG423" s="48"/>
      <c r="DH423" s="48"/>
      <c r="DI423" s="48"/>
      <c r="DJ423" s="48"/>
      <c r="DK423" s="48"/>
      <c r="DL423" s="48"/>
      <c r="DM423" s="48"/>
      <c r="DN423" s="48"/>
      <c r="DO423" s="48"/>
      <c r="DP423" s="48"/>
      <c r="DQ423" s="48"/>
      <c r="DR423" s="48"/>
      <c r="DS423" s="48"/>
    </row>
    <row r="424" spans="1:123" ht="15">
      <c r="A424"/>
      <c r="B424"/>
      <c r="C424"/>
      <c r="D424"/>
      <c r="E424"/>
      <c r="F424"/>
      <c r="G424"/>
      <c r="H424"/>
      <c r="I424"/>
      <c r="J424"/>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c r="BS424" s="48"/>
      <c r="BT424" s="48"/>
      <c r="BU424" s="48"/>
      <c r="BV424" s="48"/>
      <c r="BW424" s="48"/>
      <c r="BX424" s="48"/>
      <c r="BY424" s="48"/>
      <c r="BZ424" s="48"/>
      <c r="CA424" s="48"/>
      <c r="CB424" s="48"/>
      <c r="CC424" s="48"/>
      <c r="CD424" s="48"/>
      <c r="CE424" s="48"/>
      <c r="CF424" s="48"/>
      <c r="CG424" s="48"/>
      <c r="CH424" s="48"/>
      <c r="CI424" s="48"/>
      <c r="CJ424" s="48"/>
      <c r="CK424" s="48"/>
      <c r="CL424" s="48"/>
      <c r="CM424" s="48"/>
      <c r="CN424" s="48"/>
      <c r="CO424" s="48"/>
      <c r="CP424" s="48"/>
      <c r="CQ424" s="48"/>
      <c r="CR424" s="48"/>
      <c r="CS424" s="48"/>
      <c r="CT424" s="48"/>
      <c r="CU424" s="48"/>
      <c r="CV424" s="48"/>
      <c r="CW424" s="48"/>
      <c r="CX424" s="48"/>
      <c r="CY424" s="48"/>
      <c r="CZ424" s="48"/>
      <c r="DA424" s="48"/>
      <c r="DB424" s="48"/>
      <c r="DC424" s="48"/>
      <c r="DD424" s="48"/>
      <c r="DE424" s="48"/>
      <c r="DF424" s="48"/>
      <c r="DG424" s="48"/>
      <c r="DH424" s="48"/>
      <c r="DI424" s="48"/>
      <c r="DJ424" s="48"/>
      <c r="DK424" s="48"/>
      <c r="DL424" s="48"/>
      <c r="DM424" s="48"/>
      <c r="DN424" s="48"/>
      <c r="DO424" s="48"/>
      <c r="DP424" s="48"/>
      <c r="DQ424" s="48"/>
      <c r="DR424" s="48"/>
      <c r="DS424" s="48"/>
    </row>
    <row r="425" spans="1:123" ht="15">
      <c r="A425"/>
      <c r="B425"/>
      <c r="C425"/>
      <c r="D425"/>
      <c r="E425"/>
      <c r="F425"/>
      <c r="G425"/>
      <c r="H425"/>
      <c r="I425"/>
      <c r="J425"/>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48"/>
      <c r="BJ425" s="48"/>
      <c r="BK425" s="48"/>
      <c r="BL425" s="48"/>
      <c r="BM425" s="48"/>
      <c r="BN425" s="48"/>
      <c r="BO425" s="48"/>
      <c r="BP425" s="48"/>
      <c r="BQ425" s="48"/>
      <c r="BR425" s="48"/>
      <c r="BS425" s="48"/>
      <c r="BT425" s="48"/>
      <c r="BU425" s="48"/>
      <c r="BV425" s="48"/>
      <c r="BW425" s="48"/>
      <c r="BX425" s="48"/>
      <c r="BY425" s="48"/>
      <c r="BZ425" s="48"/>
      <c r="CA425" s="48"/>
      <c r="CB425" s="48"/>
      <c r="CC425" s="48"/>
      <c r="CD425" s="48"/>
      <c r="CE425" s="48"/>
      <c r="CF425" s="48"/>
      <c r="CG425" s="48"/>
      <c r="CH425" s="48"/>
      <c r="CI425" s="48"/>
      <c r="CJ425" s="48"/>
      <c r="CK425" s="48"/>
      <c r="CL425" s="48"/>
      <c r="CM425" s="48"/>
      <c r="CN425" s="48"/>
      <c r="CO425" s="48"/>
      <c r="CP425" s="48"/>
      <c r="CQ425" s="48"/>
      <c r="CR425" s="48"/>
      <c r="CS425" s="48"/>
      <c r="CT425" s="48"/>
      <c r="CU425" s="48"/>
      <c r="CV425" s="48"/>
      <c r="CW425" s="48"/>
      <c r="CX425" s="48"/>
      <c r="CY425" s="48"/>
      <c r="CZ425" s="48"/>
      <c r="DA425" s="48"/>
      <c r="DB425" s="48"/>
      <c r="DC425" s="48"/>
      <c r="DD425" s="48"/>
      <c r="DE425" s="48"/>
      <c r="DF425" s="48"/>
      <c r="DG425" s="48"/>
      <c r="DH425" s="48"/>
      <c r="DI425" s="48"/>
      <c r="DJ425" s="48"/>
      <c r="DK425" s="48"/>
      <c r="DL425" s="48"/>
      <c r="DM425" s="48"/>
      <c r="DN425" s="48"/>
      <c r="DO425" s="48"/>
      <c r="DP425" s="48"/>
      <c r="DQ425" s="48"/>
      <c r="DR425" s="48"/>
      <c r="DS425" s="48"/>
    </row>
    <row r="426" spans="1:123" ht="15">
      <c r="A426"/>
      <c r="B426"/>
      <c r="C426"/>
      <c r="D426"/>
      <c r="E426"/>
      <c r="F426"/>
      <c r="G426"/>
      <c r="H426"/>
      <c r="I426"/>
      <c r="J426"/>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48"/>
      <c r="BH426" s="48"/>
      <c r="BI426" s="48"/>
      <c r="BJ426" s="48"/>
      <c r="BK426" s="48"/>
      <c r="BL426" s="48"/>
      <c r="BM426" s="48"/>
      <c r="BN426" s="48"/>
      <c r="BO426" s="48"/>
      <c r="BP426" s="48"/>
      <c r="BQ426" s="48"/>
      <c r="BR426" s="48"/>
      <c r="BS426" s="48"/>
      <c r="BT426" s="48"/>
      <c r="BU426" s="48"/>
      <c r="BV426" s="48"/>
      <c r="BW426" s="48"/>
      <c r="BX426" s="48"/>
      <c r="BY426" s="48"/>
      <c r="BZ426" s="48"/>
      <c r="CA426" s="48"/>
      <c r="CB426" s="48"/>
      <c r="CC426" s="48"/>
      <c r="CD426" s="48"/>
      <c r="CE426" s="48"/>
      <c r="CF426" s="48"/>
      <c r="CG426" s="48"/>
      <c r="CH426" s="48"/>
      <c r="CI426" s="48"/>
      <c r="CJ426" s="48"/>
      <c r="CK426" s="48"/>
      <c r="CL426" s="48"/>
      <c r="CM426" s="48"/>
      <c r="CN426" s="48"/>
      <c r="CO426" s="48"/>
      <c r="CP426" s="48"/>
      <c r="CQ426" s="48"/>
      <c r="CR426" s="48"/>
      <c r="CS426" s="48"/>
      <c r="CT426" s="48"/>
      <c r="CU426" s="48"/>
      <c r="CV426" s="48"/>
      <c r="CW426" s="48"/>
      <c r="CX426" s="48"/>
      <c r="CY426" s="48"/>
      <c r="CZ426" s="48"/>
      <c r="DA426" s="48"/>
      <c r="DB426" s="48"/>
      <c r="DC426" s="48"/>
      <c r="DD426" s="48"/>
      <c r="DE426" s="48"/>
      <c r="DF426" s="48"/>
      <c r="DG426" s="48"/>
      <c r="DH426" s="48"/>
      <c r="DI426" s="48"/>
      <c r="DJ426" s="48"/>
      <c r="DK426" s="48"/>
      <c r="DL426" s="48"/>
      <c r="DM426" s="48"/>
      <c r="DN426" s="48"/>
      <c r="DO426" s="48"/>
      <c r="DP426" s="48"/>
      <c r="DQ426" s="48"/>
      <c r="DR426" s="48"/>
      <c r="DS426" s="48"/>
    </row>
    <row r="427" spans="1:123" ht="15">
      <c r="A427"/>
      <c r="B427"/>
      <c r="C427"/>
      <c r="D427"/>
      <c r="E427"/>
      <c r="F427"/>
      <c r="G427"/>
      <c r="H427"/>
      <c r="I427"/>
      <c r="J427"/>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48"/>
      <c r="BH427" s="48"/>
      <c r="BI427" s="48"/>
      <c r="BJ427" s="48"/>
      <c r="BK427" s="48"/>
      <c r="BL427" s="48"/>
      <c r="BM427" s="48"/>
      <c r="BN427" s="48"/>
      <c r="BO427" s="48"/>
      <c r="BP427" s="48"/>
      <c r="BQ427" s="48"/>
      <c r="BR427" s="48"/>
      <c r="BS427" s="48"/>
      <c r="BT427" s="48"/>
      <c r="BU427" s="48"/>
      <c r="BV427" s="48"/>
      <c r="BW427" s="48"/>
      <c r="BX427" s="48"/>
      <c r="BY427" s="48"/>
      <c r="BZ427" s="48"/>
      <c r="CA427" s="48"/>
      <c r="CB427" s="48"/>
      <c r="CC427" s="48"/>
      <c r="CD427" s="48"/>
      <c r="CE427" s="48"/>
      <c r="CF427" s="48"/>
      <c r="CG427" s="48"/>
      <c r="CH427" s="48"/>
      <c r="CI427" s="48"/>
      <c r="CJ427" s="48"/>
      <c r="CK427" s="48"/>
      <c r="CL427" s="48"/>
      <c r="CM427" s="48"/>
      <c r="CN427" s="48"/>
      <c r="CO427" s="48"/>
      <c r="CP427" s="48"/>
      <c r="CQ427" s="48"/>
      <c r="CR427" s="48"/>
      <c r="CS427" s="48"/>
      <c r="CT427" s="48"/>
      <c r="CU427" s="48"/>
      <c r="CV427" s="48"/>
      <c r="CW427" s="48"/>
      <c r="CX427" s="48"/>
      <c r="CY427" s="48"/>
      <c r="CZ427" s="48"/>
      <c r="DA427" s="48"/>
      <c r="DB427" s="48"/>
      <c r="DC427" s="48"/>
      <c r="DD427" s="48"/>
      <c r="DE427" s="48"/>
      <c r="DF427" s="48"/>
      <c r="DG427" s="48"/>
      <c r="DH427" s="48"/>
      <c r="DI427" s="48"/>
      <c r="DJ427" s="48"/>
      <c r="DK427" s="48"/>
      <c r="DL427" s="48"/>
      <c r="DM427" s="48"/>
      <c r="DN427" s="48"/>
      <c r="DO427" s="48"/>
      <c r="DP427" s="48"/>
      <c r="DQ427" s="48"/>
      <c r="DR427" s="48"/>
      <c r="DS427" s="48"/>
    </row>
    <row r="428" spans="1:123" ht="15">
      <c r="A428"/>
      <c r="B428"/>
      <c r="C428"/>
      <c r="D428"/>
      <c r="E428"/>
      <c r="F428"/>
      <c r="G428"/>
      <c r="H428"/>
      <c r="I428"/>
      <c r="J42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48"/>
      <c r="BH428" s="48"/>
      <c r="BI428" s="48"/>
      <c r="BJ428" s="48"/>
      <c r="BK428" s="48"/>
      <c r="BL428" s="48"/>
      <c r="BM428" s="48"/>
      <c r="BN428" s="48"/>
      <c r="BO428" s="48"/>
      <c r="BP428" s="48"/>
      <c r="BQ428" s="48"/>
      <c r="BR428" s="48"/>
      <c r="BS428" s="48"/>
      <c r="BT428" s="48"/>
      <c r="BU428" s="48"/>
      <c r="BV428" s="48"/>
      <c r="BW428" s="48"/>
      <c r="BX428" s="48"/>
      <c r="BY428" s="48"/>
      <c r="BZ428" s="48"/>
      <c r="CA428" s="48"/>
      <c r="CB428" s="48"/>
      <c r="CC428" s="48"/>
      <c r="CD428" s="48"/>
      <c r="CE428" s="48"/>
      <c r="CF428" s="48"/>
      <c r="CG428" s="48"/>
      <c r="CH428" s="48"/>
      <c r="CI428" s="48"/>
      <c r="CJ428" s="48"/>
      <c r="CK428" s="48"/>
      <c r="CL428" s="48"/>
      <c r="CM428" s="48"/>
      <c r="CN428" s="48"/>
      <c r="CO428" s="48"/>
      <c r="CP428" s="48"/>
      <c r="CQ428" s="48"/>
      <c r="CR428" s="48"/>
      <c r="CS428" s="48"/>
      <c r="CT428" s="48"/>
      <c r="CU428" s="48"/>
      <c r="CV428" s="48"/>
      <c r="CW428" s="48"/>
      <c r="CX428" s="48"/>
      <c r="CY428" s="48"/>
      <c r="CZ428" s="48"/>
      <c r="DA428" s="48"/>
      <c r="DB428" s="48"/>
      <c r="DC428" s="48"/>
      <c r="DD428" s="48"/>
      <c r="DE428" s="48"/>
      <c r="DF428" s="48"/>
      <c r="DG428" s="48"/>
      <c r="DH428" s="48"/>
      <c r="DI428" s="48"/>
      <c r="DJ428" s="48"/>
      <c r="DK428" s="48"/>
      <c r="DL428" s="48"/>
      <c r="DM428" s="48"/>
      <c r="DN428" s="48"/>
      <c r="DO428" s="48"/>
      <c r="DP428" s="48"/>
      <c r="DQ428" s="48"/>
      <c r="DR428" s="48"/>
      <c r="DS428" s="48"/>
    </row>
    <row r="429" spans="1:123" ht="15">
      <c r="A429"/>
      <c r="B429"/>
      <c r="C429"/>
      <c r="D429"/>
      <c r="E429"/>
      <c r="F429"/>
      <c r="G429"/>
      <c r="H429"/>
      <c r="I429"/>
      <c r="J429"/>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48"/>
      <c r="BW429" s="48"/>
      <c r="BX429" s="48"/>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48"/>
      <c r="CX429" s="48"/>
      <c r="CY429" s="48"/>
      <c r="CZ429" s="48"/>
      <c r="DA429" s="48"/>
      <c r="DB429" s="48"/>
      <c r="DC429" s="48"/>
      <c r="DD429" s="48"/>
      <c r="DE429" s="48"/>
      <c r="DF429" s="48"/>
      <c r="DG429" s="48"/>
      <c r="DH429" s="48"/>
      <c r="DI429" s="48"/>
      <c r="DJ429" s="48"/>
      <c r="DK429" s="48"/>
      <c r="DL429" s="48"/>
      <c r="DM429" s="48"/>
      <c r="DN429" s="48"/>
      <c r="DO429" s="48"/>
      <c r="DP429" s="48"/>
      <c r="DQ429" s="48"/>
      <c r="DR429" s="48"/>
      <c r="DS429" s="48"/>
    </row>
    <row r="430" spans="1:123" ht="15">
      <c r="A430"/>
      <c r="B430"/>
      <c r="C430"/>
      <c r="D430"/>
      <c r="E430"/>
      <c r="F430"/>
      <c r="G430"/>
      <c r="H430"/>
      <c r="I430"/>
      <c r="J430"/>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c r="BS430" s="48"/>
      <c r="BT430" s="48"/>
      <c r="BU430" s="48"/>
      <c r="BV430" s="48"/>
      <c r="BW430" s="48"/>
      <c r="BX430" s="48"/>
      <c r="BY430" s="48"/>
      <c r="BZ430" s="48"/>
      <c r="CA430" s="48"/>
      <c r="CB430" s="48"/>
      <c r="CC430" s="48"/>
      <c r="CD430" s="48"/>
      <c r="CE430" s="48"/>
      <c r="CF430" s="48"/>
      <c r="CG430" s="48"/>
      <c r="CH430" s="48"/>
      <c r="CI430" s="48"/>
      <c r="CJ430" s="48"/>
      <c r="CK430" s="48"/>
      <c r="CL430" s="48"/>
      <c r="CM430" s="48"/>
      <c r="CN430" s="48"/>
      <c r="CO430" s="48"/>
      <c r="CP430" s="48"/>
      <c r="CQ430" s="48"/>
      <c r="CR430" s="48"/>
      <c r="CS430" s="48"/>
      <c r="CT430" s="48"/>
      <c r="CU430" s="48"/>
      <c r="CV430" s="48"/>
      <c r="CW430" s="48"/>
      <c r="CX430" s="48"/>
      <c r="CY430" s="48"/>
      <c r="CZ430" s="48"/>
      <c r="DA430" s="48"/>
      <c r="DB430" s="48"/>
      <c r="DC430" s="48"/>
      <c r="DD430" s="48"/>
      <c r="DE430" s="48"/>
      <c r="DF430" s="48"/>
      <c r="DG430" s="48"/>
      <c r="DH430" s="48"/>
      <c r="DI430" s="48"/>
      <c r="DJ430" s="48"/>
      <c r="DK430" s="48"/>
      <c r="DL430" s="48"/>
      <c r="DM430" s="48"/>
      <c r="DN430" s="48"/>
      <c r="DO430" s="48"/>
      <c r="DP430" s="48"/>
      <c r="DQ430" s="48"/>
      <c r="DR430" s="48"/>
      <c r="DS430" s="48"/>
    </row>
    <row r="431" spans="1:123" ht="15">
      <c r="A431"/>
      <c r="B431"/>
      <c r="C431"/>
      <c r="D431"/>
      <c r="E431"/>
      <c r="F431"/>
      <c r="G431"/>
      <c r="H431"/>
      <c r="I431"/>
      <c r="J431"/>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48"/>
      <c r="BH431" s="48"/>
      <c r="BI431" s="48"/>
      <c r="BJ431" s="48"/>
      <c r="BK431" s="48"/>
      <c r="BL431" s="48"/>
      <c r="BM431" s="48"/>
      <c r="BN431" s="48"/>
      <c r="BO431" s="48"/>
      <c r="BP431" s="48"/>
      <c r="BQ431" s="48"/>
      <c r="BR431" s="48"/>
      <c r="BS431" s="48"/>
      <c r="BT431" s="48"/>
      <c r="BU431" s="48"/>
      <c r="BV431" s="48"/>
      <c r="BW431" s="48"/>
      <c r="BX431" s="48"/>
      <c r="BY431" s="48"/>
      <c r="BZ431" s="48"/>
      <c r="CA431" s="48"/>
      <c r="CB431" s="48"/>
      <c r="CC431" s="48"/>
      <c r="CD431" s="48"/>
      <c r="CE431" s="48"/>
      <c r="CF431" s="48"/>
      <c r="CG431" s="48"/>
      <c r="CH431" s="48"/>
      <c r="CI431" s="48"/>
      <c r="CJ431" s="48"/>
      <c r="CK431" s="48"/>
      <c r="CL431" s="48"/>
      <c r="CM431" s="48"/>
      <c r="CN431" s="48"/>
      <c r="CO431" s="48"/>
      <c r="CP431" s="48"/>
      <c r="CQ431" s="48"/>
      <c r="CR431" s="48"/>
      <c r="CS431" s="48"/>
      <c r="CT431" s="48"/>
      <c r="CU431" s="48"/>
      <c r="CV431" s="48"/>
      <c r="CW431" s="48"/>
      <c r="CX431" s="48"/>
      <c r="CY431" s="48"/>
      <c r="CZ431" s="48"/>
      <c r="DA431" s="48"/>
      <c r="DB431" s="48"/>
      <c r="DC431" s="48"/>
      <c r="DD431" s="48"/>
      <c r="DE431" s="48"/>
      <c r="DF431" s="48"/>
      <c r="DG431" s="48"/>
      <c r="DH431" s="48"/>
      <c r="DI431" s="48"/>
      <c r="DJ431" s="48"/>
      <c r="DK431" s="48"/>
      <c r="DL431" s="48"/>
      <c r="DM431" s="48"/>
      <c r="DN431" s="48"/>
      <c r="DO431" s="48"/>
      <c r="DP431" s="48"/>
      <c r="DQ431" s="48"/>
      <c r="DR431" s="48"/>
      <c r="DS431" s="48"/>
    </row>
    <row r="432" spans="1:123" ht="15">
      <c r="A432"/>
      <c r="B432"/>
      <c r="C432"/>
      <c r="D432"/>
      <c r="E432"/>
      <c r="F432"/>
      <c r="G432"/>
      <c r="H432"/>
      <c r="I432"/>
      <c r="J432"/>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c r="BO432" s="48"/>
      <c r="BP432" s="48"/>
      <c r="BQ432" s="48"/>
      <c r="BR432" s="48"/>
      <c r="BS432" s="48"/>
      <c r="BT432" s="48"/>
      <c r="BU432" s="48"/>
      <c r="BV432" s="48"/>
      <c r="BW432" s="48"/>
      <c r="BX432" s="48"/>
      <c r="BY432" s="48"/>
      <c r="BZ432" s="48"/>
      <c r="CA432" s="48"/>
      <c r="CB432" s="48"/>
      <c r="CC432" s="48"/>
      <c r="CD432" s="48"/>
      <c r="CE432" s="48"/>
      <c r="CF432" s="48"/>
      <c r="CG432" s="48"/>
      <c r="CH432" s="48"/>
      <c r="CI432" s="48"/>
      <c r="CJ432" s="48"/>
      <c r="CK432" s="48"/>
      <c r="CL432" s="48"/>
      <c r="CM432" s="48"/>
      <c r="CN432" s="48"/>
      <c r="CO432" s="48"/>
      <c r="CP432" s="48"/>
      <c r="CQ432" s="48"/>
      <c r="CR432" s="48"/>
      <c r="CS432" s="48"/>
      <c r="CT432" s="48"/>
      <c r="CU432" s="48"/>
      <c r="CV432" s="48"/>
      <c r="CW432" s="48"/>
      <c r="CX432" s="48"/>
      <c r="CY432" s="48"/>
      <c r="CZ432" s="48"/>
      <c r="DA432" s="48"/>
      <c r="DB432" s="48"/>
      <c r="DC432" s="48"/>
      <c r="DD432" s="48"/>
      <c r="DE432" s="48"/>
      <c r="DF432" s="48"/>
      <c r="DG432" s="48"/>
      <c r="DH432" s="48"/>
      <c r="DI432" s="48"/>
      <c r="DJ432" s="48"/>
      <c r="DK432" s="48"/>
      <c r="DL432" s="48"/>
      <c r="DM432" s="48"/>
      <c r="DN432" s="48"/>
      <c r="DO432" s="48"/>
      <c r="DP432" s="48"/>
      <c r="DQ432" s="48"/>
      <c r="DR432" s="48"/>
      <c r="DS432" s="48"/>
    </row>
    <row r="433" spans="1:123" ht="15">
      <c r="A433"/>
      <c r="B433"/>
      <c r="C433"/>
      <c r="D433"/>
      <c r="E433"/>
      <c r="F433"/>
      <c r="G433"/>
      <c r="H433"/>
      <c r="I433"/>
      <c r="J433"/>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c r="BO433" s="48"/>
      <c r="BP433" s="48"/>
      <c r="BQ433" s="48"/>
      <c r="BR433" s="48"/>
      <c r="BS433" s="48"/>
      <c r="BT433" s="48"/>
      <c r="BU433" s="48"/>
      <c r="BV433" s="48"/>
      <c r="BW433" s="48"/>
      <c r="BX433" s="48"/>
      <c r="BY433" s="48"/>
      <c r="BZ433" s="48"/>
      <c r="CA433" s="48"/>
      <c r="CB433" s="48"/>
      <c r="CC433" s="48"/>
      <c r="CD433" s="48"/>
      <c r="CE433" s="48"/>
      <c r="CF433" s="48"/>
      <c r="CG433" s="48"/>
      <c r="CH433" s="48"/>
      <c r="CI433" s="48"/>
      <c r="CJ433" s="48"/>
      <c r="CK433" s="48"/>
      <c r="CL433" s="48"/>
      <c r="CM433" s="48"/>
      <c r="CN433" s="48"/>
      <c r="CO433" s="48"/>
      <c r="CP433" s="48"/>
      <c r="CQ433" s="48"/>
      <c r="CR433" s="48"/>
      <c r="CS433" s="48"/>
      <c r="CT433" s="48"/>
      <c r="CU433" s="48"/>
      <c r="CV433" s="48"/>
      <c r="CW433" s="48"/>
      <c r="CX433" s="48"/>
      <c r="CY433" s="48"/>
      <c r="CZ433" s="48"/>
      <c r="DA433" s="48"/>
      <c r="DB433" s="48"/>
      <c r="DC433" s="48"/>
      <c r="DD433" s="48"/>
      <c r="DE433" s="48"/>
      <c r="DF433" s="48"/>
      <c r="DG433" s="48"/>
      <c r="DH433" s="48"/>
      <c r="DI433" s="48"/>
      <c r="DJ433" s="48"/>
      <c r="DK433" s="48"/>
      <c r="DL433" s="48"/>
      <c r="DM433" s="48"/>
      <c r="DN433" s="48"/>
      <c r="DO433" s="48"/>
      <c r="DP433" s="48"/>
      <c r="DQ433" s="48"/>
      <c r="DR433" s="48"/>
      <c r="DS433" s="48"/>
    </row>
    <row r="434" spans="1:123" ht="15">
      <c r="A434"/>
      <c r="B434"/>
      <c r="C434"/>
      <c r="D434"/>
      <c r="E434"/>
      <c r="F434"/>
      <c r="G434"/>
      <c r="H434"/>
      <c r="I434"/>
      <c r="J434"/>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c r="BO434" s="48"/>
      <c r="BP434" s="48"/>
      <c r="BQ434" s="48"/>
      <c r="BR434" s="48"/>
      <c r="BS434" s="48"/>
      <c r="BT434" s="48"/>
      <c r="BU434" s="48"/>
      <c r="BV434" s="48"/>
      <c r="BW434" s="48"/>
      <c r="BX434" s="48"/>
      <c r="BY434" s="48"/>
      <c r="BZ434" s="48"/>
      <c r="CA434" s="48"/>
      <c r="CB434" s="48"/>
      <c r="CC434" s="48"/>
      <c r="CD434" s="48"/>
      <c r="CE434" s="48"/>
      <c r="CF434" s="48"/>
      <c r="CG434" s="48"/>
      <c r="CH434" s="48"/>
      <c r="CI434" s="48"/>
      <c r="CJ434" s="48"/>
      <c r="CK434" s="48"/>
      <c r="CL434" s="48"/>
      <c r="CM434" s="48"/>
      <c r="CN434" s="48"/>
      <c r="CO434" s="48"/>
      <c r="CP434" s="48"/>
      <c r="CQ434" s="48"/>
      <c r="CR434" s="48"/>
      <c r="CS434" s="48"/>
      <c r="CT434" s="48"/>
      <c r="CU434" s="48"/>
      <c r="CV434" s="48"/>
      <c r="CW434" s="48"/>
      <c r="CX434" s="48"/>
      <c r="CY434" s="48"/>
      <c r="CZ434" s="48"/>
      <c r="DA434" s="48"/>
      <c r="DB434" s="48"/>
      <c r="DC434" s="48"/>
      <c r="DD434" s="48"/>
      <c r="DE434" s="48"/>
      <c r="DF434" s="48"/>
      <c r="DG434" s="48"/>
      <c r="DH434" s="48"/>
      <c r="DI434" s="48"/>
      <c r="DJ434" s="48"/>
      <c r="DK434" s="48"/>
      <c r="DL434" s="48"/>
      <c r="DM434" s="48"/>
      <c r="DN434" s="48"/>
      <c r="DO434" s="48"/>
      <c r="DP434" s="48"/>
      <c r="DQ434" s="48"/>
      <c r="DR434" s="48"/>
      <c r="DS434" s="48"/>
    </row>
    <row r="435" spans="1:123" ht="15">
      <c r="A435"/>
      <c r="B435"/>
      <c r="C435"/>
      <c r="D435"/>
      <c r="E435"/>
      <c r="F435"/>
      <c r="G435"/>
      <c r="H435"/>
      <c r="I435"/>
      <c r="J435"/>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48"/>
      <c r="BW435" s="48"/>
      <c r="BX435" s="48"/>
      <c r="BY435" s="48"/>
      <c r="BZ435" s="48"/>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48"/>
      <c r="CX435" s="48"/>
      <c r="CY435" s="48"/>
      <c r="CZ435" s="48"/>
      <c r="DA435" s="48"/>
      <c r="DB435" s="48"/>
      <c r="DC435" s="48"/>
      <c r="DD435" s="48"/>
      <c r="DE435" s="48"/>
      <c r="DF435" s="48"/>
      <c r="DG435" s="48"/>
      <c r="DH435" s="48"/>
      <c r="DI435" s="48"/>
      <c r="DJ435" s="48"/>
      <c r="DK435" s="48"/>
      <c r="DL435" s="48"/>
      <c r="DM435" s="48"/>
      <c r="DN435" s="48"/>
      <c r="DO435" s="48"/>
      <c r="DP435" s="48"/>
      <c r="DQ435" s="48"/>
      <c r="DR435" s="48"/>
      <c r="DS435" s="48"/>
    </row>
    <row r="436" spans="1:123" ht="15">
      <c r="A436"/>
      <c r="B436"/>
      <c r="C436"/>
      <c r="D436"/>
      <c r="E436"/>
      <c r="F436"/>
      <c r="G436"/>
      <c r="H436"/>
      <c r="I436"/>
      <c r="J436"/>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48"/>
      <c r="BH436" s="48"/>
      <c r="BI436" s="48"/>
      <c r="BJ436" s="48"/>
      <c r="BK436" s="48"/>
      <c r="BL436" s="48"/>
      <c r="BM436" s="48"/>
      <c r="BN436" s="48"/>
      <c r="BO436" s="48"/>
      <c r="BP436" s="48"/>
      <c r="BQ436" s="48"/>
      <c r="BR436" s="48"/>
      <c r="BS436" s="48"/>
      <c r="BT436" s="48"/>
      <c r="BU436" s="48"/>
      <c r="BV436" s="48"/>
      <c r="BW436" s="48"/>
      <c r="BX436" s="48"/>
      <c r="BY436" s="48"/>
      <c r="BZ436" s="48"/>
      <c r="CA436" s="48"/>
      <c r="CB436" s="48"/>
      <c r="CC436" s="48"/>
      <c r="CD436" s="48"/>
      <c r="CE436" s="48"/>
      <c r="CF436" s="48"/>
      <c r="CG436" s="48"/>
      <c r="CH436" s="48"/>
      <c r="CI436" s="48"/>
      <c r="CJ436" s="48"/>
      <c r="CK436" s="48"/>
      <c r="CL436" s="48"/>
      <c r="CM436" s="48"/>
      <c r="CN436" s="48"/>
      <c r="CO436" s="48"/>
      <c r="CP436" s="48"/>
      <c r="CQ436" s="48"/>
      <c r="CR436" s="48"/>
      <c r="CS436" s="48"/>
      <c r="CT436" s="48"/>
      <c r="CU436" s="48"/>
      <c r="CV436" s="48"/>
      <c r="CW436" s="48"/>
      <c r="CX436" s="48"/>
      <c r="CY436" s="48"/>
      <c r="CZ436" s="48"/>
      <c r="DA436" s="48"/>
      <c r="DB436" s="48"/>
      <c r="DC436" s="48"/>
      <c r="DD436" s="48"/>
      <c r="DE436" s="48"/>
      <c r="DF436" s="48"/>
      <c r="DG436" s="48"/>
      <c r="DH436" s="48"/>
      <c r="DI436" s="48"/>
      <c r="DJ436" s="48"/>
      <c r="DK436" s="48"/>
      <c r="DL436" s="48"/>
      <c r="DM436" s="48"/>
      <c r="DN436" s="48"/>
      <c r="DO436" s="48"/>
      <c r="DP436" s="48"/>
      <c r="DQ436" s="48"/>
      <c r="DR436" s="48"/>
      <c r="DS436" s="48"/>
    </row>
    <row r="437" spans="1:123" ht="15">
      <c r="A437"/>
      <c r="B437"/>
      <c r="C437"/>
      <c r="D437"/>
      <c r="E437"/>
      <c r="F437"/>
      <c r="G437"/>
      <c r="H437"/>
      <c r="I437"/>
      <c r="J437"/>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c r="BM437" s="48"/>
      <c r="BN437" s="48"/>
      <c r="BO437" s="48"/>
      <c r="BP437" s="48"/>
      <c r="BQ437" s="48"/>
      <c r="BR437" s="48"/>
      <c r="BS437" s="48"/>
      <c r="BT437" s="48"/>
      <c r="BU437" s="48"/>
      <c r="BV437" s="48"/>
      <c r="BW437" s="48"/>
      <c r="BX437" s="48"/>
      <c r="BY437" s="48"/>
      <c r="BZ437" s="48"/>
      <c r="CA437" s="48"/>
      <c r="CB437" s="48"/>
      <c r="CC437" s="48"/>
      <c r="CD437" s="48"/>
      <c r="CE437" s="48"/>
      <c r="CF437" s="48"/>
      <c r="CG437" s="48"/>
      <c r="CH437" s="48"/>
      <c r="CI437" s="48"/>
      <c r="CJ437" s="48"/>
      <c r="CK437" s="48"/>
      <c r="CL437" s="48"/>
      <c r="CM437" s="48"/>
      <c r="CN437" s="48"/>
      <c r="CO437" s="48"/>
      <c r="CP437" s="48"/>
      <c r="CQ437" s="48"/>
      <c r="CR437" s="48"/>
      <c r="CS437" s="48"/>
      <c r="CT437" s="48"/>
      <c r="CU437" s="48"/>
      <c r="CV437" s="48"/>
      <c r="CW437" s="48"/>
      <c r="CX437" s="48"/>
      <c r="CY437" s="48"/>
      <c r="CZ437" s="48"/>
      <c r="DA437" s="48"/>
      <c r="DB437" s="48"/>
      <c r="DC437" s="48"/>
      <c r="DD437" s="48"/>
      <c r="DE437" s="48"/>
      <c r="DF437" s="48"/>
      <c r="DG437" s="48"/>
      <c r="DH437" s="48"/>
      <c r="DI437" s="48"/>
      <c r="DJ437" s="48"/>
      <c r="DK437" s="48"/>
      <c r="DL437" s="48"/>
      <c r="DM437" s="48"/>
      <c r="DN437" s="48"/>
      <c r="DO437" s="48"/>
      <c r="DP437" s="48"/>
      <c r="DQ437" s="48"/>
      <c r="DR437" s="48"/>
      <c r="DS437" s="48"/>
    </row>
    <row r="438" spans="1:123" ht="15">
      <c r="A438"/>
      <c r="B438"/>
      <c r="C438"/>
      <c r="D438"/>
      <c r="E438"/>
      <c r="F438"/>
      <c r="G438"/>
      <c r="H438"/>
      <c r="I438"/>
      <c r="J43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48"/>
      <c r="BW438" s="48"/>
      <c r="BX438" s="48"/>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c r="CW438" s="48"/>
      <c r="CX438" s="48"/>
      <c r="CY438" s="48"/>
      <c r="CZ438" s="48"/>
      <c r="DA438" s="48"/>
      <c r="DB438" s="48"/>
      <c r="DC438" s="48"/>
      <c r="DD438" s="48"/>
      <c r="DE438" s="48"/>
      <c r="DF438" s="48"/>
      <c r="DG438" s="48"/>
      <c r="DH438" s="48"/>
      <c r="DI438" s="48"/>
      <c r="DJ438" s="48"/>
      <c r="DK438" s="48"/>
      <c r="DL438" s="48"/>
      <c r="DM438" s="48"/>
      <c r="DN438" s="48"/>
      <c r="DO438" s="48"/>
      <c r="DP438" s="48"/>
      <c r="DQ438" s="48"/>
      <c r="DR438" s="48"/>
      <c r="DS438" s="48"/>
    </row>
    <row r="439" spans="1:123" ht="15">
      <c r="A439"/>
      <c r="B439"/>
      <c r="C439"/>
      <c r="D439"/>
      <c r="E439"/>
      <c r="F439"/>
      <c r="G439"/>
      <c r="H439"/>
      <c r="I439"/>
      <c r="J439"/>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48"/>
      <c r="BH439" s="48"/>
      <c r="BI439" s="48"/>
      <c r="BJ439" s="48"/>
      <c r="BK439" s="48"/>
      <c r="BL439" s="48"/>
      <c r="BM439" s="48"/>
      <c r="BN439" s="48"/>
      <c r="BO439" s="48"/>
      <c r="BP439" s="48"/>
      <c r="BQ439" s="48"/>
      <c r="BR439" s="48"/>
      <c r="BS439" s="48"/>
      <c r="BT439" s="48"/>
      <c r="BU439" s="48"/>
      <c r="BV439" s="48"/>
      <c r="BW439" s="48"/>
      <c r="BX439" s="48"/>
      <c r="BY439" s="48"/>
      <c r="BZ439" s="48"/>
      <c r="CA439" s="48"/>
      <c r="CB439" s="48"/>
      <c r="CC439" s="48"/>
      <c r="CD439" s="48"/>
      <c r="CE439" s="48"/>
      <c r="CF439" s="48"/>
      <c r="CG439" s="48"/>
      <c r="CH439" s="48"/>
      <c r="CI439" s="48"/>
      <c r="CJ439" s="48"/>
      <c r="CK439" s="48"/>
      <c r="CL439" s="48"/>
      <c r="CM439" s="48"/>
      <c r="CN439" s="48"/>
      <c r="CO439" s="48"/>
      <c r="CP439" s="48"/>
      <c r="CQ439" s="48"/>
      <c r="CR439" s="48"/>
      <c r="CS439" s="48"/>
      <c r="CT439" s="48"/>
      <c r="CU439" s="48"/>
      <c r="CV439" s="48"/>
      <c r="CW439" s="48"/>
      <c r="CX439" s="48"/>
      <c r="CY439" s="48"/>
      <c r="CZ439" s="48"/>
      <c r="DA439" s="48"/>
      <c r="DB439" s="48"/>
      <c r="DC439" s="48"/>
      <c r="DD439" s="48"/>
      <c r="DE439" s="48"/>
      <c r="DF439" s="48"/>
      <c r="DG439" s="48"/>
      <c r="DH439" s="48"/>
      <c r="DI439" s="48"/>
      <c r="DJ439" s="48"/>
      <c r="DK439" s="48"/>
      <c r="DL439" s="48"/>
      <c r="DM439" s="48"/>
      <c r="DN439" s="48"/>
      <c r="DO439" s="48"/>
      <c r="DP439" s="48"/>
      <c r="DQ439" s="48"/>
      <c r="DR439" s="48"/>
      <c r="DS439" s="48"/>
    </row>
    <row r="440" spans="1:123" ht="15">
      <c r="A440"/>
      <c r="B440"/>
      <c r="C440"/>
      <c r="D440"/>
      <c r="E440"/>
      <c r="F440"/>
      <c r="G440"/>
      <c r="H440"/>
      <c r="I440"/>
      <c r="J440"/>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c r="BM440" s="48"/>
      <c r="BN440" s="48"/>
      <c r="BO440" s="48"/>
      <c r="BP440" s="48"/>
      <c r="BQ440" s="48"/>
      <c r="BR440" s="48"/>
      <c r="BS440" s="48"/>
      <c r="BT440" s="48"/>
      <c r="BU440" s="48"/>
      <c r="BV440" s="48"/>
      <c r="BW440" s="48"/>
      <c r="BX440" s="48"/>
      <c r="BY440" s="48"/>
      <c r="BZ440" s="48"/>
      <c r="CA440" s="48"/>
      <c r="CB440" s="48"/>
      <c r="CC440" s="48"/>
      <c r="CD440" s="48"/>
      <c r="CE440" s="48"/>
      <c r="CF440" s="48"/>
      <c r="CG440" s="48"/>
      <c r="CH440" s="48"/>
      <c r="CI440" s="48"/>
      <c r="CJ440" s="48"/>
      <c r="CK440" s="48"/>
      <c r="CL440" s="48"/>
      <c r="CM440" s="48"/>
      <c r="CN440" s="48"/>
      <c r="CO440" s="48"/>
      <c r="CP440" s="48"/>
      <c r="CQ440" s="48"/>
      <c r="CR440" s="48"/>
      <c r="CS440" s="48"/>
      <c r="CT440" s="48"/>
      <c r="CU440" s="48"/>
      <c r="CV440" s="48"/>
      <c r="CW440" s="48"/>
      <c r="CX440" s="48"/>
      <c r="CY440" s="48"/>
      <c r="CZ440" s="48"/>
      <c r="DA440" s="48"/>
      <c r="DB440" s="48"/>
      <c r="DC440" s="48"/>
      <c r="DD440" s="48"/>
      <c r="DE440" s="48"/>
      <c r="DF440" s="48"/>
      <c r="DG440" s="48"/>
      <c r="DH440" s="48"/>
      <c r="DI440" s="48"/>
      <c r="DJ440" s="48"/>
      <c r="DK440" s="48"/>
      <c r="DL440" s="48"/>
      <c r="DM440" s="48"/>
      <c r="DN440" s="48"/>
      <c r="DO440" s="48"/>
      <c r="DP440" s="48"/>
      <c r="DQ440" s="48"/>
      <c r="DR440" s="48"/>
      <c r="DS440" s="48"/>
    </row>
    <row r="441" spans="1:123" ht="15">
      <c r="A441"/>
      <c r="B441"/>
      <c r="C441"/>
      <c r="D441"/>
      <c r="E441"/>
      <c r="F441"/>
      <c r="G441"/>
      <c r="H441"/>
      <c r="I441"/>
      <c r="J441"/>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48"/>
      <c r="BH441" s="48"/>
      <c r="BI441" s="48"/>
      <c r="BJ441" s="48"/>
      <c r="BK441" s="48"/>
      <c r="BL441" s="48"/>
      <c r="BM441" s="48"/>
      <c r="BN441" s="48"/>
      <c r="BO441" s="48"/>
      <c r="BP441" s="48"/>
      <c r="BQ441" s="48"/>
      <c r="BR441" s="48"/>
      <c r="BS441" s="48"/>
      <c r="BT441" s="48"/>
      <c r="BU441" s="48"/>
      <c r="BV441" s="48"/>
      <c r="BW441" s="48"/>
      <c r="BX441" s="48"/>
      <c r="BY441" s="48"/>
      <c r="BZ441" s="48"/>
      <c r="CA441" s="48"/>
      <c r="CB441" s="48"/>
      <c r="CC441" s="48"/>
      <c r="CD441" s="48"/>
      <c r="CE441" s="48"/>
      <c r="CF441" s="48"/>
      <c r="CG441" s="48"/>
      <c r="CH441" s="48"/>
      <c r="CI441" s="48"/>
      <c r="CJ441" s="48"/>
      <c r="CK441" s="48"/>
      <c r="CL441" s="48"/>
      <c r="CM441" s="48"/>
      <c r="CN441" s="48"/>
      <c r="CO441" s="48"/>
      <c r="CP441" s="48"/>
      <c r="CQ441" s="48"/>
      <c r="CR441" s="48"/>
      <c r="CS441" s="48"/>
      <c r="CT441" s="48"/>
      <c r="CU441" s="48"/>
      <c r="CV441" s="48"/>
      <c r="CW441" s="48"/>
      <c r="CX441" s="48"/>
      <c r="CY441" s="48"/>
      <c r="CZ441" s="48"/>
      <c r="DA441" s="48"/>
      <c r="DB441" s="48"/>
      <c r="DC441" s="48"/>
      <c r="DD441" s="48"/>
      <c r="DE441" s="48"/>
      <c r="DF441" s="48"/>
      <c r="DG441" s="48"/>
      <c r="DH441" s="48"/>
      <c r="DI441" s="48"/>
      <c r="DJ441" s="48"/>
      <c r="DK441" s="48"/>
      <c r="DL441" s="48"/>
      <c r="DM441" s="48"/>
      <c r="DN441" s="48"/>
      <c r="DO441" s="48"/>
      <c r="DP441" s="48"/>
      <c r="DQ441" s="48"/>
      <c r="DR441" s="48"/>
      <c r="DS441" s="48"/>
    </row>
    <row r="442" spans="1:123" ht="15">
      <c r="A442"/>
      <c r="B442"/>
      <c r="C442"/>
      <c r="D442"/>
      <c r="E442"/>
      <c r="F442"/>
      <c r="G442"/>
      <c r="H442"/>
      <c r="I442"/>
      <c r="J442"/>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48"/>
      <c r="BJ442" s="48"/>
      <c r="BK442" s="48"/>
      <c r="BL442" s="48"/>
      <c r="BM442" s="48"/>
      <c r="BN442" s="48"/>
      <c r="BO442" s="48"/>
      <c r="BP442" s="48"/>
      <c r="BQ442" s="48"/>
      <c r="BR442" s="48"/>
      <c r="BS442" s="48"/>
      <c r="BT442" s="48"/>
      <c r="BU442" s="48"/>
      <c r="BV442" s="48"/>
      <c r="BW442" s="48"/>
      <c r="BX442" s="48"/>
      <c r="BY442" s="48"/>
      <c r="BZ442" s="48"/>
      <c r="CA442" s="48"/>
      <c r="CB442" s="48"/>
      <c r="CC442" s="48"/>
      <c r="CD442" s="48"/>
      <c r="CE442" s="48"/>
      <c r="CF442" s="48"/>
      <c r="CG442" s="48"/>
      <c r="CH442" s="48"/>
      <c r="CI442" s="48"/>
      <c r="CJ442" s="48"/>
      <c r="CK442" s="48"/>
      <c r="CL442" s="48"/>
      <c r="CM442" s="48"/>
      <c r="CN442" s="48"/>
      <c r="CO442" s="48"/>
      <c r="CP442" s="48"/>
      <c r="CQ442" s="48"/>
      <c r="CR442" s="48"/>
      <c r="CS442" s="48"/>
      <c r="CT442" s="48"/>
      <c r="CU442" s="48"/>
      <c r="CV442" s="48"/>
      <c r="CW442" s="48"/>
      <c r="CX442" s="48"/>
      <c r="CY442" s="48"/>
      <c r="CZ442" s="48"/>
      <c r="DA442" s="48"/>
      <c r="DB442" s="48"/>
      <c r="DC442" s="48"/>
      <c r="DD442" s="48"/>
      <c r="DE442" s="48"/>
      <c r="DF442" s="48"/>
      <c r="DG442" s="48"/>
      <c r="DH442" s="48"/>
      <c r="DI442" s="48"/>
      <c r="DJ442" s="48"/>
      <c r="DK442" s="48"/>
      <c r="DL442" s="48"/>
      <c r="DM442" s="48"/>
      <c r="DN442" s="48"/>
      <c r="DO442" s="48"/>
      <c r="DP442" s="48"/>
      <c r="DQ442" s="48"/>
      <c r="DR442" s="48"/>
      <c r="DS442" s="48"/>
    </row>
    <row r="443" spans="1:123" ht="15">
      <c r="A443"/>
      <c r="B443"/>
      <c r="C443"/>
      <c r="D443"/>
      <c r="E443"/>
      <c r="F443"/>
      <c r="G443"/>
      <c r="H443"/>
      <c r="I443"/>
      <c r="J443"/>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48"/>
      <c r="BJ443" s="48"/>
      <c r="BK443" s="48"/>
      <c r="BL443" s="48"/>
      <c r="BM443" s="48"/>
      <c r="BN443" s="48"/>
      <c r="BO443" s="48"/>
      <c r="BP443" s="48"/>
      <c r="BQ443" s="48"/>
      <c r="BR443" s="48"/>
      <c r="BS443" s="48"/>
      <c r="BT443" s="48"/>
      <c r="BU443" s="48"/>
      <c r="BV443" s="48"/>
      <c r="BW443" s="48"/>
      <c r="BX443" s="48"/>
      <c r="BY443" s="48"/>
      <c r="BZ443" s="48"/>
      <c r="CA443" s="48"/>
      <c r="CB443" s="48"/>
      <c r="CC443" s="48"/>
      <c r="CD443" s="48"/>
      <c r="CE443" s="48"/>
      <c r="CF443" s="48"/>
      <c r="CG443" s="48"/>
      <c r="CH443" s="48"/>
      <c r="CI443" s="48"/>
      <c r="CJ443" s="48"/>
      <c r="CK443" s="48"/>
      <c r="CL443" s="48"/>
      <c r="CM443" s="48"/>
      <c r="CN443" s="48"/>
      <c r="CO443" s="48"/>
      <c r="CP443" s="48"/>
      <c r="CQ443" s="48"/>
      <c r="CR443" s="48"/>
      <c r="CS443" s="48"/>
      <c r="CT443" s="48"/>
      <c r="CU443" s="48"/>
      <c r="CV443" s="48"/>
      <c r="CW443" s="48"/>
      <c r="CX443" s="48"/>
      <c r="CY443" s="48"/>
      <c r="CZ443" s="48"/>
      <c r="DA443" s="48"/>
      <c r="DB443" s="48"/>
      <c r="DC443" s="48"/>
      <c r="DD443" s="48"/>
      <c r="DE443" s="48"/>
      <c r="DF443" s="48"/>
      <c r="DG443" s="48"/>
      <c r="DH443" s="48"/>
      <c r="DI443" s="48"/>
      <c r="DJ443" s="48"/>
      <c r="DK443" s="48"/>
      <c r="DL443" s="48"/>
      <c r="DM443" s="48"/>
      <c r="DN443" s="48"/>
      <c r="DO443" s="48"/>
      <c r="DP443" s="48"/>
      <c r="DQ443" s="48"/>
      <c r="DR443" s="48"/>
      <c r="DS443" s="48"/>
    </row>
    <row r="444" spans="1:123" ht="15">
      <c r="A444"/>
      <c r="B444"/>
      <c r="C444"/>
      <c r="D444"/>
      <c r="E444"/>
      <c r="F444"/>
      <c r="G444"/>
      <c r="H444"/>
      <c r="I444"/>
      <c r="J444"/>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48"/>
      <c r="BW444" s="48"/>
      <c r="BX444" s="48"/>
      <c r="BY444" s="48"/>
      <c r="BZ444" s="48"/>
      <c r="CA444" s="48"/>
      <c r="CB444" s="48"/>
      <c r="CC444" s="48"/>
      <c r="CD444" s="48"/>
      <c r="CE444" s="48"/>
      <c r="CF444" s="48"/>
      <c r="CG444" s="48"/>
      <c r="CH444" s="48"/>
      <c r="CI444" s="48"/>
      <c r="CJ444" s="48"/>
      <c r="CK444" s="48"/>
      <c r="CL444" s="48"/>
      <c r="CM444" s="48"/>
      <c r="CN444" s="48"/>
      <c r="CO444" s="48"/>
      <c r="CP444" s="48"/>
      <c r="CQ444" s="48"/>
      <c r="CR444" s="48"/>
      <c r="CS444" s="48"/>
      <c r="CT444" s="48"/>
      <c r="CU444" s="48"/>
      <c r="CV444" s="48"/>
      <c r="CW444" s="48"/>
      <c r="CX444" s="48"/>
      <c r="CY444" s="48"/>
      <c r="CZ444" s="48"/>
      <c r="DA444" s="48"/>
      <c r="DB444" s="48"/>
      <c r="DC444" s="48"/>
      <c r="DD444" s="48"/>
      <c r="DE444" s="48"/>
      <c r="DF444" s="48"/>
      <c r="DG444" s="48"/>
      <c r="DH444" s="48"/>
      <c r="DI444" s="48"/>
      <c r="DJ444" s="48"/>
      <c r="DK444" s="48"/>
      <c r="DL444" s="48"/>
      <c r="DM444" s="48"/>
      <c r="DN444" s="48"/>
      <c r="DO444" s="48"/>
      <c r="DP444" s="48"/>
      <c r="DQ444" s="48"/>
      <c r="DR444" s="48"/>
      <c r="DS444" s="48"/>
    </row>
    <row r="445" spans="1:123" ht="15">
      <c r="A445"/>
      <c r="B445"/>
      <c r="C445"/>
      <c r="D445"/>
      <c r="E445"/>
      <c r="F445"/>
      <c r="G445"/>
      <c r="H445"/>
      <c r="I445"/>
      <c r="J445"/>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48"/>
      <c r="BJ445" s="48"/>
      <c r="BK445" s="48"/>
      <c r="BL445" s="48"/>
      <c r="BM445" s="48"/>
      <c r="BN445" s="48"/>
      <c r="BO445" s="48"/>
      <c r="BP445" s="48"/>
      <c r="BQ445" s="48"/>
      <c r="BR445" s="48"/>
      <c r="BS445" s="48"/>
      <c r="BT445" s="48"/>
      <c r="BU445" s="48"/>
      <c r="BV445" s="48"/>
      <c r="BW445" s="48"/>
      <c r="BX445" s="48"/>
      <c r="BY445" s="48"/>
      <c r="BZ445" s="48"/>
      <c r="CA445" s="48"/>
      <c r="CB445" s="48"/>
      <c r="CC445" s="48"/>
      <c r="CD445" s="48"/>
      <c r="CE445" s="48"/>
      <c r="CF445" s="48"/>
      <c r="CG445" s="48"/>
      <c r="CH445" s="48"/>
      <c r="CI445" s="48"/>
      <c r="CJ445" s="48"/>
      <c r="CK445" s="48"/>
      <c r="CL445" s="48"/>
      <c r="CM445" s="48"/>
      <c r="CN445" s="48"/>
      <c r="CO445" s="48"/>
      <c r="CP445" s="48"/>
      <c r="CQ445" s="48"/>
      <c r="CR445" s="48"/>
      <c r="CS445" s="48"/>
      <c r="CT445" s="48"/>
      <c r="CU445" s="48"/>
      <c r="CV445" s="48"/>
      <c r="CW445" s="48"/>
      <c r="CX445" s="48"/>
      <c r="CY445" s="48"/>
      <c r="CZ445" s="48"/>
      <c r="DA445" s="48"/>
      <c r="DB445" s="48"/>
      <c r="DC445" s="48"/>
      <c r="DD445" s="48"/>
      <c r="DE445" s="48"/>
      <c r="DF445" s="48"/>
      <c r="DG445" s="48"/>
      <c r="DH445" s="48"/>
      <c r="DI445" s="48"/>
      <c r="DJ445" s="48"/>
      <c r="DK445" s="48"/>
      <c r="DL445" s="48"/>
      <c r="DM445" s="48"/>
      <c r="DN445" s="48"/>
      <c r="DO445" s="48"/>
      <c r="DP445" s="48"/>
      <c r="DQ445" s="48"/>
      <c r="DR445" s="48"/>
      <c r="DS445" s="48"/>
    </row>
    <row r="446" spans="1:123" ht="15">
      <c r="A446"/>
      <c r="B446"/>
      <c r="C446"/>
      <c r="D446"/>
      <c r="E446"/>
      <c r="F446"/>
      <c r="G446"/>
      <c r="H446"/>
      <c r="I446"/>
      <c r="J446"/>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48"/>
      <c r="BH446" s="48"/>
      <c r="BI446" s="48"/>
      <c r="BJ446" s="48"/>
      <c r="BK446" s="48"/>
      <c r="BL446" s="48"/>
      <c r="BM446" s="48"/>
      <c r="BN446" s="48"/>
      <c r="BO446" s="48"/>
      <c r="BP446" s="48"/>
      <c r="BQ446" s="48"/>
      <c r="BR446" s="48"/>
      <c r="BS446" s="48"/>
      <c r="BT446" s="48"/>
      <c r="BU446" s="48"/>
      <c r="BV446" s="48"/>
      <c r="BW446" s="48"/>
      <c r="BX446" s="48"/>
      <c r="BY446" s="48"/>
      <c r="BZ446" s="48"/>
      <c r="CA446" s="48"/>
      <c r="CB446" s="48"/>
      <c r="CC446" s="48"/>
      <c r="CD446" s="48"/>
      <c r="CE446" s="48"/>
      <c r="CF446" s="48"/>
      <c r="CG446" s="48"/>
      <c r="CH446" s="48"/>
      <c r="CI446" s="48"/>
      <c r="CJ446" s="48"/>
      <c r="CK446" s="48"/>
      <c r="CL446" s="48"/>
      <c r="CM446" s="48"/>
      <c r="CN446" s="48"/>
      <c r="CO446" s="48"/>
      <c r="CP446" s="48"/>
      <c r="CQ446" s="48"/>
      <c r="CR446" s="48"/>
      <c r="CS446" s="48"/>
      <c r="CT446" s="48"/>
      <c r="CU446" s="48"/>
      <c r="CV446" s="48"/>
      <c r="CW446" s="48"/>
      <c r="CX446" s="48"/>
      <c r="CY446" s="48"/>
      <c r="CZ446" s="48"/>
      <c r="DA446" s="48"/>
      <c r="DB446" s="48"/>
      <c r="DC446" s="48"/>
      <c r="DD446" s="48"/>
      <c r="DE446" s="48"/>
      <c r="DF446" s="48"/>
      <c r="DG446" s="48"/>
      <c r="DH446" s="48"/>
      <c r="DI446" s="48"/>
      <c r="DJ446" s="48"/>
      <c r="DK446" s="48"/>
      <c r="DL446" s="48"/>
      <c r="DM446" s="48"/>
      <c r="DN446" s="48"/>
      <c r="DO446" s="48"/>
      <c r="DP446" s="48"/>
      <c r="DQ446" s="48"/>
      <c r="DR446" s="48"/>
      <c r="DS446" s="48"/>
    </row>
    <row r="447" spans="1:123" ht="15">
      <c r="A447"/>
      <c r="B447"/>
      <c r="C447"/>
      <c r="D447"/>
      <c r="E447"/>
      <c r="F447"/>
      <c r="G447"/>
      <c r="H447"/>
      <c r="I447"/>
      <c r="J447"/>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48"/>
      <c r="BJ447" s="48"/>
      <c r="BK447" s="48"/>
      <c r="BL447" s="48"/>
      <c r="BM447" s="48"/>
      <c r="BN447" s="48"/>
      <c r="BO447" s="48"/>
      <c r="BP447" s="48"/>
      <c r="BQ447" s="48"/>
      <c r="BR447" s="48"/>
      <c r="BS447" s="48"/>
      <c r="BT447" s="48"/>
      <c r="BU447" s="48"/>
      <c r="BV447" s="48"/>
      <c r="BW447" s="48"/>
      <c r="BX447" s="48"/>
      <c r="BY447" s="48"/>
      <c r="BZ447" s="48"/>
      <c r="CA447" s="48"/>
      <c r="CB447" s="48"/>
      <c r="CC447" s="48"/>
      <c r="CD447" s="48"/>
      <c r="CE447" s="48"/>
      <c r="CF447" s="48"/>
      <c r="CG447" s="48"/>
      <c r="CH447" s="48"/>
      <c r="CI447" s="48"/>
      <c r="CJ447" s="48"/>
      <c r="CK447" s="48"/>
      <c r="CL447" s="48"/>
      <c r="CM447" s="48"/>
      <c r="CN447" s="48"/>
      <c r="CO447" s="48"/>
      <c r="CP447" s="48"/>
      <c r="CQ447" s="48"/>
      <c r="CR447" s="48"/>
      <c r="CS447" s="48"/>
      <c r="CT447" s="48"/>
      <c r="CU447" s="48"/>
      <c r="CV447" s="48"/>
      <c r="CW447" s="48"/>
      <c r="CX447" s="48"/>
      <c r="CY447" s="48"/>
      <c r="CZ447" s="48"/>
      <c r="DA447" s="48"/>
      <c r="DB447" s="48"/>
      <c r="DC447" s="48"/>
      <c r="DD447" s="48"/>
      <c r="DE447" s="48"/>
      <c r="DF447" s="48"/>
      <c r="DG447" s="48"/>
      <c r="DH447" s="48"/>
      <c r="DI447" s="48"/>
      <c r="DJ447" s="48"/>
      <c r="DK447" s="48"/>
      <c r="DL447" s="48"/>
      <c r="DM447" s="48"/>
      <c r="DN447" s="48"/>
      <c r="DO447" s="48"/>
      <c r="DP447" s="48"/>
      <c r="DQ447" s="48"/>
      <c r="DR447" s="48"/>
      <c r="DS447" s="48"/>
    </row>
    <row r="448" spans="1:123" ht="15">
      <c r="A448"/>
      <c r="B448"/>
      <c r="C448"/>
      <c r="D448"/>
      <c r="E448"/>
      <c r="F448"/>
      <c r="G448"/>
      <c r="H448"/>
      <c r="I448"/>
      <c r="J4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c r="BS448" s="48"/>
      <c r="BT448" s="48"/>
      <c r="BU448" s="48"/>
      <c r="BV448" s="48"/>
      <c r="BW448" s="48"/>
      <c r="BX448" s="48"/>
      <c r="BY448" s="48"/>
      <c r="BZ448" s="48"/>
      <c r="CA448" s="48"/>
      <c r="CB448" s="48"/>
      <c r="CC448" s="48"/>
      <c r="CD448" s="48"/>
      <c r="CE448" s="48"/>
      <c r="CF448" s="48"/>
      <c r="CG448" s="48"/>
      <c r="CH448" s="48"/>
      <c r="CI448" s="48"/>
      <c r="CJ448" s="48"/>
      <c r="CK448" s="48"/>
      <c r="CL448" s="48"/>
      <c r="CM448" s="48"/>
      <c r="CN448" s="48"/>
      <c r="CO448" s="48"/>
      <c r="CP448" s="48"/>
      <c r="CQ448" s="48"/>
      <c r="CR448" s="48"/>
      <c r="CS448" s="48"/>
      <c r="CT448" s="48"/>
      <c r="CU448" s="48"/>
      <c r="CV448" s="48"/>
      <c r="CW448" s="48"/>
      <c r="CX448" s="48"/>
      <c r="CY448" s="48"/>
      <c r="CZ448" s="48"/>
      <c r="DA448" s="48"/>
      <c r="DB448" s="48"/>
      <c r="DC448" s="48"/>
      <c r="DD448" s="48"/>
      <c r="DE448" s="48"/>
      <c r="DF448" s="48"/>
      <c r="DG448" s="48"/>
      <c r="DH448" s="48"/>
      <c r="DI448" s="48"/>
      <c r="DJ448" s="48"/>
      <c r="DK448" s="48"/>
      <c r="DL448" s="48"/>
      <c r="DM448" s="48"/>
      <c r="DN448" s="48"/>
      <c r="DO448" s="48"/>
      <c r="DP448" s="48"/>
      <c r="DQ448" s="48"/>
      <c r="DR448" s="48"/>
      <c r="DS448" s="48"/>
    </row>
    <row r="449" spans="1:123" ht="15">
      <c r="A449"/>
      <c r="B449"/>
      <c r="C449"/>
      <c r="D449"/>
      <c r="E449"/>
      <c r="F449"/>
      <c r="G449"/>
      <c r="H449"/>
      <c r="I449"/>
      <c r="J449"/>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48"/>
      <c r="BJ449" s="48"/>
      <c r="BK449" s="48"/>
      <c r="BL449" s="48"/>
      <c r="BM449" s="48"/>
      <c r="BN449" s="48"/>
      <c r="BO449" s="48"/>
      <c r="BP449" s="48"/>
      <c r="BQ449" s="48"/>
      <c r="BR449" s="48"/>
      <c r="BS449" s="48"/>
      <c r="BT449" s="48"/>
      <c r="BU449" s="48"/>
      <c r="BV449" s="48"/>
      <c r="BW449" s="48"/>
      <c r="BX449" s="48"/>
      <c r="BY449" s="48"/>
      <c r="BZ449" s="48"/>
      <c r="CA449" s="48"/>
      <c r="CB449" s="48"/>
      <c r="CC449" s="48"/>
      <c r="CD449" s="48"/>
      <c r="CE449" s="48"/>
      <c r="CF449" s="48"/>
      <c r="CG449" s="48"/>
      <c r="CH449" s="48"/>
      <c r="CI449" s="48"/>
      <c r="CJ449" s="48"/>
      <c r="CK449" s="48"/>
      <c r="CL449" s="48"/>
      <c r="CM449" s="48"/>
      <c r="CN449" s="48"/>
      <c r="CO449" s="48"/>
      <c r="CP449" s="48"/>
      <c r="CQ449" s="48"/>
      <c r="CR449" s="48"/>
      <c r="CS449" s="48"/>
      <c r="CT449" s="48"/>
      <c r="CU449" s="48"/>
      <c r="CV449" s="48"/>
      <c r="CW449" s="48"/>
      <c r="CX449" s="48"/>
      <c r="CY449" s="48"/>
      <c r="CZ449" s="48"/>
      <c r="DA449" s="48"/>
      <c r="DB449" s="48"/>
      <c r="DC449" s="48"/>
      <c r="DD449" s="48"/>
      <c r="DE449" s="48"/>
      <c r="DF449" s="48"/>
      <c r="DG449" s="48"/>
      <c r="DH449" s="48"/>
      <c r="DI449" s="48"/>
      <c r="DJ449" s="48"/>
      <c r="DK449" s="48"/>
      <c r="DL449" s="48"/>
      <c r="DM449" s="48"/>
      <c r="DN449" s="48"/>
      <c r="DO449" s="48"/>
      <c r="DP449" s="48"/>
      <c r="DQ449" s="48"/>
      <c r="DR449" s="48"/>
      <c r="DS449" s="48"/>
    </row>
    <row r="450" spans="1:123" ht="15">
      <c r="A450"/>
      <c r="B450"/>
      <c r="C450"/>
      <c r="D450"/>
      <c r="E450"/>
      <c r="F450"/>
      <c r="G450"/>
      <c r="H450"/>
      <c r="I450"/>
      <c r="J450"/>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c r="BS450" s="48"/>
      <c r="BT450" s="48"/>
      <c r="BU450" s="48"/>
      <c r="BV450" s="48"/>
      <c r="BW450" s="48"/>
      <c r="BX450" s="48"/>
      <c r="BY450" s="48"/>
      <c r="BZ450" s="48"/>
      <c r="CA450" s="48"/>
      <c r="CB450" s="48"/>
      <c r="CC450" s="48"/>
      <c r="CD450" s="48"/>
      <c r="CE450" s="48"/>
      <c r="CF450" s="48"/>
      <c r="CG450" s="48"/>
      <c r="CH450" s="48"/>
      <c r="CI450" s="48"/>
      <c r="CJ450" s="48"/>
      <c r="CK450" s="48"/>
      <c r="CL450" s="48"/>
      <c r="CM450" s="48"/>
      <c r="CN450" s="48"/>
      <c r="CO450" s="48"/>
      <c r="CP450" s="48"/>
      <c r="CQ450" s="48"/>
      <c r="CR450" s="48"/>
      <c r="CS450" s="48"/>
      <c r="CT450" s="48"/>
      <c r="CU450" s="48"/>
      <c r="CV450" s="48"/>
      <c r="CW450" s="48"/>
      <c r="CX450" s="48"/>
      <c r="CY450" s="48"/>
      <c r="CZ450" s="48"/>
      <c r="DA450" s="48"/>
      <c r="DB450" s="48"/>
      <c r="DC450" s="48"/>
      <c r="DD450" s="48"/>
      <c r="DE450" s="48"/>
      <c r="DF450" s="48"/>
      <c r="DG450" s="48"/>
      <c r="DH450" s="48"/>
      <c r="DI450" s="48"/>
      <c r="DJ450" s="48"/>
      <c r="DK450" s="48"/>
      <c r="DL450" s="48"/>
      <c r="DM450" s="48"/>
      <c r="DN450" s="48"/>
      <c r="DO450" s="48"/>
      <c r="DP450" s="48"/>
      <c r="DQ450" s="48"/>
      <c r="DR450" s="48"/>
      <c r="DS450" s="48"/>
    </row>
    <row r="451" spans="1:123" ht="15">
      <c r="A451"/>
      <c r="B451"/>
      <c r="C451"/>
      <c r="D451"/>
      <c r="E451"/>
      <c r="F451"/>
      <c r="G451"/>
      <c r="H451"/>
      <c r="I451"/>
      <c r="J451"/>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c r="BM451" s="48"/>
      <c r="BN451" s="48"/>
      <c r="BO451" s="48"/>
      <c r="BP451" s="48"/>
      <c r="BQ451" s="48"/>
      <c r="BR451" s="48"/>
      <c r="BS451" s="48"/>
      <c r="BT451" s="48"/>
      <c r="BU451" s="48"/>
      <c r="BV451" s="48"/>
      <c r="BW451" s="48"/>
      <c r="BX451" s="48"/>
      <c r="BY451" s="48"/>
      <c r="BZ451" s="48"/>
      <c r="CA451" s="48"/>
      <c r="CB451" s="48"/>
      <c r="CC451" s="48"/>
      <c r="CD451" s="48"/>
      <c r="CE451" s="48"/>
      <c r="CF451" s="48"/>
      <c r="CG451" s="48"/>
      <c r="CH451" s="48"/>
      <c r="CI451" s="48"/>
      <c r="CJ451" s="48"/>
      <c r="CK451" s="48"/>
      <c r="CL451" s="48"/>
      <c r="CM451" s="48"/>
      <c r="CN451" s="48"/>
      <c r="CO451" s="48"/>
      <c r="CP451" s="48"/>
      <c r="CQ451" s="48"/>
      <c r="CR451" s="48"/>
      <c r="CS451" s="48"/>
      <c r="CT451" s="48"/>
      <c r="CU451" s="48"/>
      <c r="CV451" s="48"/>
      <c r="CW451" s="48"/>
      <c r="CX451" s="48"/>
      <c r="CY451" s="48"/>
      <c r="CZ451" s="48"/>
      <c r="DA451" s="48"/>
      <c r="DB451" s="48"/>
      <c r="DC451" s="48"/>
      <c r="DD451" s="48"/>
      <c r="DE451" s="48"/>
      <c r="DF451" s="48"/>
      <c r="DG451" s="48"/>
      <c r="DH451" s="48"/>
      <c r="DI451" s="48"/>
      <c r="DJ451" s="48"/>
      <c r="DK451" s="48"/>
      <c r="DL451" s="48"/>
      <c r="DM451" s="48"/>
      <c r="DN451" s="48"/>
      <c r="DO451" s="48"/>
      <c r="DP451" s="48"/>
      <c r="DQ451" s="48"/>
      <c r="DR451" s="48"/>
      <c r="DS451" s="48"/>
    </row>
    <row r="452" spans="1:123" ht="15">
      <c r="A452"/>
      <c r="B452"/>
      <c r="C452"/>
      <c r="D452"/>
      <c r="E452"/>
      <c r="F452"/>
      <c r="G452"/>
      <c r="H452"/>
      <c r="I452"/>
      <c r="J452"/>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48"/>
      <c r="BJ452" s="48"/>
      <c r="BK452" s="48"/>
      <c r="BL452" s="48"/>
      <c r="BM452" s="48"/>
      <c r="BN452" s="48"/>
      <c r="BO452" s="48"/>
      <c r="BP452" s="48"/>
      <c r="BQ452" s="48"/>
      <c r="BR452" s="48"/>
      <c r="BS452" s="48"/>
      <c r="BT452" s="48"/>
      <c r="BU452" s="48"/>
      <c r="BV452" s="48"/>
      <c r="BW452" s="48"/>
      <c r="BX452" s="48"/>
      <c r="BY452" s="48"/>
      <c r="BZ452" s="48"/>
      <c r="CA452" s="48"/>
      <c r="CB452" s="48"/>
      <c r="CC452" s="48"/>
      <c r="CD452" s="48"/>
      <c r="CE452" s="48"/>
      <c r="CF452" s="48"/>
      <c r="CG452" s="48"/>
      <c r="CH452" s="48"/>
      <c r="CI452" s="48"/>
      <c r="CJ452" s="48"/>
      <c r="CK452" s="48"/>
      <c r="CL452" s="48"/>
      <c r="CM452" s="48"/>
      <c r="CN452" s="48"/>
      <c r="CO452" s="48"/>
      <c r="CP452" s="48"/>
      <c r="CQ452" s="48"/>
      <c r="CR452" s="48"/>
      <c r="CS452" s="48"/>
      <c r="CT452" s="48"/>
      <c r="CU452" s="48"/>
      <c r="CV452" s="48"/>
      <c r="CW452" s="48"/>
      <c r="CX452" s="48"/>
      <c r="CY452" s="48"/>
      <c r="CZ452" s="48"/>
      <c r="DA452" s="48"/>
      <c r="DB452" s="48"/>
      <c r="DC452" s="48"/>
      <c r="DD452" s="48"/>
      <c r="DE452" s="48"/>
      <c r="DF452" s="48"/>
      <c r="DG452" s="48"/>
      <c r="DH452" s="48"/>
      <c r="DI452" s="48"/>
      <c r="DJ452" s="48"/>
      <c r="DK452" s="48"/>
      <c r="DL452" s="48"/>
      <c r="DM452" s="48"/>
      <c r="DN452" s="48"/>
      <c r="DO452" s="48"/>
      <c r="DP452" s="48"/>
      <c r="DQ452" s="48"/>
      <c r="DR452" s="48"/>
      <c r="DS452" s="48"/>
    </row>
    <row r="453" spans="1:123" ht="15">
      <c r="A453"/>
      <c r="B453"/>
      <c r="C453"/>
      <c r="D453"/>
      <c r="E453"/>
      <c r="F453"/>
      <c r="G453"/>
      <c r="H453"/>
      <c r="I453"/>
      <c r="J453"/>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48"/>
      <c r="BJ453" s="48"/>
      <c r="BK453" s="48"/>
      <c r="BL453" s="48"/>
      <c r="BM453" s="48"/>
      <c r="BN453" s="48"/>
      <c r="BO453" s="48"/>
      <c r="BP453" s="48"/>
      <c r="BQ453" s="48"/>
      <c r="BR453" s="48"/>
      <c r="BS453" s="48"/>
      <c r="BT453" s="48"/>
      <c r="BU453" s="48"/>
      <c r="BV453" s="48"/>
      <c r="BW453" s="48"/>
      <c r="BX453" s="48"/>
      <c r="BY453" s="48"/>
      <c r="BZ453" s="48"/>
      <c r="CA453" s="48"/>
      <c r="CB453" s="48"/>
      <c r="CC453" s="48"/>
      <c r="CD453" s="48"/>
      <c r="CE453" s="48"/>
      <c r="CF453" s="48"/>
      <c r="CG453" s="48"/>
      <c r="CH453" s="48"/>
      <c r="CI453" s="48"/>
      <c r="CJ453" s="48"/>
      <c r="CK453" s="48"/>
      <c r="CL453" s="48"/>
      <c r="CM453" s="48"/>
      <c r="CN453" s="48"/>
      <c r="CO453" s="48"/>
      <c r="CP453" s="48"/>
      <c r="CQ453" s="48"/>
      <c r="CR453" s="48"/>
      <c r="CS453" s="48"/>
      <c r="CT453" s="48"/>
      <c r="CU453" s="48"/>
      <c r="CV453" s="48"/>
      <c r="CW453" s="48"/>
      <c r="CX453" s="48"/>
      <c r="CY453" s="48"/>
      <c r="CZ453" s="48"/>
      <c r="DA453" s="48"/>
      <c r="DB453" s="48"/>
      <c r="DC453" s="48"/>
      <c r="DD453" s="48"/>
      <c r="DE453" s="48"/>
      <c r="DF453" s="48"/>
      <c r="DG453" s="48"/>
      <c r="DH453" s="48"/>
      <c r="DI453" s="48"/>
      <c r="DJ453" s="48"/>
      <c r="DK453" s="48"/>
      <c r="DL453" s="48"/>
      <c r="DM453" s="48"/>
      <c r="DN453" s="48"/>
      <c r="DO453" s="48"/>
      <c r="DP453" s="48"/>
      <c r="DQ453" s="48"/>
      <c r="DR453" s="48"/>
      <c r="DS453" s="48"/>
    </row>
    <row r="454" spans="1:123" ht="15">
      <c r="A454"/>
      <c r="B454"/>
      <c r="C454"/>
      <c r="D454"/>
      <c r="E454"/>
      <c r="F454"/>
      <c r="G454"/>
      <c r="H454"/>
      <c r="I454"/>
      <c r="J454"/>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c r="BS454" s="48"/>
      <c r="BT454" s="48"/>
      <c r="BU454" s="48"/>
      <c r="BV454" s="48"/>
      <c r="BW454" s="48"/>
      <c r="BX454" s="48"/>
      <c r="BY454" s="48"/>
      <c r="BZ454" s="48"/>
      <c r="CA454" s="48"/>
      <c r="CB454" s="48"/>
      <c r="CC454" s="48"/>
      <c r="CD454" s="48"/>
      <c r="CE454" s="48"/>
      <c r="CF454" s="48"/>
      <c r="CG454" s="48"/>
      <c r="CH454" s="48"/>
      <c r="CI454" s="48"/>
      <c r="CJ454" s="48"/>
      <c r="CK454" s="48"/>
      <c r="CL454" s="48"/>
      <c r="CM454" s="48"/>
      <c r="CN454" s="48"/>
      <c r="CO454" s="48"/>
      <c r="CP454" s="48"/>
      <c r="CQ454" s="48"/>
      <c r="CR454" s="48"/>
      <c r="CS454" s="48"/>
      <c r="CT454" s="48"/>
      <c r="CU454" s="48"/>
      <c r="CV454" s="48"/>
      <c r="CW454" s="48"/>
      <c r="CX454" s="48"/>
      <c r="CY454" s="48"/>
      <c r="CZ454" s="48"/>
      <c r="DA454" s="48"/>
      <c r="DB454" s="48"/>
      <c r="DC454" s="48"/>
      <c r="DD454" s="48"/>
      <c r="DE454" s="48"/>
      <c r="DF454" s="48"/>
      <c r="DG454" s="48"/>
      <c r="DH454" s="48"/>
      <c r="DI454" s="48"/>
      <c r="DJ454" s="48"/>
      <c r="DK454" s="48"/>
      <c r="DL454" s="48"/>
      <c r="DM454" s="48"/>
      <c r="DN454" s="48"/>
      <c r="DO454" s="48"/>
      <c r="DP454" s="48"/>
      <c r="DQ454" s="48"/>
      <c r="DR454" s="48"/>
      <c r="DS454" s="48"/>
    </row>
    <row r="455" spans="1:123" ht="15">
      <c r="A455"/>
      <c r="B455"/>
      <c r="C455"/>
      <c r="D455"/>
      <c r="E455"/>
      <c r="F455"/>
      <c r="G455"/>
      <c r="H455"/>
      <c r="I455"/>
      <c r="J455"/>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48"/>
      <c r="BJ455" s="48"/>
      <c r="BK455" s="48"/>
      <c r="BL455" s="48"/>
      <c r="BM455" s="48"/>
      <c r="BN455" s="48"/>
      <c r="BO455" s="48"/>
      <c r="BP455" s="48"/>
      <c r="BQ455" s="48"/>
      <c r="BR455" s="48"/>
      <c r="BS455" s="48"/>
      <c r="BT455" s="48"/>
      <c r="BU455" s="48"/>
      <c r="BV455" s="48"/>
      <c r="BW455" s="48"/>
      <c r="BX455" s="48"/>
      <c r="BY455" s="48"/>
      <c r="BZ455" s="48"/>
      <c r="CA455" s="48"/>
      <c r="CB455" s="48"/>
      <c r="CC455" s="48"/>
      <c r="CD455" s="48"/>
      <c r="CE455" s="48"/>
      <c r="CF455" s="48"/>
      <c r="CG455" s="48"/>
      <c r="CH455" s="48"/>
      <c r="CI455" s="48"/>
      <c r="CJ455" s="48"/>
      <c r="CK455" s="48"/>
      <c r="CL455" s="48"/>
      <c r="CM455" s="48"/>
      <c r="CN455" s="48"/>
      <c r="CO455" s="48"/>
      <c r="CP455" s="48"/>
      <c r="CQ455" s="48"/>
      <c r="CR455" s="48"/>
      <c r="CS455" s="48"/>
      <c r="CT455" s="48"/>
      <c r="CU455" s="48"/>
      <c r="CV455" s="48"/>
      <c r="CW455" s="48"/>
      <c r="CX455" s="48"/>
      <c r="CY455" s="48"/>
      <c r="CZ455" s="48"/>
      <c r="DA455" s="48"/>
      <c r="DB455" s="48"/>
      <c r="DC455" s="48"/>
      <c r="DD455" s="48"/>
      <c r="DE455" s="48"/>
      <c r="DF455" s="48"/>
      <c r="DG455" s="48"/>
      <c r="DH455" s="48"/>
      <c r="DI455" s="48"/>
      <c r="DJ455" s="48"/>
      <c r="DK455" s="48"/>
      <c r="DL455" s="48"/>
      <c r="DM455" s="48"/>
      <c r="DN455" s="48"/>
      <c r="DO455" s="48"/>
      <c r="DP455" s="48"/>
      <c r="DQ455" s="48"/>
      <c r="DR455" s="48"/>
      <c r="DS455" s="48"/>
    </row>
    <row r="456" spans="1:123" ht="15">
      <c r="A456"/>
      <c r="B456"/>
      <c r="C456"/>
      <c r="D456"/>
      <c r="E456"/>
      <c r="F456"/>
      <c r="G456"/>
      <c r="H456"/>
      <c r="I456"/>
      <c r="J456"/>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48"/>
      <c r="BH456" s="48"/>
      <c r="BI456" s="48"/>
      <c r="BJ456" s="48"/>
      <c r="BK456" s="48"/>
      <c r="BL456" s="48"/>
      <c r="BM456" s="48"/>
      <c r="BN456" s="48"/>
      <c r="BO456" s="48"/>
      <c r="BP456" s="48"/>
      <c r="BQ456" s="48"/>
      <c r="BR456" s="48"/>
      <c r="BS456" s="48"/>
      <c r="BT456" s="48"/>
      <c r="BU456" s="48"/>
      <c r="BV456" s="48"/>
      <c r="BW456" s="48"/>
      <c r="BX456" s="48"/>
      <c r="BY456" s="48"/>
      <c r="BZ456" s="48"/>
      <c r="CA456" s="48"/>
      <c r="CB456" s="48"/>
      <c r="CC456" s="48"/>
      <c r="CD456" s="48"/>
      <c r="CE456" s="48"/>
      <c r="CF456" s="48"/>
      <c r="CG456" s="48"/>
      <c r="CH456" s="48"/>
      <c r="CI456" s="48"/>
      <c r="CJ456" s="48"/>
      <c r="CK456" s="48"/>
      <c r="CL456" s="48"/>
      <c r="CM456" s="48"/>
      <c r="CN456" s="48"/>
      <c r="CO456" s="48"/>
      <c r="CP456" s="48"/>
      <c r="CQ456" s="48"/>
      <c r="CR456" s="48"/>
      <c r="CS456" s="48"/>
      <c r="CT456" s="48"/>
      <c r="CU456" s="48"/>
      <c r="CV456" s="48"/>
      <c r="CW456" s="48"/>
      <c r="CX456" s="48"/>
      <c r="CY456" s="48"/>
      <c r="CZ456" s="48"/>
      <c r="DA456" s="48"/>
      <c r="DB456" s="48"/>
      <c r="DC456" s="48"/>
      <c r="DD456" s="48"/>
      <c r="DE456" s="48"/>
      <c r="DF456" s="48"/>
      <c r="DG456" s="48"/>
      <c r="DH456" s="48"/>
      <c r="DI456" s="48"/>
      <c r="DJ456" s="48"/>
      <c r="DK456" s="48"/>
      <c r="DL456" s="48"/>
      <c r="DM456" s="48"/>
      <c r="DN456" s="48"/>
      <c r="DO456" s="48"/>
      <c r="DP456" s="48"/>
      <c r="DQ456" s="48"/>
      <c r="DR456" s="48"/>
      <c r="DS456" s="48"/>
    </row>
    <row r="457" spans="1:123" ht="15">
      <c r="A457"/>
      <c r="B457"/>
      <c r="C457"/>
      <c r="D457"/>
      <c r="E457"/>
      <c r="F457"/>
      <c r="G457"/>
      <c r="H457"/>
      <c r="I457"/>
      <c r="J457"/>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48"/>
      <c r="BH457" s="48"/>
      <c r="BI457" s="48"/>
      <c r="BJ457" s="48"/>
      <c r="BK457" s="48"/>
      <c r="BL457" s="48"/>
      <c r="BM457" s="48"/>
      <c r="BN457" s="48"/>
      <c r="BO457" s="48"/>
      <c r="BP457" s="48"/>
      <c r="BQ457" s="48"/>
      <c r="BR457" s="48"/>
      <c r="BS457" s="48"/>
      <c r="BT457" s="48"/>
      <c r="BU457" s="48"/>
      <c r="BV457" s="48"/>
      <c r="BW457" s="48"/>
      <c r="BX457" s="48"/>
      <c r="BY457" s="48"/>
      <c r="BZ457" s="48"/>
      <c r="CA457" s="48"/>
      <c r="CB457" s="48"/>
      <c r="CC457" s="48"/>
      <c r="CD457" s="48"/>
      <c r="CE457" s="48"/>
      <c r="CF457" s="48"/>
      <c r="CG457" s="48"/>
      <c r="CH457" s="48"/>
      <c r="CI457" s="48"/>
      <c r="CJ457" s="48"/>
      <c r="CK457" s="48"/>
      <c r="CL457" s="48"/>
      <c r="CM457" s="48"/>
      <c r="CN457" s="48"/>
      <c r="CO457" s="48"/>
      <c r="CP457" s="48"/>
      <c r="CQ457" s="48"/>
      <c r="CR457" s="48"/>
      <c r="CS457" s="48"/>
      <c r="CT457" s="48"/>
      <c r="CU457" s="48"/>
      <c r="CV457" s="48"/>
      <c r="CW457" s="48"/>
      <c r="CX457" s="48"/>
      <c r="CY457" s="48"/>
      <c r="CZ457" s="48"/>
      <c r="DA457" s="48"/>
      <c r="DB457" s="48"/>
      <c r="DC457" s="48"/>
      <c r="DD457" s="48"/>
      <c r="DE457" s="48"/>
      <c r="DF457" s="48"/>
      <c r="DG457" s="48"/>
      <c r="DH457" s="48"/>
      <c r="DI457" s="48"/>
      <c r="DJ457" s="48"/>
      <c r="DK457" s="48"/>
      <c r="DL457" s="48"/>
      <c r="DM457" s="48"/>
      <c r="DN457" s="48"/>
      <c r="DO457" s="48"/>
      <c r="DP457" s="48"/>
      <c r="DQ457" s="48"/>
      <c r="DR457" s="48"/>
      <c r="DS457" s="48"/>
    </row>
    <row r="458" spans="1:123" ht="15">
      <c r="A458"/>
      <c r="B458"/>
      <c r="C458"/>
      <c r="D458"/>
      <c r="E458"/>
      <c r="F458"/>
      <c r="G458"/>
      <c r="H458"/>
      <c r="I458"/>
      <c r="J45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48"/>
      <c r="BH458" s="48"/>
      <c r="BI458" s="48"/>
      <c r="BJ458" s="48"/>
      <c r="BK458" s="48"/>
      <c r="BL458" s="48"/>
      <c r="BM458" s="48"/>
      <c r="BN458" s="48"/>
      <c r="BO458" s="48"/>
      <c r="BP458" s="48"/>
      <c r="BQ458" s="48"/>
      <c r="BR458" s="48"/>
      <c r="BS458" s="48"/>
      <c r="BT458" s="48"/>
      <c r="BU458" s="48"/>
      <c r="BV458" s="48"/>
      <c r="BW458" s="48"/>
      <c r="BX458" s="48"/>
      <c r="BY458" s="48"/>
      <c r="BZ458" s="48"/>
      <c r="CA458" s="48"/>
      <c r="CB458" s="48"/>
      <c r="CC458" s="48"/>
      <c r="CD458" s="48"/>
      <c r="CE458" s="48"/>
      <c r="CF458" s="48"/>
      <c r="CG458" s="48"/>
      <c r="CH458" s="48"/>
      <c r="CI458" s="48"/>
      <c r="CJ458" s="48"/>
      <c r="CK458" s="48"/>
      <c r="CL458" s="48"/>
      <c r="CM458" s="48"/>
      <c r="CN458" s="48"/>
      <c r="CO458" s="48"/>
      <c r="CP458" s="48"/>
      <c r="CQ458" s="48"/>
      <c r="CR458" s="48"/>
      <c r="CS458" s="48"/>
      <c r="CT458" s="48"/>
      <c r="CU458" s="48"/>
      <c r="CV458" s="48"/>
      <c r="CW458" s="48"/>
      <c r="CX458" s="48"/>
      <c r="CY458" s="48"/>
      <c r="CZ458" s="48"/>
      <c r="DA458" s="48"/>
      <c r="DB458" s="48"/>
      <c r="DC458" s="48"/>
      <c r="DD458" s="48"/>
      <c r="DE458" s="48"/>
      <c r="DF458" s="48"/>
      <c r="DG458" s="48"/>
      <c r="DH458" s="48"/>
      <c r="DI458" s="48"/>
      <c r="DJ458" s="48"/>
      <c r="DK458" s="48"/>
      <c r="DL458" s="48"/>
      <c r="DM458" s="48"/>
      <c r="DN458" s="48"/>
      <c r="DO458" s="48"/>
      <c r="DP458" s="48"/>
      <c r="DQ458" s="48"/>
      <c r="DR458" s="48"/>
      <c r="DS458" s="48"/>
    </row>
    <row r="459" spans="1:123" ht="15">
      <c r="A459"/>
      <c r="B459"/>
      <c r="C459"/>
      <c r="D459"/>
      <c r="E459"/>
      <c r="F459"/>
      <c r="G459"/>
      <c r="H459"/>
      <c r="I459"/>
      <c r="J459"/>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48"/>
      <c r="BH459" s="48"/>
      <c r="BI459" s="48"/>
      <c r="BJ459" s="48"/>
      <c r="BK459" s="48"/>
      <c r="BL459" s="48"/>
      <c r="BM459" s="48"/>
      <c r="BN459" s="48"/>
      <c r="BO459" s="48"/>
      <c r="BP459" s="48"/>
      <c r="BQ459" s="48"/>
      <c r="BR459" s="48"/>
      <c r="BS459" s="48"/>
      <c r="BT459" s="48"/>
      <c r="BU459" s="48"/>
      <c r="BV459" s="48"/>
      <c r="BW459" s="48"/>
      <c r="BX459" s="48"/>
      <c r="BY459" s="48"/>
      <c r="BZ459" s="48"/>
      <c r="CA459" s="48"/>
      <c r="CB459" s="48"/>
      <c r="CC459" s="48"/>
      <c r="CD459" s="48"/>
      <c r="CE459" s="48"/>
      <c r="CF459" s="48"/>
      <c r="CG459" s="48"/>
      <c r="CH459" s="48"/>
      <c r="CI459" s="48"/>
      <c r="CJ459" s="48"/>
      <c r="CK459" s="48"/>
      <c r="CL459" s="48"/>
      <c r="CM459" s="48"/>
      <c r="CN459" s="48"/>
      <c r="CO459" s="48"/>
      <c r="CP459" s="48"/>
      <c r="CQ459" s="48"/>
      <c r="CR459" s="48"/>
      <c r="CS459" s="48"/>
      <c r="CT459" s="48"/>
      <c r="CU459" s="48"/>
      <c r="CV459" s="48"/>
      <c r="CW459" s="48"/>
      <c r="CX459" s="48"/>
      <c r="CY459" s="48"/>
      <c r="CZ459" s="48"/>
      <c r="DA459" s="48"/>
      <c r="DB459" s="48"/>
      <c r="DC459" s="48"/>
      <c r="DD459" s="48"/>
      <c r="DE459" s="48"/>
      <c r="DF459" s="48"/>
      <c r="DG459" s="48"/>
      <c r="DH459" s="48"/>
      <c r="DI459" s="48"/>
      <c r="DJ459" s="48"/>
      <c r="DK459" s="48"/>
      <c r="DL459" s="48"/>
      <c r="DM459" s="48"/>
      <c r="DN459" s="48"/>
      <c r="DO459" s="48"/>
      <c r="DP459" s="48"/>
      <c r="DQ459" s="48"/>
      <c r="DR459" s="48"/>
      <c r="DS459" s="48"/>
    </row>
    <row r="460" spans="1:123" ht="15">
      <c r="A460"/>
      <c r="B460"/>
      <c r="C460"/>
      <c r="D460"/>
      <c r="E460"/>
      <c r="F460"/>
      <c r="G460"/>
      <c r="H460"/>
      <c r="I460"/>
      <c r="J460"/>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48"/>
      <c r="BJ460" s="48"/>
      <c r="BK460" s="48"/>
      <c r="BL460" s="48"/>
      <c r="BM460" s="48"/>
      <c r="BN460" s="48"/>
      <c r="BO460" s="48"/>
      <c r="BP460" s="48"/>
      <c r="BQ460" s="48"/>
      <c r="BR460" s="48"/>
      <c r="BS460" s="48"/>
      <c r="BT460" s="48"/>
      <c r="BU460" s="48"/>
      <c r="BV460" s="48"/>
      <c r="BW460" s="48"/>
      <c r="BX460" s="48"/>
      <c r="BY460" s="48"/>
      <c r="BZ460" s="48"/>
      <c r="CA460" s="48"/>
      <c r="CB460" s="48"/>
      <c r="CC460" s="48"/>
      <c r="CD460" s="48"/>
      <c r="CE460" s="48"/>
      <c r="CF460" s="48"/>
      <c r="CG460" s="48"/>
      <c r="CH460" s="48"/>
      <c r="CI460" s="48"/>
      <c r="CJ460" s="48"/>
      <c r="CK460" s="48"/>
      <c r="CL460" s="48"/>
      <c r="CM460" s="48"/>
      <c r="CN460" s="48"/>
      <c r="CO460" s="48"/>
      <c r="CP460" s="48"/>
      <c r="CQ460" s="48"/>
      <c r="CR460" s="48"/>
      <c r="CS460" s="48"/>
      <c r="CT460" s="48"/>
      <c r="CU460" s="48"/>
      <c r="CV460" s="48"/>
      <c r="CW460" s="48"/>
      <c r="CX460" s="48"/>
      <c r="CY460" s="48"/>
      <c r="CZ460" s="48"/>
      <c r="DA460" s="48"/>
      <c r="DB460" s="48"/>
      <c r="DC460" s="48"/>
      <c r="DD460" s="48"/>
      <c r="DE460" s="48"/>
      <c r="DF460" s="48"/>
      <c r="DG460" s="48"/>
      <c r="DH460" s="48"/>
      <c r="DI460" s="48"/>
      <c r="DJ460" s="48"/>
      <c r="DK460" s="48"/>
      <c r="DL460" s="48"/>
      <c r="DM460" s="48"/>
      <c r="DN460" s="48"/>
      <c r="DO460" s="48"/>
      <c r="DP460" s="48"/>
      <c r="DQ460" s="48"/>
      <c r="DR460" s="48"/>
      <c r="DS460" s="48"/>
    </row>
    <row r="461" spans="1:123" ht="15">
      <c r="A461"/>
      <c r="B461"/>
      <c r="C461"/>
      <c r="D461"/>
      <c r="E461"/>
      <c r="F461"/>
      <c r="G461"/>
      <c r="H461"/>
      <c r="I461"/>
      <c r="J461"/>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48"/>
      <c r="BH461" s="48"/>
      <c r="BI461" s="48"/>
      <c r="BJ461" s="48"/>
      <c r="BK461" s="48"/>
      <c r="BL461" s="48"/>
      <c r="BM461" s="48"/>
      <c r="BN461" s="48"/>
      <c r="BO461" s="48"/>
      <c r="BP461" s="48"/>
      <c r="BQ461" s="48"/>
      <c r="BR461" s="48"/>
      <c r="BS461" s="48"/>
      <c r="BT461" s="48"/>
      <c r="BU461" s="48"/>
      <c r="BV461" s="48"/>
      <c r="BW461" s="48"/>
      <c r="BX461" s="48"/>
      <c r="BY461" s="48"/>
      <c r="BZ461" s="48"/>
      <c r="CA461" s="48"/>
      <c r="CB461" s="48"/>
      <c r="CC461" s="48"/>
      <c r="CD461" s="48"/>
      <c r="CE461" s="48"/>
      <c r="CF461" s="48"/>
      <c r="CG461" s="48"/>
      <c r="CH461" s="48"/>
      <c r="CI461" s="48"/>
      <c r="CJ461" s="48"/>
      <c r="CK461" s="48"/>
      <c r="CL461" s="48"/>
      <c r="CM461" s="48"/>
      <c r="CN461" s="48"/>
      <c r="CO461" s="48"/>
      <c r="CP461" s="48"/>
      <c r="CQ461" s="48"/>
      <c r="CR461" s="48"/>
      <c r="CS461" s="48"/>
      <c r="CT461" s="48"/>
      <c r="CU461" s="48"/>
      <c r="CV461" s="48"/>
      <c r="CW461" s="48"/>
      <c r="CX461" s="48"/>
      <c r="CY461" s="48"/>
      <c r="CZ461" s="48"/>
      <c r="DA461" s="48"/>
      <c r="DB461" s="48"/>
      <c r="DC461" s="48"/>
      <c r="DD461" s="48"/>
      <c r="DE461" s="48"/>
      <c r="DF461" s="48"/>
      <c r="DG461" s="48"/>
      <c r="DH461" s="48"/>
      <c r="DI461" s="48"/>
      <c r="DJ461" s="48"/>
      <c r="DK461" s="48"/>
      <c r="DL461" s="48"/>
      <c r="DM461" s="48"/>
      <c r="DN461" s="48"/>
      <c r="DO461" s="48"/>
      <c r="DP461" s="48"/>
      <c r="DQ461" s="48"/>
      <c r="DR461" s="48"/>
      <c r="DS461" s="48"/>
    </row>
    <row r="462" spans="1:123" ht="15">
      <c r="A462"/>
      <c r="B462"/>
      <c r="C462"/>
      <c r="D462"/>
      <c r="E462"/>
      <c r="F462"/>
      <c r="G462"/>
      <c r="H462"/>
      <c r="I462"/>
      <c r="J462"/>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c r="BS462" s="48"/>
      <c r="BT462" s="48"/>
      <c r="BU462" s="48"/>
      <c r="BV462" s="48"/>
      <c r="BW462" s="48"/>
      <c r="BX462" s="48"/>
      <c r="BY462" s="48"/>
      <c r="BZ462" s="48"/>
      <c r="CA462" s="48"/>
      <c r="CB462" s="48"/>
      <c r="CC462" s="48"/>
      <c r="CD462" s="48"/>
      <c r="CE462" s="48"/>
      <c r="CF462" s="48"/>
      <c r="CG462" s="48"/>
      <c r="CH462" s="48"/>
      <c r="CI462" s="48"/>
      <c r="CJ462" s="48"/>
      <c r="CK462" s="48"/>
      <c r="CL462" s="48"/>
      <c r="CM462" s="48"/>
      <c r="CN462" s="48"/>
      <c r="CO462" s="48"/>
      <c r="CP462" s="48"/>
      <c r="CQ462" s="48"/>
      <c r="CR462" s="48"/>
      <c r="CS462" s="48"/>
      <c r="CT462" s="48"/>
      <c r="CU462" s="48"/>
      <c r="CV462" s="48"/>
      <c r="CW462" s="48"/>
      <c r="CX462" s="48"/>
      <c r="CY462" s="48"/>
      <c r="CZ462" s="48"/>
      <c r="DA462" s="48"/>
      <c r="DB462" s="48"/>
      <c r="DC462" s="48"/>
      <c r="DD462" s="48"/>
      <c r="DE462" s="48"/>
      <c r="DF462" s="48"/>
      <c r="DG462" s="48"/>
      <c r="DH462" s="48"/>
      <c r="DI462" s="48"/>
      <c r="DJ462" s="48"/>
      <c r="DK462" s="48"/>
      <c r="DL462" s="48"/>
      <c r="DM462" s="48"/>
      <c r="DN462" s="48"/>
      <c r="DO462" s="48"/>
      <c r="DP462" s="48"/>
      <c r="DQ462" s="48"/>
      <c r="DR462" s="48"/>
      <c r="DS462" s="48"/>
    </row>
    <row r="463" spans="1:123" ht="15">
      <c r="A463"/>
      <c r="B463"/>
      <c r="C463"/>
      <c r="D463"/>
      <c r="E463"/>
      <c r="F463"/>
      <c r="G463"/>
      <c r="H463"/>
      <c r="I463"/>
      <c r="J463"/>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48"/>
      <c r="BH463" s="48"/>
      <c r="BI463" s="48"/>
      <c r="BJ463" s="48"/>
      <c r="BK463" s="48"/>
      <c r="BL463" s="48"/>
      <c r="BM463" s="48"/>
      <c r="BN463" s="48"/>
      <c r="BO463" s="48"/>
      <c r="BP463" s="48"/>
      <c r="BQ463" s="48"/>
      <c r="BR463" s="48"/>
      <c r="BS463" s="48"/>
      <c r="BT463" s="48"/>
      <c r="BU463" s="48"/>
      <c r="BV463" s="48"/>
      <c r="BW463" s="48"/>
      <c r="BX463" s="48"/>
      <c r="BY463" s="48"/>
      <c r="BZ463" s="48"/>
      <c r="CA463" s="48"/>
      <c r="CB463" s="48"/>
      <c r="CC463" s="48"/>
      <c r="CD463" s="48"/>
      <c r="CE463" s="48"/>
      <c r="CF463" s="48"/>
      <c r="CG463" s="48"/>
      <c r="CH463" s="48"/>
      <c r="CI463" s="48"/>
      <c r="CJ463" s="48"/>
      <c r="CK463" s="48"/>
      <c r="CL463" s="48"/>
      <c r="CM463" s="48"/>
      <c r="CN463" s="48"/>
      <c r="CO463" s="48"/>
      <c r="CP463" s="48"/>
      <c r="CQ463" s="48"/>
      <c r="CR463" s="48"/>
      <c r="CS463" s="48"/>
      <c r="CT463" s="48"/>
      <c r="CU463" s="48"/>
      <c r="CV463" s="48"/>
      <c r="CW463" s="48"/>
      <c r="CX463" s="48"/>
      <c r="CY463" s="48"/>
      <c r="CZ463" s="48"/>
      <c r="DA463" s="48"/>
      <c r="DB463" s="48"/>
      <c r="DC463" s="48"/>
      <c r="DD463" s="48"/>
      <c r="DE463" s="48"/>
      <c r="DF463" s="48"/>
      <c r="DG463" s="48"/>
      <c r="DH463" s="48"/>
      <c r="DI463" s="48"/>
      <c r="DJ463" s="48"/>
      <c r="DK463" s="48"/>
      <c r="DL463" s="48"/>
      <c r="DM463" s="48"/>
      <c r="DN463" s="48"/>
      <c r="DO463" s="48"/>
      <c r="DP463" s="48"/>
      <c r="DQ463" s="48"/>
      <c r="DR463" s="48"/>
      <c r="DS463" s="48"/>
    </row>
    <row r="464" spans="1:123" ht="15">
      <c r="A464"/>
      <c r="B464"/>
      <c r="C464"/>
      <c r="D464"/>
      <c r="E464"/>
      <c r="F464"/>
      <c r="G464"/>
      <c r="H464"/>
      <c r="I464"/>
      <c r="J464"/>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48"/>
      <c r="BH464" s="48"/>
      <c r="BI464" s="48"/>
      <c r="BJ464" s="48"/>
      <c r="BK464" s="48"/>
      <c r="BL464" s="48"/>
      <c r="BM464" s="48"/>
      <c r="BN464" s="48"/>
      <c r="BO464" s="48"/>
      <c r="BP464" s="48"/>
      <c r="BQ464" s="48"/>
      <c r="BR464" s="48"/>
      <c r="BS464" s="48"/>
      <c r="BT464" s="48"/>
      <c r="BU464" s="48"/>
      <c r="BV464" s="48"/>
      <c r="BW464" s="48"/>
      <c r="BX464" s="48"/>
      <c r="BY464" s="48"/>
      <c r="BZ464" s="48"/>
      <c r="CA464" s="48"/>
      <c r="CB464" s="48"/>
      <c r="CC464" s="48"/>
      <c r="CD464" s="48"/>
      <c r="CE464" s="48"/>
      <c r="CF464" s="48"/>
      <c r="CG464" s="48"/>
      <c r="CH464" s="48"/>
      <c r="CI464" s="48"/>
      <c r="CJ464" s="48"/>
      <c r="CK464" s="48"/>
      <c r="CL464" s="48"/>
      <c r="CM464" s="48"/>
      <c r="CN464" s="48"/>
      <c r="CO464" s="48"/>
      <c r="CP464" s="48"/>
      <c r="CQ464" s="48"/>
      <c r="CR464" s="48"/>
      <c r="CS464" s="48"/>
      <c r="CT464" s="48"/>
      <c r="CU464" s="48"/>
      <c r="CV464" s="48"/>
      <c r="CW464" s="48"/>
      <c r="CX464" s="48"/>
      <c r="CY464" s="48"/>
      <c r="CZ464" s="48"/>
      <c r="DA464" s="48"/>
      <c r="DB464" s="48"/>
      <c r="DC464" s="48"/>
      <c r="DD464" s="48"/>
      <c r="DE464" s="48"/>
      <c r="DF464" s="48"/>
      <c r="DG464" s="48"/>
      <c r="DH464" s="48"/>
      <c r="DI464" s="48"/>
      <c r="DJ464" s="48"/>
      <c r="DK464" s="48"/>
      <c r="DL464" s="48"/>
      <c r="DM464" s="48"/>
      <c r="DN464" s="48"/>
      <c r="DO464" s="48"/>
      <c r="DP464" s="48"/>
      <c r="DQ464" s="48"/>
      <c r="DR464" s="48"/>
      <c r="DS464" s="48"/>
    </row>
    <row r="465" spans="1:123" ht="15">
      <c r="A465"/>
      <c r="B465"/>
      <c r="C465"/>
      <c r="D465"/>
      <c r="E465"/>
      <c r="F465"/>
      <c r="G465"/>
      <c r="H465"/>
      <c r="I465"/>
      <c r="J465"/>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48"/>
      <c r="BH465" s="48"/>
      <c r="BI465" s="48"/>
      <c r="BJ465" s="48"/>
      <c r="BK465" s="48"/>
      <c r="BL465" s="48"/>
      <c r="BM465" s="48"/>
      <c r="BN465" s="48"/>
      <c r="BO465" s="48"/>
      <c r="BP465" s="48"/>
      <c r="BQ465" s="48"/>
      <c r="BR465" s="48"/>
      <c r="BS465" s="48"/>
      <c r="BT465" s="48"/>
      <c r="BU465" s="48"/>
      <c r="BV465" s="48"/>
      <c r="BW465" s="48"/>
      <c r="BX465" s="48"/>
      <c r="BY465" s="48"/>
      <c r="BZ465" s="48"/>
      <c r="CA465" s="48"/>
      <c r="CB465" s="48"/>
      <c r="CC465" s="48"/>
      <c r="CD465" s="48"/>
      <c r="CE465" s="48"/>
      <c r="CF465" s="48"/>
      <c r="CG465" s="48"/>
      <c r="CH465" s="48"/>
      <c r="CI465" s="48"/>
      <c r="CJ465" s="48"/>
      <c r="CK465" s="48"/>
      <c r="CL465" s="48"/>
      <c r="CM465" s="48"/>
      <c r="CN465" s="48"/>
      <c r="CO465" s="48"/>
      <c r="CP465" s="48"/>
      <c r="CQ465" s="48"/>
      <c r="CR465" s="48"/>
      <c r="CS465" s="48"/>
      <c r="CT465" s="48"/>
      <c r="CU465" s="48"/>
      <c r="CV465" s="48"/>
      <c r="CW465" s="48"/>
      <c r="CX465" s="48"/>
      <c r="CY465" s="48"/>
      <c r="CZ465" s="48"/>
      <c r="DA465" s="48"/>
      <c r="DB465" s="48"/>
      <c r="DC465" s="48"/>
      <c r="DD465" s="48"/>
      <c r="DE465" s="48"/>
      <c r="DF465" s="48"/>
      <c r="DG465" s="48"/>
      <c r="DH465" s="48"/>
      <c r="DI465" s="48"/>
      <c r="DJ465" s="48"/>
      <c r="DK465" s="48"/>
      <c r="DL465" s="48"/>
      <c r="DM465" s="48"/>
      <c r="DN465" s="48"/>
      <c r="DO465" s="48"/>
      <c r="DP465" s="48"/>
      <c r="DQ465" s="48"/>
      <c r="DR465" s="48"/>
      <c r="DS465" s="48"/>
    </row>
    <row r="466" spans="1:123" ht="15">
      <c r="A466"/>
      <c r="B466"/>
      <c r="C466"/>
      <c r="D466"/>
      <c r="E466"/>
      <c r="F466"/>
      <c r="G466"/>
      <c r="H466"/>
      <c r="I466"/>
      <c r="J466"/>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48"/>
      <c r="BH466" s="48"/>
      <c r="BI466" s="48"/>
      <c r="BJ466" s="48"/>
      <c r="BK466" s="48"/>
      <c r="BL466" s="48"/>
      <c r="BM466" s="48"/>
      <c r="BN466" s="48"/>
      <c r="BO466" s="48"/>
      <c r="BP466" s="48"/>
      <c r="BQ466" s="48"/>
      <c r="BR466" s="48"/>
      <c r="BS466" s="48"/>
      <c r="BT466" s="48"/>
      <c r="BU466" s="48"/>
      <c r="BV466" s="48"/>
      <c r="BW466" s="48"/>
      <c r="BX466" s="48"/>
      <c r="BY466" s="48"/>
      <c r="BZ466" s="48"/>
      <c r="CA466" s="48"/>
      <c r="CB466" s="48"/>
      <c r="CC466" s="48"/>
      <c r="CD466" s="48"/>
      <c r="CE466" s="48"/>
      <c r="CF466" s="48"/>
      <c r="CG466" s="48"/>
      <c r="CH466" s="48"/>
      <c r="CI466" s="48"/>
      <c r="CJ466" s="48"/>
      <c r="CK466" s="48"/>
      <c r="CL466" s="48"/>
      <c r="CM466" s="48"/>
      <c r="CN466" s="48"/>
      <c r="CO466" s="48"/>
      <c r="CP466" s="48"/>
      <c r="CQ466" s="48"/>
      <c r="CR466" s="48"/>
      <c r="CS466" s="48"/>
      <c r="CT466" s="48"/>
      <c r="CU466" s="48"/>
      <c r="CV466" s="48"/>
      <c r="CW466" s="48"/>
      <c r="CX466" s="48"/>
      <c r="CY466" s="48"/>
      <c r="CZ466" s="48"/>
      <c r="DA466" s="48"/>
      <c r="DB466" s="48"/>
      <c r="DC466" s="48"/>
      <c r="DD466" s="48"/>
      <c r="DE466" s="48"/>
      <c r="DF466" s="48"/>
      <c r="DG466" s="48"/>
      <c r="DH466" s="48"/>
      <c r="DI466" s="48"/>
      <c r="DJ466" s="48"/>
      <c r="DK466" s="48"/>
      <c r="DL466" s="48"/>
      <c r="DM466" s="48"/>
      <c r="DN466" s="48"/>
      <c r="DO466" s="48"/>
      <c r="DP466" s="48"/>
      <c r="DQ466" s="48"/>
      <c r="DR466" s="48"/>
      <c r="DS466" s="48"/>
    </row>
    <row r="467" spans="1:123" ht="15">
      <c r="A467"/>
      <c r="B467"/>
      <c r="C467"/>
      <c r="D467"/>
      <c r="E467"/>
      <c r="F467"/>
      <c r="G467"/>
      <c r="H467"/>
      <c r="I467"/>
      <c r="J467"/>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c r="BS467" s="48"/>
      <c r="BT467" s="48"/>
      <c r="BU467" s="48"/>
      <c r="BV467" s="48"/>
      <c r="BW467" s="48"/>
      <c r="BX467" s="48"/>
      <c r="BY467" s="48"/>
      <c r="BZ467" s="48"/>
      <c r="CA467" s="48"/>
      <c r="CB467" s="48"/>
      <c r="CC467" s="48"/>
      <c r="CD467" s="48"/>
      <c r="CE467" s="48"/>
      <c r="CF467" s="48"/>
      <c r="CG467" s="48"/>
      <c r="CH467" s="48"/>
      <c r="CI467" s="48"/>
      <c r="CJ467" s="48"/>
      <c r="CK467" s="48"/>
      <c r="CL467" s="48"/>
      <c r="CM467" s="48"/>
      <c r="CN467" s="48"/>
      <c r="CO467" s="48"/>
      <c r="CP467" s="48"/>
      <c r="CQ467" s="48"/>
      <c r="CR467" s="48"/>
      <c r="CS467" s="48"/>
      <c r="CT467" s="48"/>
      <c r="CU467" s="48"/>
      <c r="CV467" s="48"/>
      <c r="CW467" s="48"/>
      <c r="CX467" s="48"/>
      <c r="CY467" s="48"/>
      <c r="CZ467" s="48"/>
      <c r="DA467" s="48"/>
      <c r="DB467" s="48"/>
      <c r="DC467" s="48"/>
      <c r="DD467" s="48"/>
      <c r="DE467" s="48"/>
      <c r="DF467" s="48"/>
      <c r="DG467" s="48"/>
      <c r="DH467" s="48"/>
      <c r="DI467" s="48"/>
      <c r="DJ467" s="48"/>
      <c r="DK467" s="48"/>
      <c r="DL467" s="48"/>
      <c r="DM467" s="48"/>
      <c r="DN467" s="48"/>
      <c r="DO467" s="48"/>
      <c r="DP467" s="48"/>
      <c r="DQ467" s="48"/>
      <c r="DR467" s="48"/>
      <c r="DS467" s="48"/>
    </row>
    <row r="468" spans="1:123" ht="15">
      <c r="A468"/>
      <c r="B468"/>
      <c r="C468"/>
      <c r="D468"/>
      <c r="E468"/>
      <c r="F468"/>
      <c r="G468"/>
      <c r="H468"/>
      <c r="I468"/>
      <c r="J46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48"/>
      <c r="BH468" s="48"/>
      <c r="BI468" s="48"/>
      <c r="BJ468" s="48"/>
      <c r="BK468" s="48"/>
      <c r="BL468" s="48"/>
      <c r="BM468" s="48"/>
      <c r="BN468" s="48"/>
      <c r="BO468" s="48"/>
      <c r="BP468" s="48"/>
      <c r="BQ468" s="48"/>
      <c r="BR468" s="48"/>
      <c r="BS468" s="48"/>
      <c r="BT468" s="48"/>
      <c r="BU468" s="48"/>
      <c r="BV468" s="48"/>
      <c r="BW468" s="48"/>
      <c r="BX468" s="48"/>
      <c r="BY468" s="48"/>
      <c r="BZ468" s="48"/>
      <c r="CA468" s="48"/>
      <c r="CB468" s="48"/>
      <c r="CC468" s="48"/>
      <c r="CD468" s="48"/>
      <c r="CE468" s="48"/>
      <c r="CF468" s="48"/>
      <c r="CG468" s="48"/>
      <c r="CH468" s="48"/>
      <c r="CI468" s="48"/>
      <c r="CJ468" s="48"/>
      <c r="CK468" s="48"/>
      <c r="CL468" s="48"/>
      <c r="CM468" s="48"/>
      <c r="CN468" s="48"/>
      <c r="CO468" s="48"/>
      <c r="CP468" s="48"/>
      <c r="CQ468" s="48"/>
      <c r="CR468" s="48"/>
      <c r="CS468" s="48"/>
      <c r="CT468" s="48"/>
      <c r="CU468" s="48"/>
      <c r="CV468" s="48"/>
      <c r="CW468" s="48"/>
      <c r="CX468" s="48"/>
      <c r="CY468" s="48"/>
      <c r="CZ468" s="48"/>
      <c r="DA468" s="48"/>
      <c r="DB468" s="48"/>
      <c r="DC468" s="48"/>
      <c r="DD468" s="48"/>
      <c r="DE468" s="48"/>
      <c r="DF468" s="48"/>
      <c r="DG468" s="48"/>
      <c r="DH468" s="48"/>
      <c r="DI468" s="48"/>
      <c r="DJ468" s="48"/>
      <c r="DK468" s="48"/>
      <c r="DL468" s="48"/>
      <c r="DM468" s="48"/>
      <c r="DN468" s="48"/>
      <c r="DO468" s="48"/>
      <c r="DP468" s="48"/>
      <c r="DQ468" s="48"/>
      <c r="DR468" s="48"/>
      <c r="DS468" s="48"/>
    </row>
    <row r="469" spans="1:123" ht="15">
      <c r="A469"/>
      <c r="B469"/>
      <c r="C469"/>
      <c r="D469"/>
      <c r="E469"/>
      <c r="F469"/>
      <c r="G469"/>
      <c r="H469"/>
      <c r="I469"/>
      <c r="J469"/>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48"/>
      <c r="BJ469" s="48"/>
      <c r="BK469" s="48"/>
      <c r="BL469" s="48"/>
      <c r="BM469" s="48"/>
      <c r="BN469" s="48"/>
      <c r="BO469" s="48"/>
      <c r="BP469" s="48"/>
      <c r="BQ469" s="48"/>
      <c r="BR469" s="48"/>
      <c r="BS469" s="48"/>
      <c r="BT469" s="48"/>
      <c r="BU469" s="48"/>
      <c r="BV469" s="48"/>
      <c r="BW469" s="48"/>
      <c r="BX469" s="48"/>
      <c r="BY469" s="48"/>
      <c r="BZ469" s="48"/>
      <c r="CA469" s="48"/>
      <c r="CB469" s="48"/>
      <c r="CC469" s="48"/>
      <c r="CD469" s="48"/>
      <c r="CE469" s="48"/>
      <c r="CF469" s="48"/>
      <c r="CG469" s="48"/>
      <c r="CH469" s="48"/>
      <c r="CI469" s="48"/>
      <c r="CJ469" s="48"/>
      <c r="CK469" s="48"/>
      <c r="CL469" s="48"/>
      <c r="CM469" s="48"/>
      <c r="CN469" s="48"/>
      <c r="CO469" s="48"/>
      <c r="CP469" s="48"/>
      <c r="CQ469" s="48"/>
      <c r="CR469" s="48"/>
      <c r="CS469" s="48"/>
      <c r="CT469" s="48"/>
      <c r="CU469" s="48"/>
      <c r="CV469" s="48"/>
      <c r="CW469" s="48"/>
      <c r="CX469" s="48"/>
      <c r="CY469" s="48"/>
      <c r="CZ469" s="48"/>
      <c r="DA469" s="48"/>
      <c r="DB469" s="48"/>
      <c r="DC469" s="48"/>
      <c r="DD469" s="48"/>
      <c r="DE469" s="48"/>
      <c r="DF469" s="48"/>
      <c r="DG469" s="48"/>
      <c r="DH469" s="48"/>
      <c r="DI469" s="48"/>
      <c r="DJ469" s="48"/>
      <c r="DK469" s="48"/>
      <c r="DL469" s="48"/>
      <c r="DM469" s="48"/>
      <c r="DN469" s="48"/>
      <c r="DO469" s="48"/>
      <c r="DP469" s="48"/>
      <c r="DQ469" s="48"/>
      <c r="DR469" s="48"/>
      <c r="DS469" s="48"/>
    </row>
    <row r="470" spans="1:123" ht="15">
      <c r="A470"/>
      <c r="B470"/>
      <c r="C470"/>
      <c r="D470"/>
      <c r="E470"/>
      <c r="F470"/>
      <c r="G470"/>
      <c r="H470"/>
      <c r="I470"/>
      <c r="J470"/>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48"/>
      <c r="BH470" s="48"/>
      <c r="BI470" s="48"/>
      <c r="BJ470" s="48"/>
      <c r="BK470" s="48"/>
      <c r="BL470" s="48"/>
      <c r="BM470" s="48"/>
      <c r="BN470" s="48"/>
      <c r="BO470" s="48"/>
      <c r="BP470" s="48"/>
      <c r="BQ470" s="48"/>
      <c r="BR470" s="48"/>
      <c r="BS470" s="48"/>
      <c r="BT470" s="48"/>
      <c r="BU470" s="48"/>
      <c r="BV470" s="48"/>
      <c r="BW470" s="48"/>
      <c r="BX470" s="48"/>
      <c r="BY470" s="48"/>
      <c r="BZ470" s="48"/>
      <c r="CA470" s="48"/>
      <c r="CB470" s="48"/>
      <c r="CC470" s="48"/>
      <c r="CD470" s="48"/>
      <c r="CE470" s="48"/>
      <c r="CF470" s="48"/>
      <c r="CG470" s="48"/>
      <c r="CH470" s="48"/>
      <c r="CI470" s="48"/>
      <c r="CJ470" s="48"/>
      <c r="CK470" s="48"/>
      <c r="CL470" s="48"/>
      <c r="CM470" s="48"/>
      <c r="CN470" s="48"/>
      <c r="CO470" s="48"/>
      <c r="CP470" s="48"/>
      <c r="CQ470" s="48"/>
      <c r="CR470" s="48"/>
      <c r="CS470" s="48"/>
      <c r="CT470" s="48"/>
      <c r="CU470" s="48"/>
      <c r="CV470" s="48"/>
      <c r="CW470" s="48"/>
      <c r="CX470" s="48"/>
      <c r="CY470" s="48"/>
      <c r="CZ470" s="48"/>
      <c r="DA470" s="48"/>
      <c r="DB470" s="48"/>
      <c r="DC470" s="48"/>
      <c r="DD470" s="48"/>
      <c r="DE470" s="48"/>
      <c r="DF470" s="48"/>
      <c r="DG470" s="48"/>
      <c r="DH470" s="48"/>
      <c r="DI470" s="48"/>
      <c r="DJ470" s="48"/>
      <c r="DK470" s="48"/>
      <c r="DL470" s="48"/>
      <c r="DM470" s="48"/>
      <c r="DN470" s="48"/>
      <c r="DO470" s="48"/>
      <c r="DP470" s="48"/>
      <c r="DQ470" s="48"/>
      <c r="DR470" s="48"/>
      <c r="DS470" s="48"/>
    </row>
    <row r="471" spans="1:123" ht="15">
      <c r="A471"/>
      <c r="B471"/>
      <c r="C471"/>
      <c r="D471"/>
      <c r="E471"/>
      <c r="F471"/>
      <c r="G471"/>
      <c r="H471"/>
      <c r="I471"/>
      <c r="J471"/>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48"/>
      <c r="BH471" s="48"/>
      <c r="BI471" s="48"/>
      <c r="BJ471" s="48"/>
      <c r="BK471" s="48"/>
      <c r="BL471" s="48"/>
      <c r="BM471" s="48"/>
      <c r="BN471" s="48"/>
      <c r="BO471" s="48"/>
      <c r="BP471" s="48"/>
      <c r="BQ471" s="48"/>
      <c r="BR471" s="48"/>
      <c r="BS471" s="48"/>
      <c r="BT471" s="48"/>
      <c r="BU471" s="48"/>
      <c r="BV471" s="48"/>
      <c r="BW471" s="48"/>
      <c r="BX471" s="48"/>
      <c r="BY471" s="48"/>
      <c r="BZ471" s="48"/>
      <c r="CA471" s="48"/>
      <c r="CB471" s="48"/>
      <c r="CC471" s="48"/>
      <c r="CD471" s="48"/>
      <c r="CE471" s="48"/>
      <c r="CF471" s="48"/>
      <c r="CG471" s="48"/>
      <c r="CH471" s="48"/>
      <c r="CI471" s="48"/>
      <c r="CJ471" s="48"/>
      <c r="CK471" s="48"/>
      <c r="CL471" s="48"/>
      <c r="CM471" s="48"/>
      <c r="CN471" s="48"/>
      <c r="CO471" s="48"/>
      <c r="CP471" s="48"/>
      <c r="CQ471" s="48"/>
      <c r="CR471" s="48"/>
      <c r="CS471" s="48"/>
      <c r="CT471" s="48"/>
      <c r="CU471" s="48"/>
      <c r="CV471" s="48"/>
      <c r="CW471" s="48"/>
      <c r="CX471" s="48"/>
      <c r="CY471" s="48"/>
      <c r="CZ471" s="48"/>
      <c r="DA471" s="48"/>
      <c r="DB471" s="48"/>
      <c r="DC471" s="48"/>
      <c r="DD471" s="48"/>
      <c r="DE471" s="48"/>
      <c r="DF471" s="48"/>
      <c r="DG471" s="48"/>
      <c r="DH471" s="48"/>
      <c r="DI471" s="48"/>
      <c r="DJ471" s="48"/>
      <c r="DK471" s="48"/>
      <c r="DL471" s="48"/>
      <c r="DM471" s="48"/>
      <c r="DN471" s="48"/>
      <c r="DO471" s="48"/>
      <c r="DP471" s="48"/>
      <c r="DQ471" s="48"/>
      <c r="DR471" s="48"/>
      <c r="DS471" s="48"/>
    </row>
    <row r="472" spans="1:123" ht="15">
      <c r="A472"/>
      <c r="B472"/>
      <c r="C472"/>
      <c r="D472"/>
      <c r="E472"/>
      <c r="F472"/>
      <c r="G472"/>
      <c r="H472"/>
      <c r="I472"/>
      <c r="J472"/>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48"/>
      <c r="BJ472" s="48"/>
      <c r="BK472" s="48"/>
      <c r="BL472" s="48"/>
      <c r="BM472" s="48"/>
      <c r="BN472" s="48"/>
      <c r="BO472" s="48"/>
      <c r="BP472" s="48"/>
      <c r="BQ472" s="48"/>
      <c r="BR472" s="48"/>
      <c r="BS472" s="48"/>
      <c r="BT472" s="48"/>
      <c r="BU472" s="48"/>
      <c r="BV472" s="48"/>
      <c r="BW472" s="48"/>
      <c r="BX472" s="48"/>
      <c r="BY472" s="48"/>
      <c r="BZ472" s="48"/>
      <c r="CA472" s="48"/>
      <c r="CB472" s="48"/>
      <c r="CC472" s="48"/>
      <c r="CD472" s="48"/>
      <c r="CE472" s="48"/>
      <c r="CF472" s="48"/>
      <c r="CG472" s="48"/>
      <c r="CH472" s="48"/>
      <c r="CI472" s="48"/>
      <c r="CJ472" s="48"/>
      <c r="CK472" s="48"/>
      <c r="CL472" s="48"/>
      <c r="CM472" s="48"/>
      <c r="CN472" s="48"/>
      <c r="CO472" s="48"/>
      <c r="CP472" s="48"/>
      <c r="CQ472" s="48"/>
      <c r="CR472" s="48"/>
      <c r="CS472" s="48"/>
      <c r="CT472" s="48"/>
      <c r="CU472" s="48"/>
      <c r="CV472" s="48"/>
      <c r="CW472" s="48"/>
      <c r="CX472" s="48"/>
      <c r="CY472" s="48"/>
      <c r="CZ472" s="48"/>
      <c r="DA472" s="48"/>
      <c r="DB472" s="48"/>
      <c r="DC472" s="48"/>
      <c r="DD472" s="48"/>
      <c r="DE472" s="48"/>
      <c r="DF472" s="48"/>
      <c r="DG472" s="48"/>
      <c r="DH472" s="48"/>
      <c r="DI472" s="48"/>
      <c r="DJ472" s="48"/>
      <c r="DK472" s="48"/>
      <c r="DL472" s="48"/>
      <c r="DM472" s="48"/>
      <c r="DN472" s="48"/>
      <c r="DO472" s="48"/>
      <c r="DP472" s="48"/>
      <c r="DQ472" s="48"/>
      <c r="DR472" s="48"/>
      <c r="DS472" s="48"/>
    </row>
    <row r="473" spans="1:123" ht="15">
      <c r="A473"/>
      <c r="B473"/>
      <c r="C473"/>
      <c r="D473"/>
      <c r="E473"/>
      <c r="F473"/>
      <c r="G473"/>
      <c r="H473"/>
      <c r="I473"/>
      <c r="J473"/>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c r="BS473" s="48"/>
      <c r="BT473" s="48"/>
      <c r="BU473" s="48"/>
      <c r="BV473" s="48"/>
      <c r="BW473" s="48"/>
      <c r="BX473" s="48"/>
      <c r="BY473" s="48"/>
      <c r="BZ473" s="48"/>
      <c r="CA473" s="48"/>
      <c r="CB473" s="48"/>
      <c r="CC473" s="48"/>
      <c r="CD473" s="48"/>
      <c r="CE473" s="48"/>
      <c r="CF473" s="48"/>
      <c r="CG473" s="48"/>
      <c r="CH473" s="48"/>
      <c r="CI473" s="48"/>
      <c r="CJ473" s="48"/>
      <c r="CK473" s="48"/>
      <c r="CL473" s="48"/>
      <c r="CM473" s="48"/>
      <c r="CN473" s="48"/>
      <c r="CO473" s="48"/>
      <c r="CP473" s="48"/>
      <c r="CQ473" s="48"/>
      <c r="CR473" s="48"/>
      <c r="CS473" s="48"/>
      <c r="CT473" s="48"/>
      <c r="CU473" s="48"/>
      <c r="CV473" s="48"/>
      <c r="CW473" s="48"/>
      <c r="CX473" s="48"/>
      <c r="CY473" s="48"/>
      <c r="CZ473" s="48"/>
      <c r="DA473" s="48"/>
      <c r="DB473" s="48"/>
      <c r="DC473" s="48"/>
      <c r="DD473" s="48"/>
      <c r="DE473" s="48"/>
      <c r="DF473" s="48"/>
      <c r="DG473" s="48"/>
      <c r="DH473" s="48"/>
      <c r="DI473" s="48"/>
      <c r="DJ473" s="48"/>
      <c r="DK473" s="48"/>
      <c r="DL473" s="48"/>
      <c r="DM473" s="48"/>
      <c r="DN473" s="48"/>
      <c r="DO473" s="48"/>
      <c r="DP473" s="48"/>
      <c r="DQ473" s="48"/>
      <c r="DR473" s="48"/>
      <c r="DS473" s="48"/>
    </row>
    <row r="474" spans="1:123" ht="15">
      <c r="A474"/>
      <c r="B474"/>
      <c r="C474"/>
      <c r="D474"/>
      <c r="E474"/>
      <c r="F474"/>
      <c r="G474"/>
      <c r="H474"/>
      <c r="I474"/>
      <c r="J474"/>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c r="BS474" s="48"/>
      <c r="BT474" s="48"/>
      <c r="BU474" s="48"/>
      <c r="BV474" s="48"/>
      <c r="BW474" s="48"/>
      <c r="BX474" s="48"/>
      <c r="BY474" s="48"/>
      <c r="BZ474" s="48"/>
      <c r="CA474" s="48"/>
      <c r="CB474" s="48"/>
      <c r="CC474" s="48"/>
      <c r="CD474" s="48"/>
      <c r="CE474" s="48"/>
      <c r="CF474" s="48"/>
      <c r="CG474" s="48"/>
      <c r="CH474" s="48"/>
      <c r="CI474" s="48"/>
      <c r="CJ474" s="48"/>
      <c r="CK474" s="48"/>
      <c r="CL474" s="48"/>
      <c r="CM474" s="48"/>
      <c r="CN474" s="48"/>
      <c r="CO474" s="48"/>
      <c r="CP474" s="48"/>
      <c r="CQ474" s="48"/>
      <c r="CR474" s="48"/>
      <c r="CS474" s="48"/>
      <c r="CT474" s="48"/>
      <c r="CU474" s="48"/>
      <c r="CV474" s="48"/>
      <c r="CW474" s="48"/>
      <c r="CX474" s="48"/>
      <c r="CY474" s="48"/>
      <c r="CZ474" s="48"/>
      <c r="DA474" s="48"/>
      <c r="DB474" s="48"/>
      <c r="DC474" s="48"/>
      <c r="DD474" s="48"/>
      <c r="DE474" s="48"/>
      <c r="DF474" s="48"/>
      <c r="DG474" s="48"/>
      <c r="DH474" s="48"/>
      <c r="DI474" s="48"/>
      <c r="DJ474" s="48"/>
      <c r="DK474" s="48"/>
      <c r="DL474" s="48"/>
      <c r="DM474" s="48"/>
      <c r="DN474" s="48"/>
      <c r="DO474" s="48"/>
      <c r="DP474" s="48"/>
      <c r="DQ474" s="48"/>
      <c r="DR474" s="48"/>
      <c r="DS474" s="48"/>
    </row>
    <row r="475" spans="1:123" ht="15">
      <c r="A475"/>
      <c r="B475"/>
      <c r="C475"/>
      <c r="D475"/>
      <c r="E475"/>
      <c r="F475"/>
      <c r="G475"/>
      <c r="H475"/>
      <c r="I475"/>
      <c r="J475"/>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48"/>
      <c r="BH475" s="48"/>
      <c r="BI475" s="48"/>
      <c r="BJ475" s="48"/>
      <c r="BK475" s="48"/>
      <c r="BL475" s="48"/>
      <c r="BM475" s="48"/>
      <c r="BN475" s="48"/>
      <c r="BO475" s="48"/>
      <c r="BP475" s="48"/>
      <c r="BQ475" s="48"/>
      <c r="BR475" s="48"/>
      <c r="BS475" s="48"/>
      <c r="BT475" s="48"/>
      <c r="BU475" s="48"/>
      <c r="BV475" s="48"/>
      <c r="BW475" s="48"/>
      <c r="BX475" s="48"/>
      <c r="BY475" s="48"/>
      <c r="BZ475" s="48"/>
      <c r="CA475" s="48"/>
      <c r="CB475" s="48"/>
      <c r="CC475" s="48"/>
      <c r="CD475" s="48"/>
      <c r="CE475" s="48"/>
      <c r="CF475" s="48"/>
      <c r="CG475" s="48"/>
      <c r="CH475" s="48"/>
      <c r="CI475" s="48"/>
      <c r="CJ475" s="48"/>
      <c r="CK475" s="48"/>
      <c r="CL475" s="48"/>
      <c r="CM475" s="48"/>
      <c r="CN475" s="48"/>
      <c r="CO475" s="48"/>
      <c r="CP475" s="48"/>
      <c r="CQ475" s="48"/>
      <c r="CR475" s="48"/>
      <c r="CS475" s="48"/>
      <c r="CT475" s="48"/>
      <c r="CU475" s="48"/>
      <c r="CV475" s="48"/>
      <c r="CW475" s="48"/>
      <c r="CX475" s="48"/>
      <c r="CY475" s="48"/>
      <c r="CZ475" s="48"/>
      <c r="DA475" s="48"/>
      <c r="DB475" s="48"/>
      <c r="DC475" s="48"/>
      <c r="DD475" s="48"/>
      <c r="DE475" s="48"/>
      <c r="DF475" s="48"/>
      <c r="DG475" s="48"/>
      <c r="DH475" s="48"/>
      <c r="DI475" s="48"/>
      <c r="DJ475" s="48"/>
      <c r="DK475" s="48"/>
      <c r="DL475" s="48"/>
      <c r="DM475" s="48"/>
      <c r="DN475" s="48"/>
      <c r="DO475" s="48"/>
      <c r="DP475" s="48"/>
      <c r="DQ475" s="48"/>
      <c r="DR475" s="48"/>
      <c r="DS475" s="48"/>
    </row>
    <row r="476" spans="1:123" ht="15">
      <c r="A476"/>
      <c r="B476"/>
      <c r="C476"/>
      <c r="D476"/>
      <c r="E476"/>
      <c r="F476"/>
      <c r="G476"/>
      <c r="H476"/>
      <c r="I476"/>
      <c r="J476"/>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48"/>
      <c r="BH476" s="48"/>
      <c r="BI476" s="48"/>
      <c r="BJ476" s="48"/>
      <c r="BK476" s="48"/>
      <c r="BL476" s="48"/>
      <c r="BM476" s="48"/>
      <c r="BN476" s="48"/>
      <c r="BO476" s="48"/>
      <c r="BP476" s="48"/>
      <c r="BQ476" s="48"/>
      <c r="BR476" s="48"/>
      <c r="BS476" s="48"/>
      <c r="BT476" s="48"/>
      <c r="BU476" s="48"/>
      <c r="BV476" s="48"/>
      <c r="BW476" s="48"/>
      <c r="BX476" s="48"/>
      <c r="BY476" s="48"/>
      <c r="BZ476" s="48"/>
      <c r="CA476" s="48"/>
      <c r="CB476" s="48"/>
      <c r="CC476" s="48"/>
      <c r="CD476" s="48"/>
      <c r="CE476" s="48"/>
      <c r="CF476" s="48"/>
      <c r="CG476" s="48"/>
      <c r="CH476" s="48"/>
      <c r="CI476" s="48"/>
      <c r="CJ476" s="48"/>
      <c r="CK476" s="48"/>
      <c r="CL476" s="48"/>
      <c r="CM476" s="48"/>
      <c r="CN476" s="48"/>
      <c r="CO476" s="48"/>
      <c r="CP476" s="48"/>
      <c r="CQ476" s="48"/>
      <c r="CR476" s="48"/>
      <c r="CS476" s="48"/>
      <c r="CT476" s="48"/>
      <c r="CU476" s="48"/>
      <c r="CV476" s="48"/>
      <c r="CW476" s="48"/>
      <c r="CX476" s="48"/>
      <c r="CY476" s="48"/>
      <c r="CZ476" s="48"/>
      <c r="DA476" s="48"/>
      <c r="DB476" s="48"/>
      <c r="DC476" s="48"/>
      <c r="DD476" s="48"/>
      <c r="DE476" s="48"/>
      <c r="DF476" s="48"/>
      <c r="DG476" s="48"/>
      <c r="DH476" s="48"/>
      <c r="DI476" s="48"/>
      <c r="DJ476" s="48"/>
      <c r="DK476" s="48"/>
      <c r="DL476" s="48"/>
      <c r="DM476" s="48"/>
      <c r="DN476" s="48"/>
      <c r="DO476" s="48"/>
      <c r="DP476" s="48"/>
      <c r="DQ476" s="48"/>
      <c r="DR476" s="48"/>
      <c r="DS476" s="48"/>
    </row>
    <row r="477" spans="1:123" ht="15">
      <c r="A477"/>
      <c r="B477"/>
      <c r="C477"/>
      <c r="D477"/>
      <c r="E477"/>
      <c r="F477"/>
      <c r="G477"/>
      <c r="H477"/>
      <c r="I477"/>
      <c r="J477"/>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48"/>
      <c r="BH477" s="48"/>
      <c r="BI477" s="48"/>
      <c r="BJ477" s="48"/>
      <c r="BK477" s="48"/>
      <c r="BL477" s="48"/>
      <c r="BM477" s="48"/>
      <c r="BN477" s="48"/>
      <c r="BO477" s="48"/>
      <c r="BP477" s="48"/>
      <c r="BQ477" s="48"/>
      <c r="BR477" s="48"/>
      <c r="BS477" s="48"/>
      <c r="BT477" s="48"/>
      <c r="BU477" s="48"/>
      <c r="BV477" s="48"/>
      <c r="BW477" s="48"/>
      <c r="BX477" s="48"/>
      <c r="BY477" s="48"/>
      <c r="BZ477" s="48"/>
      <c r="CA477" s="48"/>
      <c r="CB477" s="48"/>
      <c r="CC477" s="48"/>
      <c r="CD477" s="48"/>
      <c r="CE477" s="48"/>
      <c r="CF477" s="48"/>
      <c r="CG477" s="48"/>
      <c r="CH477" s="48"/>
      <c r="CI477" s="48"/>
      <c r="CJ477" s="48"/>
      <c r="CK477" s="48"/>
      <c r="CL477" s="48"/>
      <c r="CM477" s="48"/>
      <c r="CN477" s="48"/>
      <c r="CO477" s="48"/>
      <c r="CP477" s="48"/>
      <c r="CQ477" s="48"/>
      <c r="CR477" s="48"/>
      <c r="CS477" s="48"/>
      <c r="CT477" s="48"/>
      <c r="CU477" s="48"/>
      <c r="CV477" s="48"/>
      <c r="CW477" s="48"/>
      <c r="CX477" s="48"/>
      <c r="CY477" s="48"/>
      <c r="CZ477" s="48"/>
      <c r="DA477" s="48"/>
      <c r="DB477" s="48"/>
      <c r="DC477" s="48"/>
      <c r="DD477" s="48"/>
      <c r="DE477" s="48"/>
      <c r="DF477" s="48"/>
      <c r="DG477" s="48"/>
      <c r="DH477" s="48"/>
      <c r="DI477" s="48"/>
      <c r="DJ477" s="48"/>
      <c r="DK477" s="48"/>
      <c r="DL477" s="48"/>
      <c r="DM477" s="48"/>
      <c r="DN477" s="48"/>
      <c r="DO477" s="48"/>
      <c r="DP477" s="48"/>
      <c r="DQ477" s="48"/>
      <c r="DR477" s="48"/>
      <c r="DS477" s="48"/>
    </row>
    <row r="478" spans="1:123" ht="15">
      <c r="A478"/>
      <c r="B478"/>
      <c r="C478"/>
      <c r="D478"/>
      <c r="E478"/>
      <c r="F478"/>
      <c r="G478"/>
      <c r="H478"/>
      <c r="I478"/>
      <c r="J47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48"/>
      <c r="BH478" s="48"/>
      <c r="BI478" s="48"/>
      <c r="BJ478" s="48"/>
      <c r="BK478" s="48"/>
      <c r="BL478" s="48"/>
      <c r="BM478" s="48"/>
      <c r="BN478" s="48"/>
      <c r="BO478" s="48"/>
      <c r="BP478" s="48"/>
      <c r="BQ478" s="48"/>
      <c r="BR478" s="48"/>
      <c r="BS478" s="48"/>
      <c r="BT478" s="48"/>
      <c r="BU478" s="48"/>
      <c r="BV478" s="48"/>
      <c r="BW478" s="48"/>
      <c r="BX478" s="48"/>
      <c r="BY478" s="48"/>
      <c r="BZ478" s="48"/>
      <c r="CA478" s="48"/>
      <c r="CB478" s="48"/>
      <c r="CC478" s="48"/>
      <c r="CD478" s="48"/>
      <c r="CE478" s="48"/>
      <c r="CF478" s="48"/>
      <c r="CG478" s="48"/>
      <c r="CH478" s="48"/>
      <c r="CI478" s="48"/>
      <c r="CJ478" s="48"/>
      <c r="CK478" s="48"/>
      <c r="CL478" s="48"/>
      <c r="CM478" s="48"/>
      <c r="CN478" s="48"/>
      <c r="CO478" s="48"/>
      <c r="CP478" s="48"/>
      <c r="CQ478" s="48"/>
      <c r="CR478" s="48"/>
      <c r="CS478" s="48"/>
      <c r="CT478" s="48"/>
      <c r="CU478" s="48"/>
      <c r="CV478" s="48"/>
      <c r="CW478" s="48"/>
      <c r="CX478" s="48"/>
      <c r="CY478" s="48"/>
      <c r="CZ478" s="48"/>
      <c r="DA478" s="48"/>
      <c r="DB478" s="48"/>
      <c r="DC478" s="48"/>
      <c r="DD478" s="48"/>
      <c r="DE478" s="48"/>
      <c r="DF478" s="48"/>
      <c r="DG478" s="48"/>
      <c r="DH478" s="48"/>
      <c r="DI478" s="48"/>
      <c r="DJ478" s="48"/>
      <c r="DK478" s="48"/>
      <c r="DL478" s="48"/>
      <c r="DM478" s="48"/>
      <c r="DN478" s="48"/>
      <c r="DO478" s="48"/>
      <c r="DP478" s="48"/>
      <c r="DQ478" s="48"/>
      <c r="DR478" s="48"/>
      <c r="DS478" s="48"/>
    </row>
    <row r="479" spans="1:123" ht="15">
      <c r="A479"/>
      <c r="B479"/>
      <c r="C479"/>
      <c r="D479"/>
      <c r="E479"/>
      <c r="F479"/>
      <c r="G479"/>
      <c r="H479"/>
      <c r="I479"/>
      <c r="J479"/>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48"/>
      <c r="BH479" s="48"/>
      <c r="BI479" s="48"/>
      <c r="BJ479" s="48"/>
      <c r="BK479" s="48"/>
      <c r="BL479" s="48"/>
      <c r="BM479" s="48"/>
      <c r="BN479" s="48"/>
      <c r="BO479" s="48"/>
      <c r="BP479" s="48"/>
      <c r="BQ479" s="48"/>
      <c r="BR479" s="48"/>
      <c r="BS479" s="48"/>
      <c r="BT479" s="48"/>
      <c r="BU479" s="48"/>
      <c r="BV479" s="48"/>
      <c r="BW479" s="48"/>
      <c r="BX479" s="48"/>
      <c r="BY479" s="48"/>
      <c r="BZ479" s="48"/>
      <c r="CA479" s="48"/>
      <c r="CB479" s="48"/>
      <c r="CC479" s="48"/>
      <c r="CD479" s="48"/>
      <c r="CE479" s="48"/>
      <c r="CF479" s="48"/>
      <c r="CG479" s="48"/>
      <c r="CH479" s="48"/>
      <c r="CI479" s="48"/>
      <c r="CJ479" s="48"/>
      <c r="CK479" s="48"/>
      <c r="CL479" s="48"/>
      <c r="CM479" s="48"/>
      <c r="CN479" s="48"/>
      <c r="CO479" s="48"/>
      <c r="CP479" s="48"/>
      <c r="CQ479" s="48"/>
      <c r="CR479" s="48"/>
      <c r="CS479" s="48"/>
      <c r="CT479" s="48"/>
      <c r="CU479" s="48"/>
      <c r="CV479" s="48"/>
      <c r="CW479" s="48"/>
      <c r="CX479" s="48"/>
      <c r="CY479" s="48"/>
      <c r="CZ479" s="48"/>
      <c r="DA479" s="48"/>
      <c r="DB479" s="48"/>
      <c r="DC479" s="48"/>
      <c r="DD479" s="48"/>
      <c r="DE479" s="48"/>
      <c r="DF479" s="48"/>
      <c r="DG479" s="48"/>
      <c r="DH479" s="48"/>
      <c r="DI479" s="48"/>
      <c r="DJ479" s="48"/>
      <c r="DK479" s="48"/>
      <c r="DL479" s="48"/>
      <c r="DM479" s="48"/>
      <c r="DN479" s="48"/>
      <c r="DO479" s="48"/>
      <c r="DP479" s="48"/>
      <c r="DQ479" s="48"/>
      <c r="DR479" s="48"/>
      <c r="DS479" s="48"/>
    </row>
    <row r="480" spans="1:123" ht="15">
      <c r="A480"/>
      <c r="B480"/>
      <c r="C480"/>
      <c r="D480"/>
      <c r="E480"/>
      <c r="F480"/>
      <c r="G480"/>
      <c r="H480"/>
      <c r="I480"/>
      <c r="J480"/>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48"/>
      <c r="BH480" s="48"/>
      <c r="BI480" s="48"/>
      <c r="BJ480" s="48"/>
      <c r="BK480" s="48"/>
      <c r="BL480" s="48"/>
      <c r="BM480" s="48"/>
      <c r="BN480" s="48"/>
      <c r="BO480" s="48"/>
      <c r="BP480" s="48"/>
      <c r="BQ480" s="48"/>
      <c r="BR480" s="48"/>
      <c r="BS480" s="48"/>
      <c r="BT480" s="48"/>
      <c r="BU480" s="48"/>
      <c r="BV480" s="48"/>
      <c r="BW480" s="48"/>
      <c r="BX480" s="48"/>
      <c r="BY480" s="48"/>
      <c r="BZ480" s="48"/>
      <c r="CA480" s="48"/>
      <c r="CB480" s="48"/>
      <c r="CC480" s="48"/>
      <c r="CD480" s="48"/>
      <c r="CE480" s="48"/>
      <c r="CF480" s="48"/>
      <c r="CG480" s="48"/>
      <c r="CH480" s="48"/>
      <c r="CI480" s="48"/>
      <c r="CJ480" s="48"/>
      <c r="CK480" s="48"/>
      <c r="CL480" s="48"/>
      <c r="CM480" s="48"/>
      <c r="CN480" s="48"/>
      <c r="CO480" s="48"/>
      <c r="CP480" s="48"/>
      <c r="CQ480" s="48"/>
      <c r="CR480" s="48"/>
      <c r="CS480" s="48"/>
      <c r="CT480" s="48"/>
      <c r="CU480" s="48"/>
      <c r="CV480" s="48"/>
      <c r="CW480" s="48"/>
      <c r="CX480" s="48"/>
      <c r="CY480" s="48"/>
      <c r="CZ480" s="48"/>
      <c r="DA480" s="48"/>
      <c r="DB480" s="48"/>
      <c r="DC480" s="48"/>
      <c r="DD480" s="48"/>
      <c r="DE480" s="48"/>
      <c r="DF480" s="48"/>
      <c r="DG480" s="48"/>
      <c r="DH480" s="48"/>
      <c r="DI480" s="48"/>
      <c r="DJ480" s="48"/>
      <c r="DK480" s="48"/>
      <c r="DL480" s="48"/>
      <c r="DM480" s="48"/>
      <c r="DN480" s="48"/>
      <c r="DO480" s="48"/>
      <c r="DP480" s="48"/>
      <c r="DQ480" s="48"/>
      <c r="DR480" s="48"/>
      <c r="DS480" s="48"/>
    </row>
    <row r="481" spans="1:123" ht="15">
      <c r="A481"/>
      <c r="B481"/>
      <c r="C481"/>
      <c r="D481"/>
      <c r="E481"/>
      <c r="F481"/>
      <c r="G481"/>
      <c r="H481"/>
      <c r="I481"/>
      <c r="J481"/>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48"/>
      <c r="BH481" s="48"/>
      <c r="BI481" s="48"/>
      <c r="BJ481" s="48"/>
      <c r="BK481" s="48"/>
      <c r="BL481" s="48"/>
      <c r="BM481" s="48"/>
      <c r="BN481" s="48"/>
      <c r="BO481" s="48"/>
      <c r="BP481" s="48"/>
      <c r="BQ481" s="48"/>
      <c r="BR481" s="48"/>
      <c r="BS481" s="48"/>
      <c r="BT481" s="48"/>
      <c r="BU481" s="48"/>
      <c r="BV481" s="48"/>
      <c r="BW481" s="48"/>
      <c r="BX481" s="48"/>
      <c r="BY481" s="48"/>
      <c r="BZ481" s="48"/>
      <c r="CA481" s="48"/>
      <c r="CB481" s="48"/>
      <c r="CC481" s="48"/>
      <c r="CD481" s="48"/>
      <c r="CE481" s="48"/>
      <c r="CF481" s="48"/>
      <c r="CG481" s="48"/>
      <c r="CH481" s="48"/>
      <c r="CI481" s="48"/>
      <c r="CJ481" s="48"/>
      <c r="CK481" s="48"/>
      <c r="CL481" s="48"/>
      <c r="CM481" s="48"/>
      <c r="CN481" s="48"/>
      <c r="CO481" s="48"/>
      <c r="CP481" s="48"/>
      <c r="CQ481" s="48"/>
      <c r="CR481" s="48"/>
      <c r="CS481" s="48"/>
      <c r="CT481" s="48"/>
      <c r="CU481" s="48"/>
      <c r="CV481" s="48"/>
      <c r="CW481" s="48"/>
      <c r="CX481" s="48"/>
      <c r="CY481" s="48"/>
      <c r="CZ481" s="48"/>
      <c r="DA481" s="48"/>
      <c r="DB481" s="48"/>
      <c r="DC481" s="48"/>
      <c r="DD481" s="48"/>
      <c r="DE481" s="48"/>
      <c r="DF481" s="48"/>
      <c r="DG481" s="48"/>
      <c r="DH481" s="48"/>
      <c r="DI481" s="48"/>
      <c r="DJ481" s="48"/>
      <c r="DK481" s="48"/>
      <c r="DL481" s="48"/>
      <c r="DM481" s="48"/>
      <c r="DN481" s="48"/>
      <c r="DO481" s="48"/>
      <c r="DP481" s="48"/>
      <c r="DQ481" s="48"/>
      <c r="DR481" s="48"/>
      <c r="DS481" s="48"/>
    </row>
    <row r="482" spans="1:123" ht="15">
      <c r="A482"/>
      <c r="B482"/>
      <c r="C482"/>
      <c r="D482"/>
      <c r="E482"/>
      <c r="F482"/>
      <c r="G482"/>
      <c r="H482"/>
      <c r="I482"/>
      <c r="J482"/>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48"/>
      <c r="BH482" s="48"/>
      <c r="BI482" s="48"/>
      <c r="BJ482" s="48"/>
      <c r="BK482" s="48"/>
      <c r="BL482" s="48"/>
      <c r="BM482" s="48"/>
      <c r="BN482" s="48"/>
      <c r="BO482" s="48"/>
      <c r="BP482" s="48"/>
      <c r="BQ482" s="48"/>
      <c r="BR482" s="48"/>
      <c r="BS482" s="48"/>
      <c r="BT482" s="48"/>
      <c r="BU482" s="48"/>
      <c r="BV482" s="48"/>
      <c r="BW482" s="48"/>
      <c r="BX482" s="48"/>
      <c r="BY482" s="48"/>
      <c r="BZ482" s="48"/>
      <c r="CA482" s="48"/>
      <c r="CB482" s="48"/>
      <c r="CC482" s="48"/>
      <c r="CD482" s="48"/>
      <c r="CE482" s="48"/>
      <c r="CF482" s="48"/>
      <c r="CG482" s="48"/>
      <c r="CH482" s="48"/>
      <c r="CI482" s="48"/>
      <c r="CJ482" s="48"/>
      <c r="CK482" s="48"/>
      <c r="CL482" s="48"/>
      <c r="CM482" s="48"/>
      <c r="CN482" s="48"/>
      <c r="CO482" s="48"/>
      <c r="CP482" s="48"/>
      <c r="CQ482" s="48"/>
      <c r="CR482" s="48"/>
      <c r="CS482" s="48"/>
      <c r="CT482" s="48"/>
      <c r="CU482" s="48"/>
      <c r="CV482" s="48"/>
      <c r="CW482" s="48"/>
      <c r="CX482" s="48"/>
      <c r="CY482" s="48"/>
      <c r="CZ482" s="48"/>
      <c r="DA482" s="48"/>
      <c r="DB482" s="48"/>
      <c r="DC482" s="48"/>
      <c r="DD482" s="48"/>
      <c r="DE482" s="48"/>
      <c r="DF482" s="48"/>
      <c r="DG482" s="48"/>
      <c r="DH482" s="48"/>
      <c r="DI482" s="48"/>
      <c r="DJ482" s="48"/>
      <c r="DK482" s="48"/>
      <c r="DL482" s="48"/>
      <c r="DM482" s="48"/>
      <c r="DN482" s="48"/>
      <c r="DO482" s="48"/>
      <c r="DP482" s="48"/>
      <c r="DQ482" s="48"/>
      <c r="DR482" s="48"/>
      <c r="DS482" s="48"/>
    </row>
    <row r="483" spans="1:123" ht="15">
      <c r="A483"/>
      <c r="B483"/>
      <c r="C483"/>
      <c r="D483"/>
      <c r="E483"/>
      <c r="F483"/>
      <c r="G483"/>
      <c r="H483"/>
      <c r="I483"/>
      <c r="J483"/>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48"/>
      <c r="BH483" s="48"/>
      <c r="BI483" s="48"/>
      <c r="BJ483" s="48"/>
      <c r="BK483" s="48"/>
      <c r="BL483" s="48"/>
      <c r="BM483" s="48"/>
      <c r="BN483" s="48"/>
      <c r="BO483" s="48"/>
      <c r="BP483" s="48"/>
      <c r="BQ483" s="48"/>
      <c r="BR483" s="48"/>
      <c r="BS483" s="48"/>
      <c r="BT483" s="48"/>
      <c r="BU483" s="48"/>
      <c r="BV483" s="48"/>
      <c r="BW483" s="48"/>
      <c r="BX483" s="48"/>
      <c r="BY483" s="48"/>
      <c r="BZ483" s="48"/>
      <c r="CA483" s="48"/>
      <c r="CB483" s="48"/>
      <c r="CC483" s="48"/>
      <c r="CD483" s="48"/>
      <c r="CE483" s="48"/>
      <c r="CF483" s="48"/>
      <c r="CG483" s="48"/>
      <c r="CH483" s="48"/>
      <c r="CI483" s="48"/>
      <c r="CJ483" s="48"/>
      <c r="CK483" s="48"/>
      <c r="CL483" s="48"/>
      <c r="CM483" s="48"/>
      <c r="CN483" s="48"/>
      <c r="CO483" s="48"/>
      <c r="CP483" s="48"/>
      <c r="CQ483" s="48"/>
      <c r="CR483" s="48"/>
      <c r="CS483" s="48"/>
      <c r="CT483" s="48"/>
      <c r="CU483" s="48"/>
      <c r="CV483" s="48"/>
      <c r="CW483" s="48"/>
      <c r="CX483" s="48"/>
      <c r="CY483" s="48"/>
      <c r="CZ483" s="48"/>
      <c r="DA483" s="48"/>
      <c r="DB483" s="48"/>
      <c r="DC483" s="48"/>
      <c r="DD483" s="48"/>
      <c r="DE483" s="48"/>
      <c r="DF483" s="48"/>
      <c r="DG483" s="48"/>
      <c r="DH483" s="48"/>
      <c r="DI483" s="48"/>
      <c r="DJ483" s="48"/>
      <c r="DK483" s="48"/>
      <c r="DL483" s="48"/>
      <c r="DM483" s="48"/>
      <c r="DN483" s="48"/>
      <c r="DO483" s="48"/>
      <c r="DP483" s="48"/>
      <c r="DQ483" s="48"/>
      <c r="DR483" s="48"/>
      <c r="DS483" s="48"/>
    </row>
    <row r="484" spans="1:123" ht="15">
      <c r="A484"/>
      <c r="B484"/>
      <c r="C484"/>
      <c r="D484"/>
      <c r="E484"/>
      <c r="F484"/>
      <c r="G484"/>
      <c r="H484"/>
      <c r="I484"/>
      <c r="J484"/>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48"/>
      <c r="BH484" s="48"/>
      <c r="BI484" s="48"/>
      <c r="BJ484" s="48"/>
      <c r="BK484" s="48"/>
      <c r="BL484" s="48"/>
      <c r="BM484" s="48"/>
      <c r="BN484" s="48"/>
      <c r="BO484" s="48"/>
      <c r="BP484" s="48"/>
      <c r="BQ484" s="48"/>
      <c r="BR484" s="48"/>
      <c r="BS484" s="48"/>
      <c r="BT484" s="48"/>
      <c r="BU484" s="48"/>
      <c r="BV484" s="48"/>
      <c r="BW484" s="48"/>
      <c r="BX484" s="48"/>
      <c r="BY484" s="48"/>
      <c r="BZ484" s="48"/>
      <c r="CA484" s="48"/>
      <c r="CB484" s="48"/>
      <c r="CC484" s="48"/>
      <c r="CD484" s="48"/>
      <c r="CE484" s="48"/>
      <c r="CF484" s="48"/>
      <c r="CG484" s="48"/>
      <c r="CH484" s="48"/>
      <c r="CI484" s="48"/>
      <c r="CJ484" s="48"/>
      <c r="CK484" s="48"/>
      <c r="CL484" s="48"/>
      <c r="CM484" s="48"/>
      <c r="CN484" s="48"/>
      <c r="CO484" s="48"/>
      <c r="CP484" s="48"/>
      <c r="CQ484" s="48"/>
      <c r="CR484" s="48"/>
      <c r="CS484" s="48"/>
      <c r="CT484" s="48"/>
      <c r="CU484" s="48"/>
      <c r="CV484" s="48"/>
      <c r="CW484" s="48"/>
      <c r="CX484" s="48"/>
      <c r="CY484" s="48"/>
      <c r="CZ484" s="48"/>
      <c r="DA484" s="48"/>
      <c r="DB484" s="48"/>
      <c r="DC484" s="48"/>
      <c r="DD484" s="48"/>
      <c r="DE484" s="48"/>
      <c r="DF484" s="48"/>
      <c r="DG484" s="48"/>
      <c r="DH484" s="48"/>
      <c r="DI484" s="48"/>
      <c r="DJ484" s="48"/>
      <c r="DK484" s="48"/>
      <c r="DL484" s="48"/>
      <c r="DM484" s="48"/>
      <c r="DN484" s="48"/>
      <c r="DO484" s="48"/>
      <c r="DP484" s="48"/>
      <c r="DQ484" s="48"/>
      <c r="DR484" s="48"/>
      <c r="DS484" s="48"/>
    </row>
    <row r="485" spans="1:123" ht="15">
      <c r="A485"/>
      <c r="B485"/>
      <c r="C485"/>
      <c r="D485"/>
      <c r="E485"/>
      <c r="F485"/>
      <c r="G485"/>
      <c r="H485"/>
      <c r="I485"/>
      <c r="J485"/>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48"/>
      <c r="BH485" s="48"/>
      <c r="BI485" s="48"/>
      <c r="BJ485" s="48"/>
      <c r="BK485" s="48"/>
      <c r="BL485" s="48"/>
      <c r="BM485" s="48"/>
      <c r="BN485" s="48"/>
      <c r="BO485" s="48"/>
      <c r="BP485" s="48"/>
      <c r="BQ485" s="48"/>
      <c r="BR485" s="48"/>
      <c r="BS485" s="48"/>
      <c r="BT485" s="48"/>
      <c r="BU485" s="48"/>
      <c r="BV485" s="48"/>
      <c r="BW485" s="48"/>
      <c r="BX485" s="48"/>
      <c r="BY485" s="48"/>
      <c r="BZ485" s="48"/>
      <c r="CA485" s="48"/>
      <c r="CB485" s="48"/>
      <c r="CC485" s="48"/>
      <c r="CD485" s="48"/>
      <c r="CE485" s="48"/>
      <c r="CF485" s="48"/>
      <c r="CG485" s="48"/>
      <c r="CH485" s="48"/>
      <c r="CI485" s="48"/>
      <c r="CJ485" s="48"/>
      <c r="CK485" s="48"/>
      <c r="CL485" s="48"/>
      <c r="CM485" s="48"/>
      <c r="CN485" s="48"/>
      <c r="CO485" s="48"/>
      <c r="CP485" s="48"/>
      <c r="CQ485" s="48"/>
      <c r="CR485" s="48"/>
      <c r="CS485" s="48"/>
      <c r="CT485" s="48"/>
      <c r="CU485" s="48"/>
      <c r="CV485" s="48"/>
      <c r="CW485" s="48"/>
      <c r="CX485" s="48"/>
      <c r="CY485" s="48"/>
      <c r="CZ485" s="48"/>
      <c r="DA485" s="48"/>
      <c r="DB485" s="48"/>
      <c r="DC485" s="48"/>
      <c r="DD485" s="48"/>
      <c r="DE485" s="48"/>
      <c r="DF485" s="48"/>
      <c r="DG485" s="48"/>
      <c r="DH485" s="48"/>
      <c r="DI485" s="48"/>
      <c r="DJ485" s="48"/>
      <c r="DK485" s="48"/>
      <c r="DL485" s="48"/>
      <c r="DM485" s="48"/>
      <c r="DN485" s="48"/>
      <c r="DO485" s="48"/>
      <c r="DP485" s="48"/>
      <c r="DQ485" s="48"/>
      <c r="DR485" s="48"/>
      <c r="DS485" s="48"/>
    </row>
    <row r="486" spans="1:123" ht="15">
      <c r="A486"/>
      <c r="B486"/>
      <c r="C486"/>
      <c r="D486"/>
      <c r="E486"/>
      <c r="F486"/>
      <c r="G486"/>
      <c r="H486"/>
      <c r="I486"/>
      <c r="J486"/>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48"/>
      <c r="BW486" s="48"/>
      <c r="BX486" s="48"/>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48"/>
      <c r="CX486" s="48"/>
      <c r="CY486" s="48"/>
      <c r="CZ486" s="48"/>
      <c r="DA486" s="48"/>
      <c r="DB486" s="48"/>
      <c r="DC486" s="48"/>
      <c r="DD486" s="48"/>
      <c r="DE486" s="48"/>
      <c r="DF486" s="48"/>
      <c r="DG486" s="48"/>
      <c r="DH486" s="48"/>
      <c r="DI486" s="48"/>
      <c r="DJ486" s="48"/>
      <c r="DK486" s="48"/>
      <c r="DL486" s="48"/>
      <c r="DM486" s="48"/>
      <c r="DN486" s="48"/>
      <c r="DO486" s="48"/>
      <c r="DP486" s="48"/>
      <c r="DQ486" s="48"/>
      <c r="DR486" s="48"/>
      <c r="DS486" s="48"/>
    </row>
    <row r="487" spans="1:123" ht="15">
      <c r="A487"/>
      <c r="B487"/>
      <c r="C487"/>
      <c r="D487"/>
      <c r="E487"/>
      <c r="F487"/>
      <c r="G487"/>
      <c r="H487"/>
      <c r="I487"/>
      <c r="J487"/>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c r="BO487" s="48"/>
      <c r="BP487" s="48"/>
      <c r="BQ487" s="48"/>
      <c r="BR487" s="48"/>
      <c r="BS487" s="48"/>
      <c r="BT487" s="48"/>
      <c r="BU487" s="48"/>
      <c r="BV487" s="48"/>
      <c r="BW487" s="48"/>
      <c r="BX487" s="48"/>
      <c r="BY487" s="48"/>
      <c r="BZ487" s="48"/>
      <c r="CA487" s="48"/>
      <c r="CB487" s="48"/>
      <c r="CC487" s="48"/>
      <c r="CD487" s="48"/>
      <c r="CE487" s="48"/>
      <c r="CF487" s="48"/>
      <c r="CG487" s="48"/>
      <c r="CH487" s="48"/>
      <c r="CI487" s="48"/>
      <c r="CJ487" s="48"/>
      <c r="CK487" s="48"/>
      <c r="CL487" s="48"/>
      <c r="CM487" s="48"/>
      <c r="CN487" s="48"/>
      <c r="CO487" s="48"/>
      <c r="CP487" s="48"/>
      <c r="CQ487" s="48"/>
      <c r="CR487" s="48"/>
      <c r="CS487" s="48"/>
      <c r="CT487" s="48"/>
      <c r="CU487" s="48"/>
      <c r="CV487" s="48"/>
      <c r="CW487" s="48"/>
      <c r="CX487" s="48"/>
      <c r="CY487" s="48"/>
      <c r="CZ487" s="48"/>
      <c r="DA487" s="48"/>
      <c r="DB487" s="48"/>
      <c r="DC487" s="48"/>
      <c r="DD487" s="48"/>
      <c r="DE487" s="48"/>
      <c r="DF487" s="48"/>
      <c r="DG487" s="48"/>
      <c r="DH487" s="48"/>
      <c r="DI487" s="48"/>
      <c r="DJ487" s="48"/>
      <c r="DK487" s="48"/>
      <c r="DL487" s="48"/>
      <c r="DM487" s="48"/>
      <c r="DN487" s="48"/>
      <c r="DO487" s="48"/>
      <c r="DP487" s="48"/>
      <c r="DQ487" s="48"/>
      <c r="DR487" s="48"/>
      <c r="DS487" s="48"/>
    </row>
    <row r="488" spans="1:123" ht="15">
      <c r="A488"/>
      <c r="B488"/>
      <c r="C488"/>
      <c r="D488"/>
      <c r="E488"/>
      <c r="F488"/>
      <c r="G488"/>
      <c r="H488"/>
      <c r="I488"/>
      <c r="J48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c r="BO488" s="48"/>
      <c r="BP488" s="48"/>
      <c r="BQ488" s="48"/>
      <c r="BR488" s="48"/>
      <c r="BS488" s="48"/>
      <c r="BT488" s="48"/>
      <c r="BU488" s="48"/>
      <c r="BV488" s="48"/>
      <c r="BW488" s="48"/>
      <c r="BX488" s="48"/>
      <c r="BY488" s="48"/>
      <c r="BZ488" s="48"/>
      <c r="CA488" s="48"/>
      <c r="CB488" s="48"/>
      <c r="CC488" s="48"/>
      <c r="CD488" s="48"/>
      <c r="CE488" s="48"/>
      <c r="CF488" s="48"/>
      <c r="CG488" s="48"/>
      <c r="CH488" s="48"/>
      <c r="CI488" s="48"/>
      <c r="CJ488" s="48"/>
      <c r="CK488" s="48"/>
      <c r="CL488" s="48"/>
      <c r="CM488" s="48"/>
      <c r="CN488" s="48"/>
      <c r="CO488" s="48"/>
      <c r="CP488" s="48"/>
      <c r="CQ488" s="48"/>
      <c r="CR488" s="48"/>
      <c r="CS488" s="48"/>
      <c r="CT488" s="48"/>
      <c r="CU488" s="48"/>
      <c r="CV488" s="48"/>
      <c r="CW488" s="48"/>
      <c r="CX488" s="48"/>
      <c r="CY488" s="48"/>
      <c r="CZ488" s="48"/>
      <c r="DA488" s="48"/>
      <c r="DB488" s="48"/>
      <c r="DC488" s="48"/>
      <c r="DD488" s="48"/>
      <c r="DE488" s="48"/>
      <c r="DF488" s="48"/>
      <c r="DG488" s="48"/>
      <c r="DH488" s="48"/>
      <c r="DI488" s="48"/>
      <c r="DJ488" s="48"/>
      <c r="DK488" s="48"/>
      <c r="DL488" s="48"/>
      <c r="DM488" s="48"/>
      <c r="DN488" s="48"/>
      <c r="DO488" s="48"/>
      <c r="DP488" s="48"/>
      <c r="DQ488" s="48"/>
      <c r="DR488" s="48"/>
      <c r="DS488" s="48"/>
    </row>
    <row r="489" spans="1:123" ht="15">
      <c r="A489"/>
      <c r="B489"/>
      <c r="C489"/>
      <c r="D489"/>
      <c r="E489"/>
      <c r="F489"/>
      <c r="G489"/>
      <c r="H489"/>
      <c r="I489"/>
      <c r="J489"/>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c r="BS489" s="48"/>
      <c r="BT489" s="48"/>
      <c r="BU489" s="48"/>
      <c r="BV489" s="48"/>
      <c r="BW489" s="48"/>
      <c r="BX489" s="48"/>
      <c r="BY489" s="48"/>
      <c r="BZ489" s="48"/>
      <c r="CA489" s="48"/>
      <c r="CB489" s="48"/>
      <c r="CC489" s="48"/>
      <c r="CD489" s="48"/>
      <c r="CE489" s="48"/>
      <c r="CF489" s="48"/>
      <c r="CG489" s="48"/>
      <c r="CH489" s="48"/>
      <c r="CI489" s="48"/>
      <c r="CJ489" s="48"/>
      <c r="CK489" s="48"/>
      <c r="CL489" s="48"/>
      <c r="CM489" s="48"/>
      <c r="CN489" s="48"/>
      <c r="CO489" s="48"/>
      <c r="CP489" s="48"/>
      <c r="CQ489" s="48"/>
      <c r="CR489" s="48"/>
      <c r="CS489" s="48"/>
      <c r="CT489" s="48"/>
      <c r="CU489" s="48"/>
      <c r="CV489" s="48"/>
      <c r="CW489" s="48"/>
      <c r="CX489" s="48"/>
      <c r="CY489" s="48"/>
      <c r="CZ489" s="48"/>
      <c r="DA489" s="48"/>
      <c r="DB489" s="48"/>
      <c r="DC489" s="48"/>
      <c r="DD489" s="48"/>
      <c r="DE489" s="48"/>
      <c r="DF489" s="48"/>
      <c r="DG489" s="48"/>
      <c r="DH489" s="48"/>
      <c r="DI489" s="48"/>
      <c r="DJ489" s="48"/>
      <c r="DK489" s="48"/>
      <c r="DL489" s="48"/>
      <c r="DM489" s="48"/>
      <c r="DN489" s="48"/>
      <c r="DO489" s="48"/>
      <c r="DP489" s="48"/>
      <c r="DQ489" s="48"/>
      <c r="DR489" s="48"/>
      <c r="DS489" s="48"/>
    </row>
    <row r="490" spans="1:123" ht="15">
      <c r="A490"/>
      <c r="B490"/>
      <c r="C490"/>
      <c r="D490"/>
      <c r="E490"/>
      <c r="F490"/>
      <c r="G490"/>
      <c r="H490"/>
      <c r="I490"/>
      <c r="J490"/>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48"/>
      <c r="BH490" s="48"/>
      <c r="BI490" s="48"/>
      <c r="BJ490" s="48"/>
      <c r="BK490" s="48"/>
      <c r="BL490" s="48"/>
      <c r="BM490" s="48"/>
      <c r="BN490" s="48"/>
      <c r="BO490" s="48"/>
      <c r="BP490" s="48"/>
      <c r="BQ490" s="48"/>
      <c r="BR490" s="48"/>
      <c r="BS490" s="48"/>
      <c r="BT490" s="48"/>
      <c r="BU490" s="48"/>
      <c r="BV490" s="48"/>
      <c r="BW490" s="48"/>
      <c r="BX490" s="48"/>
      <c r="BY490" s="48"/>
      <c r="BZ490" s="48"/>
      <c r="CA490" s="48"/>
      <c r="CB490" s="48"/>
      <c r="CC490" s="48"/>
      <c r="CD490" s="48"/>
      <c r="CE490" s="48"/>
      <c r="CF490" s="48"/>
      <c r="CG490" s="48"/>
      <c r="CH490" s="48"/>
      <c r="CI490" s="48"/>
      <c r="CJ490" s="48"/>
      <c r="CK490" s="48"/>
      <c r="CL490" s="48"/>
      <c r="CM490" s="48"/>
      <c r="CN490" s="48"/>
      <c r="CO490" s="48"/>
      <c r="CP490" s="48"/>
      <c r="CQ490" s="48"/>
      <c r="CR490" s="48"/>
      <c r="CS490" s="48"/>
      <c r="CT490" s="48"/>
      <c r="CU490" s="48"/>
      <c r="CV490" s="48"/>
      <c r="CW490" s="48"/>
      <c r="CX490" s="48"/>
      <c r="CY490" s="48"/>
      <c r="CZ490" s="48"/>
      <c r="DA490" s="48"/>
      <c r="DB490" s="48"/>
      <c r="DC490" s="48"/>
      <c r="DD490" s="48"/>
      <c r="DE490" s="48"/>
      <c r="DF490" s="48"/>
      <c r="DG490" s="48"/>
      <c r="DH490" s="48"/>
      <c r="DI490" s="48"/>
      <c r="DJ490" s="48"/>
      <c r="DK490" s="48"/>
      <c r="DL490" s="48"/>
      <c r="DM490" s="48"/>
      <c r="DN490" s="48"/>
      <c r="DO490" s="48"/>
      <c r="DP490" s="48"/>
      <c r="DQ490" s="48"/>
      <c r="DR490" s="48"/>
      <c r="DS490" s="48"/>
    </row>
    <row r="491" spans="1:123" ht="15">
      <c r="A491"/>
      <c r="B491"/>
      <c r="C491"/>
      <c r="D491"/>
      <c r="E491"/>
      <c r="F491"/>
      <c r="G491"/>
      <c r="H491"/>
      <c r="I491"/>
      <c r="J491"/>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48"/>
      <c r="BH491" s="48"/>
      <c r="BI491" s="48"/>
      <c r="BJ491" s="48"/>
      <c r="BK491" s="48"/>
      <c r="BL491" s="48"/>
      <c r="BM491" s="48"/>
      <c r="BN491" s="48"/>
      <c r="BO491" s="48"/>
      <c r="BP491" s="48"/>
      <c r="BQ491" s="48"/>
      <c r="BR491" s="48"/>
      <c r="BS491" s="48"/>
      <c r="BT491" s="48"/>
      <c r="BU491" s="48"/>
      <c r="BV491" s="48"/>
      <c r="BW491" s="48"/>
      <c r="BX491" s="48"/>
      <c r="BY491" s="48"/>
      <c r="BZ491" s="48"/>
      <c r="CA491" s="48"/>
      <c r="CB491" s="48"/>
      <c r="CC491" s="48"/>
      <c r="CD491" s="48"/>
      <c r="CE491" s="48"/>
      <c r="CF491" s="48"/>
      <c r="CG491" s="48"/>
      <c r="CH491" s="48"/>
      <c r="CI491" s="48"/>
      <c r="CJ491" s="48"/>
      <c r="CK491" s="48"/>
      <c r="CL491" s="48"/>
      <c r="CM491" s="48"/>
      <c r="CN491" s="48"/>
      <c r="CO491" s="48"/>
      <c r="CP491" s="48"/>
      <c r="CQ491" s="48"/>
      <c r="CR491" s="48"/>
      <c r="CS491" s="48"/>
      <c r="CT491" s="48"/>
      <c r="CU491" s="48"/>
      <c r="CV491" s="48"/>
      <c r="CW491" s="48"/>
      <c r="CX491" s="48"/>
      <c r="CY491" s="48"/>
      <c r="CZ491" s="48"/>
      <c r="DA491" s="48"/>
      <c r="DB491" s="48"/>
      <c r="DC491" s="48"/>
      <c r="DD491" s="48"/>
      <c r="DE491" s="48"/>
      <c r="DF491" s="48"/>
      <c r="DG491" s="48"/>
      <c r="DH491" s="48"/>
      <c r="DI491" s="48"/>
      <c r="DJ491" s="48"/>
      <c r="DK491" s="48"/>
      <c r="DL491" s="48"/>
      <c r="DM491" s="48"/>
      <c r="DN491" s="48"/>
      <c r="DO491" s="48"/>
      <c r="DP491" s="48"/>
      <c r="DQ491" s="48"/>
      <c r="DR491" s="48"/>
      <c r="DS491" s="48"/>
    </row>
    <row r="492" spans="1:123" ht="15">
      <c r="A492"/>
      <c r="B492"/>
      <c r="C492"/>
      <c r="D492"/>
      <c r="E492"/>
      <c r="F492"/>
      <c r="G492"/>
      <c r="H492"/>
      <c r="I492"/>
      <c r="J492"/>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48"/>
      <c r="BW492" s="48"/>
      <c r="BX492" s="48"/>
      <c r="BY492" s="48"/>
      <c r="BZ492" s="48"/>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48"/>
      <c r="CX492" s="48"/>
      <c r="CY492" s="48"/>
      <c r="CZ492" s="48"/>
      <c r="DA492" s="48"/>
      <c r="DB492" s="48"/>
      <c r="DC492" s="48"/>
      <c r="DD492" s="48"/>
      <c r="DE492" s="48"/>
      <c r="DF492" s="48"/>
      <c r="DG492" s="48"/>
      <c r="DH492" s="48"/>
      <c r="DI492" s="48"/>
      <c r="DJ492" s="48"/>
      <c r="DK492" s="48"/>
      <c r="DL492" s="48"/>
      <c r="DM492" s="48"/>
      <c r="DN492" s="48"/>
      <c r="DO492" s="48"/>
      <c r="DP492" s="48"/>
      <c r="DQ492" s="48"/>
      <c r="DR492" s="48"/>
      <c r="DS492" s="48"/>
    </row>
    <row r="493" spans="1:123" ht="15">
      <c r="A493"/>
      <c r="B493"/>
      <c r="C493"/>
      <c r="D493"/>
      <c r="E493"/>
      <c r="F493"/>
      <c r="G493"/>
      <c r="H493"/>
      <c r="I493"/>
      <c r="J493"/>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48"/>
      <c r="BH493" s="48"/>
      <c r="BI493" s="48"/>
      <c r="BJ493" s="48"/>
      <c r="BK493" s="48"/>
      <c r="BL493" s="48"/>
      <c r="BM493" s="48"/>
      <c r="BN493" s="48"/>
      <c r="BO493" s="48"/>
      <c r="BP493" s="48"/>
      <c r="BQ493" s="48"/>
      <c r="BR493" s="48"/>
      <c r="BS493" s="48"/>
      <c r="BT493" s="48"/>
      <c r="BU493" s="48"/>
      <c r="BV493" s="48"/>
      <c r="BW493" s="48"/>
      <c r="BX493" s="48"/>
      <c r="BY493" s="48"/>
      <c r="BZ493" s="48"/>
      <c r="CA493" s="48"/>
      <c r="CB493" s="48"/>
      <c r="CC493" s="48"/>
      <c r="CD493" s="48"/>
      <c r="CE493" s="48"/>
      <c r="CF493" s="48"/>
      <c r="CG493" s="48"/>
      <c r="CH493" s="48"/>
      <c r="CI493" s="48"/>
      <c r="CJ493" s="48"/>
      <c r="CK493" s="48"/>
      <c r="CL493" s="48"/>
      <c r="CM493" s="48"/>
      <c r="CN493" s="48"/>
      <c r="CO493" s="48"/>
      <c r="CP493" s="48"/>
      <c r="CQ493" s="48"/>
      <c r="CR493" s="48"/>
      <c r="CS493" s="48"/>
      <c r="CT493" s="48"/>
      <c r="CU493" s="48"/>
      <c r="CV493" s="48"/>
      <c r="CW493" s="48"/>
      <c r="CX493" s="48"/>
      <c r="CY493" s="48"/>
      <c r="CZ493" s="48"/>
      <c r="DA493" s="48"/>
      <c r="DB493" s="48"/>
      <c r="DC493" s="48"/>
      <c r="DD493" s="48"/>
      <c r="DE493" s="48"/>
      <c r="DF493" s="48"/>
      <c r="DG493" s="48"/>
      <c r="DH493" s="48"/>
      <c r="DI493" s="48"/>
      <c r="DJ493" s="48"/>
      <c r="DK493" s="48"/>
      <c r="DL493" s="48"/>
      <c r="DM493" s="48"/>
      <c r="DN493" s="48"/>
      <c r="DO493" s="48"/>
      <c r="DP493" s="48"/>
      <c r="DQ493" s="48"/>
      <c r="DR493" s="48"/>
      <c r="DS493" s="48"/>
    </row>
    <row r="494" spans="1:123" ht="15">
      <c r="A494"/>
      <c r="B494"/>
      <c r="C494"/>
      <c r="D494"/>
      <c r="E494"/>
      <c r="F494"/>
      <c r="G494"/>
      <c r="H494"/>
      <c r="I494"/>
      <c r="J494"/>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48"/>
      <c r="BH494" s="48"/>
      <c r="BI494" s="48"/>
      <c r="BJ494" s="48"/>
      <c r="BK494" s="48"/>
      <c r="BL494" s="48"/>
      <c r="BM494" s="48"/>
      <c r="BN494" s="48"/>
      <c r="BO494" s="48"/>
      <c r="BP494" s="48"/>
      <c r="BQ494" s="48"/>
      <c r="BR494" s="48"/>
      <c r="BS494" s="48"/>
      <c r="BT494" s="48"/>
      <c r="BU494" s="48"/>
      <c r="BV494" s="48"/>
      <c r="BW494" s="48"/>
      <c r="BX494" s="48"/>
      <c r="BY494" s="48"/>
      <c r="BZ494" s="48"/>
      <c r="CA494" s="48"/>
      <c r="CB494" s="48"/>
      <c r="CC494" s="48"/>
      <c r="CD494" s="48"/>
      <c r="CE494" s="48"/>
      <c r="CF494" s="48"/>
      <c r="CG494" s="48"/>
      <c r="CH494" s="48"/>
      <c r="CI494" s="48"/>
      <c r="CJ494" s="48"/>
      <c r="CK494" s="48"/>
      <c r="CL494" s="48"/>
      <c r="CM494" s="48"/>
      <c r="CN494" s="48"/>
      <c r="CO494" s="48"/>
      <c r="CP494" s="48"/>
      <c r="CQ494" s="48"/>
      <c r="CR494" s="48"/>
      <c r="CS494" s="48"/>
      <c r="CT494" s="48"/>
      <c r="CU494" s="48"/>
      <c r="CV494" s="48"/>
      <c r="CW494" s="48"/>
      <c r="CX494" s="48"/>
      <c r="CY494" s="48"/>
      <c r="CZ494" s="48"/>
      <c r="DA494" s="48"/>
      <c r="DB494" s="48"/>
      <c r="DC494" s="48"/>
      <c r="DD494" s="48"/>
      <c r="DE494" s="48"/>
      <c r="DF494" s="48"/>
      <c r="DG494" s="48"/>
      <c r="DH494" s="48"/>
      <c r="DI494" s="48"/>
      <c r="DJ494" s="48"/>
      <c r="DK494" s="48"/>
      <c r="DL494" s="48"/>
      <c r="DM494" s="48"/>
      <c r="DN494" s="48"/>
      <c r="DO494" s="48"/>
      <c r="DP494" s="48"/>
      <c r="DQ494" s="48"/>
      <c r="DR494" s="48"/>
      <c r="DS494" s="48"/>
    </row>
    <row r="495" spans="1:123" ht="15">
      <c r="A495"/>
      <c r="B495"/>
      <c r="C495"/>
      <c r="D495"/>
      <c r="E495"/>
      <c r="F495"/>
      <c r="G495"/>
      <c r="H495"/>
      <c r="I495"/>
      <c r="J495"/>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48"/>
      <c r="BH495" s="48"/>
      <c r="BI495" s="48"/>
      <c r="BJ495" s="48"/>
      <c r="BK495" s="48"/>
      <c r="BL495" s="48"/>
      <c r="BM495" s="48"/>
      <c r="BN495" s="48"/>
      <c r="BO495" s="48"/>
      <c r="BP495" s="48"/>
      <c r="BQ495" s="48"/>
      <c r="BR495" s="48"/>
      <c r="BS495" s="48"/>
      <c r="BT495" s="48"/>
      <c r="BU495" s="48"/>
      <c r="BV495" s="48"/>
      <c r="BW495" s="48"/>
      <c r="BX495" s="48"/>
      <c r="BY495" s="48"/>
      <c r="BZ495" s="48"/>
      <c r="CA495" s="48"/>
      <c r="CB495" s="48"/>
      <c r="CC495" s="48"/>
      <c r="CD495" s="48"/>
      <c r="CE495" s="48"/>
      <c r="CF495" s="48"/>
      <c r="CG495" s="48"/>
      <c r="CH495" s="48"/>
      <c r="CI495" s="48"/>
      <c r="CJ495" s="48"/>
      <c r="CK495" s="48"/>
      <c r="CL495" s="48"/>
      <c r="CM495" s="48"/>
      <c r="CN495" s="48"/>
      <c r="CO495" s="48"/>
      <c r="CP495" s="48"/>
      <c r="CQ495" s="48"/>
      <c r="CR495" s="48"/>
      <c r="CS495" s="48"/>
      <c r="CT495" s="48"/>
      <c r="CU495" s="48"/>
      <c r="CV495" s="48"/>
      <c r="CW495" s="48"/>
      <c r="CX495" s="48"/>
      <c r="CY495" s="48"/>
      <c r="CZ495" s="48"/>
      <c r="DA495" s="48"/>
      <c r="DB495" s="48"/>
      <c r="DC495" s="48"/>
      <c r="DD495" s="48"/>
      <c r="DE495" s="48"/>
      <c r="DF495" s="48"/>
      <c r="DG495" s="48"/>
      <c r="DH495" s="48"/>
      <c r="DI495" s="48"/>
      <c r="DJ495" s="48"/>
      <c r="DK495" s="48"/>
      <c r="DL495" s="48"/>
      <c r="DM495" s="48"/>
      <c r="DN495" s="48"/>
      <c r="DO495" s="48"/>
      <c r="DP495" s="48"/>
      <c r="DQ495" s="48"/>
      <c r="DR495" s="48"/>
      <c r="DS495" s="48"/>
    </row>
    <row r="496" spans="1:123" ht="15">
      <c r="A496"/>
      <c r="B496"/>
      <c r="C496"/>
      <c r="D496"/>
      <c r="E496"/>
      <c r="F496"/>
      <c r="G496"/>
      <c r="H496"/>
      <c r="I496"/>
      <c r="J496"/>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48"/>
      <c r="BH496" s="48"/>
      <c r="BI496" s="48"/>
      <c r="BJ496" s="48"/>
      <c r="BK496" s="48"/>
      <c r="BL496" s="48"/>
      <c r="BM496" s="48"/>
      <c r="BN496" s="48"/>
      <c r="BO496" s="48"/>
      <c r="BP496" s="48"/>
      <c r="BQ496" s="48"/>
      <c r="BR496" s="48"/>
      <c r="BS496" s="48"/>
      <c r="BT496" s="48"/>
      <c r="BU496" s="48"/>
      <c r="BV496" s="48"/>
      <c r="BW496" s="48"/>
      <c r="BX496" s="48"/>
      <c r="BY496" s="48"/>
      <c r="BZ496" s="48"/>
      <c r="CA496" s="48"/>
      <c r="CB496" s="48"/>
      <c r="CC496" s="48"/>
      <c r="CD496" s="48"/>
      <c r="CE496" s="48"/>
      <c r="CF496" s="48"/>
      <c r="CG496" s="48"/>
      <c r="CH496" s="48"/>
      <c r="CI496" s="48"/>
      <c r="CJ496" s="48"/>
      <c r="CK496" s="48"/>
      <c r="CL496" s="48"/>
      <c r="CM496" s="48"/>
      <c r="CN496" s="48"/>
      <c r="CO496" s="48"/>
      <c r="CP496" s="48"/>
      <c r="CQ496" s="48"/>
      <c r="CR496" s="48"/>
      <c r="CS496" s="48"/>
      <c r="CT496" s="48"/>
      <c r="CU496" s="48"/>
      <c r="CV496" s="48"/>
      <c r="CW496" s="48"/>
      <c r="CX496" s="48"/>
      <c r="CY496" s="48"/>
      <c r="CZ496" s="48"/>
      <c r="DA496" s="48"/>
      <c r="DB496" s="48"/>
      <c r="DC496" s="48"/>
      <c r="DD496" s="48"/>
      <c r="DE496" s="48"/>
      <c r="DF496" s="48"/>
      <c r="DG496" s="48"/>
      <c r="DH496" s="48"/>
      <c r="DI496" s="48"/>
      <c r="DJ496" s="48"/>
      <c r="DK496" s="48"/>
      <c r="DL496" s="48"/>
      <c r="DM496" s="48"/>
      <c r="DN496" s="48"/>
      <c r="DO496" s="48"/>
      <c r="DP496" s="48"/>
      <c r="DQ496" s="48"/>
      <c r="DR496" s="48"/>
      <c r="DS496" s="48"/>
    </row>
    <row r="497" spans="1:123" ht="15">
      <c r="A497"/>
      <c r="B497"/>
      <c r="C497"/>
      <c r="D497"/>
      <c r="E497"/>
      <c r="F497"/>
      <c r="G497"/>
      <c r="H497"/>
      <c r="I497"/>
      <c r="J497"/>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48"/>
      <c r="BH497" s="48"/>
      <c r="BI497" s="48"/>
      <c r="BJ497" s="48"/>
      <c r="BK497" s="48"/>
      <c r="BL497" s="48"/>
      <c r="BM497" s="48"/>
      <c r="BN497" s="48"/>
      <c r="BO497" s="48"/>
      <c r="BP497" s="48"/>
      <c r="BQ497" s="48"/>
      <c r="BR497" s="48"/>
      <c r="BS497" s="48"/>
      <c r="BT497" s="48"/>
      <c r="BU497" s="48"/>
      <c r="BV497" s="48"/>
      <c r="BW497" s="48"/>
      <c r="BX497" s="48"/>
      <c r="BY497" s="48"/>
      <c r="BZ497" s="48"/>
      <c r="CA497" s="48"/>
      <c r="CB497" s="48"/>
      <c r="CC497" s="48"/>
      <c r="CD497" s="48"/>
      <c r="CE497" s="48"/>
      <c r="CF497" s="48"/>
      <c r="CG497" s="48"/>
      <c r="CH497" s="48"/>
      <c r="CI497" s="48"/>
      <c r="CJ497" s="48"/>
      <c r="CK497" s="48"/>
      <c r="CL497" s="48"/>
      <c r="CM497" s="48"/>
      <c r="CN497" s="48"/>
      <c r="CO497" s="48"/>
      <c r="CP497" s="48"/>
      <c r="CQ497" s="48"/>
      <c r="CR497" s="48"/>
      <c r="CS497" s="48"/>
      <c r="CT497" s="48"/>
      <c r="CU497" s="48"/>
      <c r="CV497" s="48"/>
      <c r="CW497" s="48"/>
      <c r="CX497" s="48"/>
      <c r="CY497" s="48"/>
      <c r="CZ497" s="48"/>
      <c r="DA497" s="48"/>
      <c r="DB497" s="48"/>
      <c r="DC497" s="48"/>
      <c r="DD497" s="48"/>
      <c r="DE497" s="48"/>
      <c r="DF497" s="48"/>
      <c r="DG497" s="48"/>
      <c r="DH497" s="48"/>
      <c r="DI497" s="48"/>
      <c r="DJ497" s="48"/>
      <c r="DK497" s="48"/>
      <c r="DL497" s="48"/>
      <c r="DM497" s="48"/>
      <c r="DN497" s="48"/>
      <c r="DO497" s="48"/>
      <c r="DP497" s="48"/>
      <c r="DQ497" s="48"/>
      <c r="DR497" s="48"/>
      <c r="DS497" s="48"/>
    </row>
    <row r="498" spans="1:123" ht="15">
      <c r="A498"/>
      <c r="B498"/>
      <c r="C498"/>
      <c r="D498"/>
      <c r="E498"/>
      <c r="F498"/>
      <c r="G498"/>
      <c r="H498"/>
      <c r="I498"/>
      <c r="J49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48"/>
      <c r="BH498" s="48"/>
      <c r="BI498" s="48"/>
      <c r="BJ498" s="48"/>
      <c r="BK498" s="48"/>
      <c r="BL498" s="48"/>
      <c r="BM498" s="48"/>
      <c r="BN498" s="48"/>
      <c r="BO498" s="48"/>
      <c r="BP498" s="48"/>
      <c r="BQ498" s="48"/>
      <c r="BR498" s="48"/>
      <c r="BS498" s="48"/>
      <c r="BT498" s="48"/>
      <c r="BU498" s="48"/>
      <c r="BV498" s="48"/>
      <c r="BW498" s="48"/>
      <c r="BX498" s="48"/>
      <c r="BY498" s="48"/>
      <c r="BZ498" s="48"/>
      <c r="CA498" s="48"/>
      <c r="CB498" s="48"/>
      <c r="CC498" s="48"/>
      <c r="CD498" s="48"/>
      <c r="CE498" s="48"/>
      <c r="CF498" s="48"/>
      <c r="CG498" s="48"/>
      <c r="CH498" s="48"/>
      <c r="CI498" s="48"/>
      <c r="CJ498" s="48"/>
      <c r="CK498" s="48"/>
      <c r="CL498" s="48"/>
      <c r="CM498" s="48"/>
      <c r="CN498" s="48"/>
      <c r="CO498" s="48"/>
      <c r="CP498" s="48"/>
      <c r="CQ498" s="48"/>
      <c r="CR498" s="48"/>
      <c r="CS498" s="48"/>
      <c r="CT498" s="48"/>
      <c r="CU498" s="48"/>
      <c r="CV498" s="48"/>
      <c r="CW498" s="48"/>
      <c r="CX498" s="48"/>
      <c r="CY498" s="48"/>
      <c r="CZ498" s="48"/>
      <c r="DA498" s="48"/>
      <c r="DB498" s="48"/>
      <c r="DC498" s="48"/>
      <c r="DD498" s="48"/>
      <c r="DE498" s="48"/>
      <c r="DF498" s="48"/>
      <c r="DG498" s="48"/>
      <c r="DH498" s="48"/>
      <c r="DI498" s="48"/>
      <c r="DJ498" s="48"/>
      <c r="DK498" s="48"/>
      <c r="DL498" s="48"/>
      <c r="DM498" s="48"/>
      <c r="DN498" s="48"/>
      <c r="DO498" s="48"/>
      <c r="DP498" s="48"/>
      <c r="DQ498" s="48"/>
      <c r="DR498" s="48"/>
      <c r="DS498" s="48"/>
    </row>
    <row r="499" spans="1:123" ht="15">
      <c r="A499"/>
      <c r="B499"/>
      <c r="C499"/>
      <c r="D499"/>
      <c r="E499"/>
      <c r="F499"/>
      <c r="G499"/>
      <c r="H499"/>
      <c r="I499"/>
      <c r="J499"/>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48"/>
      <c r="BH499" s="48"/>
      <c r="BI499" s="48"/>
      <c r="BJ499" s="48"/>
      <c r="BK499" s="48"/>
      <c r="BL499" s="48"/>
      <c r="BM499" s="48"/>
      <c r="BN499" s="48"/>
      <c r="BO499" s="48"/>
      <c r="BP499" s="48"/>
      <c r="BQ499" s="48"/>
      <c r="BR499" s="48"/>
      <c r="BS499" s="48"/>
      <c r="BT499" s="48"/>
      <c r="BU499" s="48"/>
      <c r="BV499" s="48"/>
      <c r="BW499" s="48"/>
      <c r="BX499" s="48"/>
      <c r="BY499" s="48"/>
      <c r="BZ499" s="48"/>
      <c r="CA499" s="48"/>
      <c r="CB499" s="48"/>
      <c r="CC499" s="48"/>
      <c r="CD499" s="48"/>
      <c r="CE499" s="48"/>
      <c r="CF499" s="48"/>
      <c r="CG499" s="48"/>
      <c r="CH499" s="48"/>
      <c r="CI499" s="48"/>
      <c r="CJ499" s="48"/>
      <c r="CK499" s="48"/>
      <c r="CL499" s="48"/>
      <c r="CM499" s="48"/>
      <c r="CN499" s="48"/>
      <c r="CO499" s="48"/>
      <c r="CP499" s="48"/>
      <c r="CQ499" s="48"/>
      <c r="CR499" s="48"/>
      <c r="CS499" s="48"/>
      <c r="CT499" s="48"/>
      <c r="CU499" s="48"/>
      <c r="CV499" s="48"/>
      <c r="CW499" s="48"/>
      <c r="CX499" s="48"/>
      <c r="CY499" s="48"/>
      <c r="CZ499" s="48"/>
      <c r="DA499" s="48"/>
      <c r="DB499" s="48"/>
      <c r="DC499" s="48"/>
      <c r="DD499" s="48"/>
      <c r="DE499" s="48"/>
      <c r="DF499" s="48"/>
      <c r="DG499" s="48"/>
      <c r="DH499" s="48"/>
      <c r="DI499" s="48"/>
      <c r="DJ499" s="48"/>
      <c r="DK499" s="48"/>
      <c r="DL499" s="48"/>
      <c r="DM499" s="48"/>
      <c r="DN499" s="48"/>
      <c r="DO499" s="48"/>
      <c r="DP499" s="48"/>
      <c r="DQ499" s="48"/>
      <c r="DR499" s="48"/>
      <c r="DS499" s="48"/>
    </row>
    <row r="500" spans="1:123" ht="15">
      <c r="A500"/>
      <c r="B500"/>
      <c r="C500"/>
      <c r="D500"/>
      <c r="E500"/>
      <c r="F500"/>
      <c r="G500"/>
      <c r="H500"/>
      <c r="I500"/>
      <c r="J500"/>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48"/>
      <c r="BH500" s="48"/>
      <c r="BI500" s="48"/>
      <c r="BJ500" s="48"/>
      <c r="BK500" s="48"/>
      <c r="BL500" s="48"/>
      <c r="BM500" s="48"/>
      <c r="BN500" s="48"/>
      <c r="BO500" s="48"/>
      <c r="BP500" s="48"/>
      <c r="BQ500" s="48"/>
      <c r="BR500" s="48"/>
      <c r="BS500" s="48"/>
      <c r="BT500" s="48"/>
      <c r="BU500" s="48"/>
      <c r="BV500" s="48"/>
      <c r="BW500" s="48"/>
      <c r="BX500" s="48"/>
      <c r="BY500" s="48"/>
      <c r="BZ500" s="48"/>
      <c r="CA500" s="48"/>
      <c r="CB500" s="48"/>
      <c r="CC500" s="48"/>
      <c r="CD500" s="48"/>
      <c r="CE500" s="48"/>
      <c r="CF500" s="48"/>
      <c r="CG500" s="48"/>
      <c r="CH500" s="48"/>
      <c r="CI500" s="48"/>
      <c r="CJ500" s="48"/>
      <c r="CK500" s="48"/>
      <c r="CL500" s="48"/>
      <c r="CM500" s="48"/>
      <c r="CN500" s="48"/>
      <c r="CO500" s="48"/>
      <c r="CP500" s="48"/>
      <c r="CQ500" s="48"/>
      <c r="CR500" s="48"/>
      <c r="CS500" s="48"/>
      <c r="CT500" s="48"/>
      <c r="CU500" s="48"/>
      <c r="CV500" s="48"/>
      <c r="CW500" s="48"/>
      <c r="CX500" s="48"/>
      <c r="CY500" s="48"/>
      <c r="CZ500" s="48"/>
      <c r="DA500" s="48"/>
      <c r="DB500" s="48"/>
      <c r="DC500" s="48"/>
      <c r="DD500" s="48"/>
      <c r="DE500" s="48"/>
      <c r="DF500" s="48"/>
      <c r="DG500" s="48"/>
      <c r="DH500" s="48"/>
      <c r="DI500" s="48"/>
      <c r="DJ500" s="48"/>
      <c r="DK500" s="48"/>
      <c r="DL500" s="48"/>
      <c r="DM500" s="48"/>
      <c r="DN500" s="48"/>
      <c r="DO500" s="48"/>
      <c r="DP500" s="48"/>
      <c r="DQ500" s="48"/>
      <c r="DR500" s="48"/>
      <c r="DS500" s="48"/>
    </row>
    <row r="501" spans="1:123" ht="15">
      <c r="A501"/>
      <c r="B501"/>
      <c r="C501"/>
      <c r="D501"/>
      <c r="E501"/>
      <c r="F501"/>
      <c r="G501"/>
      <c r="H501"/>
      <c r="I501"/>
      <c r="J501"/>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48"/>
      <c r="BH501" s="48"/>
      <c r="BI501" s="48"/>
      <c r="BJ501" s="48"/>
      <c r="BK501" s="48"/>
      <c r="BL501" s="48"/>
      <c r="BM501" s="48"/>
      <c r="BN501" s="48"/>
      <c r="BO501" s="48"/>
      <c r="BP501" s="48"/>
      <c r="BQ501" s="48"/>
      <c r="BR501" s="48"/>
      <c r="BS501" s="48"/>
      <c r="BT501" s="48"/>
      <c r="BU501" s="48"/>
      <c r="BV501" s="48"/>
      <c r="BW501" s="48"/>
      <c r="BX501" s="48"/>
      <c r="BY501" s="48"/>
      <c r="BZ501" s="48"/>
      <c r="CA501" s="48"/>
      <c r="CB501" s="48"/>
      <c r="CC501" s="48"/>
      <c r="CD501" s="48"/>
      <c r="CE501" s="48"/>
      <c r="CF501" s="48"/>
      <c r="CG501" s="48"/>
      <c r="CH501" s="48"/>
      <c r="CI501" s="48"/>
      <c r="CJ501" s="48"/>
      <c r="CK501" s="48"/>
      <c r="CL501" s="48"/>
      <c r="CM501" s="48"/>
      <c r="CN501" s="48"/>
      <c r="CO501" s="48"/>
      <c r="CP501" s="48"/>
      <c r="CQ501" s="48"/>
      <c r="CR501" s="48"/>
      <c r="CS501" s="48"/>
      <c r="CT501" s="48"/>
      <c r="CU501" s="48"/>
      <c r="CV501" s="48"/>
      <c r="CW501" s="48"/>
      <c r="CX501" s="48"/>
      <c r="CY501" s="48"/>
      <c r="CZ501" s="48"/>
      <c r="DA501" s="48"/>
      <c r="DB501" s="48"/>
      <c r="DC501" s="48"/>
      <c r="DD501" s="48"/>
      <c r="DE501" s="48"/>
      <c r="DF501" s="48"/>
      <c r="DG501" s="48"/>
      <c r="DH501" s="48"/>
      <c r="DI501" s="48"/>
      <c r="DJ501" s="48"/>
      <c r="DK501" s="48"/>
      <c r="DL501" s="48"/>
      <c r="DM501" s="48"/>
      <c r="DN501" s="48"/>
      <c r="DO501" s="48"/>
      <c r="DP501" s="48"/>
      <c r="DQ501" s="48"/>
      <c r="DR501" s="48"/>
      <c r="DS501" s="48"/>
    </row>
    <row r="502" spans="1:123" ht="15">
      <c r="A502"/>
      <c r="B502"/>
      <c r="C502"/>
      <c r="D502"/>
      <c r="E502"/>
      <c r="F502"/>
      <c r="G502"/>
      <c r="H502"/>
      <c r="I502"/>
      <c r="J502"/>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c r="BS502" s="48"/>
      <c r="BT502" s="48"/>
      <c r="BU502" s="48"/>
      <c r="BV502" s="48"/>
      <c r="BW502" s="48"/>
      <c r="BX502" s="48"/>
      <c r="BY502" s="48"/>
      <c r="BZ502" s="48"/>
      <c r="CA502" s="48"/>
      <c r="CB502" s="48"/>
      <c r="CC502" s="48"/>
      <c r="CD502" s="48"/>
      <c r="CE502" s="48"/>
      <c r="CF502" s="48"/>
      <c r="CG502" s="48"/>
      <c r="CH502" s="48"/>
      <c r="CI502" s="48"/>
      <c r="CJ502" s="48"/>
      <c r="CK502" s="48"/>
      <c r="CL502" s="48"/>
      <c r="CM502" s="48"/>
      <c r="CN502" s="48"/>
      <c r="CO502" s="48"/>
      <c r="CP502" s="48"/>
      <c r="CQ502" s="48"/>
      <c r="CR502" s="48"/>
      <c r="CS502" s="48"/>
      <c r="CT502" s="48"/>
      <c r="CU502" s="48"/>
      <c r="CV502" s="48"/>
      <c r="CW502" s="48"/>
      <c r="CX502" s="48"/>
      <c r="CY502" s="48"/>
      <c r="CZ502" s="48"/>
      <c r="DA502" s="48"/>
      <c r="DB502" s="48"/>
      <c r="DC502" s="48"/>
      <c r="DD502" s="48"/>
      <c r="DE502" s="48"/>
      <c r="DF502" s="48"/>
      <c r="DG502" s="48"/>
      <c r="DH502" s="48"/>
      <c r="DI502" s="48"/>
      <c r="DJ502" s="48"/>
      <c r="DK502" s="48"/>
      <c r="DL502" s="48"/>
      <c r="DM502" s="48"/>
      <c r="DN502" s="48"/>
      <c r="DO502" s="48"/>
      <c r="DP502" s="48"/>
      <c r="DQ502" s="48"/>
      <c r="DR502" s="48"/>
      <c r="DS502" s="48"/>
    </row>
    <row r="503" spans="1:123" ht="15">
      <c r="A503"/>
      <c r="B503"/>
      <c r="C503"/>
      <c r="D503"/>
      <c r="E503"/>
      <c r="F503"/>
      <c r="G503"/>
      <c r="H503"/>
      <c r="I503"/>
      <c r="J503"/>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48"/>
      <c r="BH503" s="48"/>
      <c r="BI503" s="48"/>
      <c r="BJ503" s="48"/>
      <c r="BK503" s="48"/>
      <c r="BL503" s="48"/>
      <c r="BM503" s="48"/>
      <c r="BN503" s="48"/>
      <c r="BO503" s="48"/>
      <c r="BP503" s="48"/>
      <c r="BQ503" s="48"/>
      <c r="BR503" s="48"/>
      <c r="BS503" s="48"/>
      <c r="BT503" s="48"/>
      <c r="BU503" s="48"/>
      <c r="BV503" s="48"/>
      <c r="BW503" s="48"/>
      <c r="BX503" s="48"/>
      <c r="BY503" s="48"/>
      <c r="BZ503" s="48"/>
      <c r="CA503" s="48"/>
      <c r="CB503" s="48"/>
      <c r="CC503" s="48"/>
      <c r="CD503" s="48"/>
      <c r="CE503" s="48"/>
      <c r="CF503" s="48"/>
      <c r="CG503" s="48"/>
      <c r="CH503" s="48"/>
      <c r="CI503" s="48"/>
      <c r="CJ503" s="48"/>
      <c r="CK503" s="48"/>
      <c r="CL503" s="48"/>
      <c r="CM503" s="48"/>
      <c r="CN503" s="48"/>
      <c r="CO503" s="48"/>
      <c r="CP503" s="48"/>
      <c r="CQ503" s="48"/>
      <c r="CR503" s="48"/>
      <c r="CS503" s="48"/>
      <c r="CT503" s="48"/>
      <c r="CU503" s="48"/>
      <c r="CV503" s="48"/>
      <c r="CW503" s="48"/>
      <c r="CX503" s="48"/>
      <c r="CY503" s="48"/>
      <c r="CZ503" s="48"/>
      <c r="DA503" s="48"/>
      <c r="DB503" s="48"/>
      <c r="DC503" s="48"/>
      <c r="DD503" s="48"/>
      <c r="DE503" s="48"/>
      <c r="DF503" s="48"/>
      <c r="DG503" s="48"/>
      <c r="DH503" s="48"/>
      <c r="DI503" s="48"/>
      <c r="DJ503" s="48"/>
      <c r="DK503" s="48"/>
      <c r="DL503" s="48"/>
      <c r="DM503" s="48"/>
      <c r="DN503" s="48"/>
      <c r="DO503" s="48"/>
      <c r="DP503" s="48"/>
      <c r="DQ503" s="48"/>
      <c r="DR503" s="48"/>
      <c r="DS503" s="48"/>
    </row>
    <row r="504" spans="1:123" ht="15">
      <c r="A504"/>
      <c r="B504"/>
      <c r="C504"/>
      <c r="D504"/>
      <c r="E504"/>
      <c r="F504"/>
      <c r="G504"/>
      <c r="H504"/>
      <c r="I504"/>
      <c r="J504"/>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48"/>
      <c r="BH504" s="48"/>
      <c r="BI504" s="48"/>
      <c r="BJ504" s="48"/>
      <c r="BK504" s="48"/>
      <c r="BL504" s="48"/>
      <c r="BM504" s="48"/>
      <c r="BN504" s="48"/>
      <c r="BO504" s="48"/>
      <c r="BP504" s="48"/>
      <c r="BQ504" s="48"/>
      <c r="BR504" s="48"/>
      <c r="BS504" s="48"/>
      <c r="BT504" s="48"/>
      <c r="BU504" s="48"/>
      <c r="BV504" s="48"/>
      <c r="BW504" s="48"/>
      <c r="BX504" s="48"/>
      <c r="BY504" s="48"/>
      <c r="BZ504" s="48"/>
      <c r="CA504" s="48"/>
      <c r="CB504" s="48"/>
      <c r="CC504" s="48"/>
      <c r="CD504" s="48"/>
      <c r="CE504" s="48"/>
      <c r="CF504" s="48"/>
      <c r="CG504" s="48"/>
      <c r="CH504" s="48"/>
      <c r="CI504" s="48"/>
      <c r="CJ504" s="48"/>
      <c r="CK504" s="48"/>
      <c r="CL504" s="48"/>
      <c r="CM504" s="48"/>
      <c r="CN504" s="48"/>
      <c r="CO504" s="48"/>
      <c r="CP504" s="48"/>
      <c r="CQ504" s="48"/>
      <c r="CR504" s="48"/>
      <c r="CS504" s="48"/>
      <c r="CT504" s="48"/>
      <c r="CU504" s="48"/>
      <c r="CV504" s="48"/>
      <c r="CW504" s="48"/>
      <c r="CX504" s="48"/>
      <c r="CY504" s="48"/>
      <c r="CZ504" s="48"/>
      <c r="DA504" s="48"/>
      <c r="DB504" s="48"/>
      <c r="DC504" s="48"/>
      <c r="DD504" s="48"/>
      <c r="DE504" s="48"/>
      <c r="DF504" s="48"/>
      <c r="DG504" s="48"/>
      <c r="DH504" s="48"/>
      <c r="DI504" s="48"/>
      <c r="DJ504" s="48"/>
      <c r="DK504" s="48"/>
      <c r="DL504" s="48"/>
      <c r="DM504" s="48"/>
      <c r="DN504" s="48"/>
      <c r="DO504" s="48"/>
      <c r="DP504" s="48"/>
      <c r="DQ504" s="48"/>
      <c r="DR504" s="48"/>
      <c r="DS504" s="48"/>
    </row>
    <row r="505" spans="1:123" ht="15">
      <c r="A505"/>
      <c r="B505"/>
      <c r="C505"/>
      <c r="D505"/>
      <c r="E505"/>
      <c r="F505"/>
      <c r="G505"/>
      <c r="H505"/>
      <c r="I505"/>
      <c r="J505"/>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48"/>
      <c r="BH505" s="48"/>
      <c r="BI505" s="48"/>
      <c r="BJ505" s="48"/>
      <c r="BK505" s="48"/>
      <c r="BL505" s="48"/>
      <c r="BM505" s="48"/>
      <c r="BN505" s="48"/>
      <c r="BO505" s="48"/>
      <c r="BP505" s="48"/>
      <c r="BQ505" s="48"/>
      <c r="BR505" s="48"/>
      <c r="BS505" s="48"/>
      <c r="BT505" s="48"/>
      <c r="BU505" s="48"/>
      <c r="BV505" s="48"/>
      <c r="BW505" s="48"/>
      <c r="BX505" s="48"/>
      <c r="BY505" s="48"/>
      <c r="BZ505" s="48"/>
      <c r="CA505" s="48"/>
      <c r="CB505" s="48"/>
      <c r="CC505" s="48"/>
      <c r="CD505" s="48"/>
      <c r="CE505" s="48"/>
      <c r="CF505" s="48"/>
      <c r="CG505" s="48"/>
      <c r="CH505" s="48"/>
      <c r="CI505" s="48"/>
      <c r="CJ505" s="48"/>
      <c r="CK505" s="48"/>
      <c r="CL505" s="48"/>
      <c r="CM505" s="48"/>
      <c r="CN505" s="48"/>
      <c r="CO505" s="48"/>
      <c r="CP505" s="48"/>
      <c r="CQ505" s="48"/>
      <c r="CR505" s="48"/>
      <c r="CS505" s="48"/>
      <c r="CT505" s="48"/>
      <c r="CU505" s="48"/>
      <c r="CV505" s="48"/>
      <c r="CW505" s="48"/>
      <c r="CX505" s="48"/>
      <c r="CY505" s="48"/>
      <c r="CZ505" s="48"/>
      <c r="DA505" s="48"/>
      <c r="DB505" s="48"/>
      <c r="DC505" s="48"/>
      <c r="DD505" s="48"/>
      <c r="DE505" s="48"/>
      <c r="DF505" s="48"/>
      <c r="DG505" s="48"/>
      <c r="DH505" s="48"/>
      <c r="DI505" s="48"/>
      <c r="DJ505" s="48"/>
      <c r="DK505" s="48"/>
      <c r="DL505" s="48"/>
      <c r="DM505" s="48"/>
      <c r="DN505" s="48"/>
      <c r="DO505" s="48"/>
      <c r="DP505" s="48"/>
      <c r="DQ505" s="48"/>
      <c r="DR505" s="48"/>
      <c r="DS505" s="48"/>
    </row>
    <row r="506" spans="1:123" ht="15">
      <c r="A506"/>
      <c r="B506"/>
      <c r="C506"/>
      <c r="D506"/>
      <c r="E506"/>
      <c r="F506"/>
      <c r="G506"/>
      <c r="H506"/>
      <c r="I506"/>
      <c r="J506"/>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48"/>
      <c r="BJ506" s="48"/>
      <c r="BK506" s="48"/>
      <c r="BL506" s="48"/>
      <c r="BM506" s="48"/>
      <c r="BN506" s="48"/>
      <c r="BO506" s="48"/>
      <c r="BP506" s="48"/>
      <c r="BQ506" s="48"/>
      <c r="BR506" s="48"/>
      <c r="BS506" s="48"/>
      <c r="BT506" s="48"/>
      <c r="BU506" s="48"/>
      <c r="BV506" s="48"/>
      <c r="BW506" s="48"/>
      <c r="BX506" s="48"/>
      <c r="BY506" s="48"/>
      <c r="BZ506" s="48"/>
      <c r="CA506" s="48"/>
      <c r="CB506" s="48"/>
      <c r="CC506" s="48"/>
      <c r="CD506" s="48"/>
      <c r="CE506" s="48"/>
      <c r="CF506" s="48"/>
      <c r="CG506" s="48"/>
      <c r="CH506" s="48"/>
      <c r="CI506" s="48"/>
      <c r="CJ506" s="48"/>
      <c r="CK506" s="48"/>
      <c r="CL506" s="48"/>
      <c r="CM506" s="48"/>
      <c r="CN506" s="48"/>
      <c r="CO506" s="48"/>
      <c r="CP506" s="48"/>
      <c r="CQ506" s="48"/>
      <c r="CR506" s="48"/>
      <c r="CS506" s="48"/>
      <c r="CT506" s="48"/>
      <c r="CU506" s="48"/>
      <c r="CV506" s="48"/>
      <c r="CW506" s="48"/>
      <c r="CX506" s="48"/>
      <c r="CY506" s="48"/>
      <c r="CZ506" s="48"/>
      <c r="DA506" s="48"/>
      <c r="DB506" s="48"/>
      <c r="DC506" s="48"/>
      <c r="DD506" s="48"/>
      <c r="DE506" s="48"/>
      <c r="DF506" s="48"/>
      <c r="DG506" s="48"/>
      <c r="DH506" s="48"/>
      <c r="DI506" s="48"/>
      <c r="DJ506" s="48"/>
      <c r="DK506" s="48"/>
      <c r="DL506" s="48"/>
      <c r="DM506" s="48"/>
      <c r="DN506" s="48"/>
      <c r="DO506" s="48"/>
      <c r="DP506" s="48"/>
      <c r="DQ506" s="48"/>
      <c r="DR506" s="48"/>
      <c r="DS506" s="48"/>
    </row>
    <row r="507" spans="1:123" ht="15">
      <c r="A507"/>
      <c r="B507"/>
      <c r="C507"/>
      <c r="D507"/>
      <c r="E507"/>
      <c r="F507"/>
      <c r="G507"/>
      <c r="H507"/>
      <c r="I507"/>
      <c r="J507"/>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48"/>
      <c r="BH507" s="48"/>
      <c r="BI507" s="48"/>
      <c r="BJ507" s="48"/>
      <c r="BK507" s="48"/>
      <c r="BL507" s="48"/>
      <c r="BM507" s="48"/>
      <c r="BN507" s="48"/>
      <c r="BO507" s="48"/>
      <c r="BP507" s="48"/>
      <c r="BQ507" s="48"/>
      <c r="BR507" s="48"/>
      <c r="BS507" s="48"/>
      <c r="BT507" s="48"/>
      <c r="BU507" s="48"/>
      <c r="BV507" s="48"/>
      <c r="BW507" s="48"/>
      <c r="BX507" s="48"/>
      <c r="BY507" s="48"/>
      <c r="BZ507" s="48"/>
      <c r="CA507" s="48"/>
      <c r="CB507" s="48"/>
      <c r="CC507" s="48"/>
      <c r="CD507" s="48"/>
      <c r="CE507" s="48"/>
      <c r="CF507" s="48"/>
      <c r="CG507" s="48"/>
      <c r="CH507" s="48"/>
      <c r="CI507" s="48"/>
      <c r="CJ507" s="48"/>
      <c r="CK507" s="48"/>
      <c r="CL507" s="48"/>
      <c r="CM507" s="48"/>
      <c r="CN507" s="48"/>
      <c r="CO507" s="48"/>
      <c r="CP507" s="48"/>
      <c r="CQ507" s="48"/>
      <c r="CR507" s="48"/>
      <c r="CS507" s="48"/>
      <c r="CT507" s="48"/>
      <c r="CU507" s="48"/>
      <c r="CV507" s="48"/>
      <c r="CW507" s="48"/>
      <c r="CX507" s="48"/>
      <c r="CY507" s="48"/>
      <c r="CZ507" s="48"/>
      <c r="DA507" s="48"/>
      <c r="DB507" s="48"/>
      <c r="DC507" s="48"/>
      <c r="DD507" s="48"/>
      <c r="DE507" s="48"/>
      <c r="DF507" s="48"/>
      <c r="DG507" s="48"/>
      <c r="DH507" s="48"/>
      <c r="DI507" s="48"/>
      <c r="DJ507" s="48"/>
      <c r="DK507" s="48"/>
      <c r="DL507" s="48"/>
      <c r="DM507" s="48"/>
      <c r="DN507" s="48"/>
      <c r="DO507" s="48"/>
      <c r="DP507" s="48"/>
      <c r="DQ507" s="48"/>
      <c r="DR507" s="48"/>
      <c r="DS507" s="48"/>
    </row>
    <row r="508" spans="1:123" ht="15">
      <c r="A508"/>
      <c r="B508"/>
      <c r="C508"/>
      <c r="D508"/>
      <c r="E508"/>
      <c r="F508"/>
      <c r="G508"/>
      <c r="H508"/>
      <c r="I508"/>
      <c r="J50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c r="BS508" s="48"/>
      <c r="BT508" s="48"/>
      <c r="BU508" s="48"/>
      <c r="BV508" s="48"/>
      <c r="BW508" s="48"/>
      <c r="BX508" s="48"/>
      <c r="BY508" s="48"/>
      <c r="BZ508" s="48"/>
      <c r="CA508" s="48"/>
      <c r="CB508" s="48"/>
      <c r="CC508" s="48"/>
      <c r="CD508" s="48"/>
      <c r="CE508" s="48"/>
      <c r="CF508" s="48"/>
      <c r="CG508" s="48"/>
      <c r="CH508" s="48"/>
      <c r="CI508" s="48"/>
      <c r="CJ508" s="48"/>
      <c r="CK508" s="48"/>
      <c r="CL508" s="48"/>
      <c r="CM508" s="48"/>
      <c r="CN508" s="48"/>
      <c r="CO508" s="48"/>
      <c r="CP508" s="48"/>
      <c r="CQ508" s="48"/>
      <c r="CR508" s="48"/>
      <c r="CS508" s="48"/>
      <c r="CT508" s="48"/>
      <c r="CU508" s="48"/>
      <c r="CV508" s="48"/>
      <c r="CW508" s="48"/>
      <c r="CX508" s="48"/>
      <c r="CY508" s="48"/>
      <c r="CZ508" s="48"/>
      <c r="DA508" s="48"/>
      <c r="DB508" s="48"/>
      <c r="DC508" s="48"/>
      <c r="DD508" s="48"/>
      <c r="DE508" s="48"/>
      <c r="DF508" s="48"/>
      <c r="DG508" s="48"/>
      <c r="DH508" s="48"/>
      <c r="DI508" s="48"/>
      <c r="DJ508" s="48"/>
      <c r="DK508" s="48"/>
      <c r="DL508" s="48"/>
      <c r="DM508" s="48"/>
      <c r="DN508" s="48"/>
      <c r="DO508" s="48"/>
      <c r="DP508" s="48"/>
      <c r="DQ508" s="48"/>
      <c r="DR508" s="48"/>
      <c r="DS508" s="48"/>
    </row>
    <row r="509" spans="1:123" ht="15">
      <c r="A509"/>
      <c r="B509"/>
      <c r="C509"/>
      <c r="D509"/>
      <c r="E509"/>
      <c r="F509"/>
      <c r="G509"/>
      <c r="H509"/>
      <c r="I509"/>
      <c r="J509"/>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c r="BS509" s="48"/>
      <c r="BT509" s="48"/>
      <c r="BU509" s="48"/>
      <c r="BV509" s="48"/>
      <c r="BW509" s="48"/>
      <c r="BX509" s="48"/>
      <c r="BY509" s="48"/>
      <c r="BZ509" s="48"/>
      <c r="CA509" s="48"/>
      <c r="CB509" s="48"/>
      <c r="CC509" s="48"/>
      <c r="CD509" s="48"/>
      <c r="CE509" s="48"/>
      <c r="CF509" s="48"/>
      <c r="CG509" s="48"/>
      <c r="CH509" s="48"/>
      <c r="CI509" s="48"/>
      <c r="CJ509" s="48"/>
      <c r="CK509" s="48"/>
      <c r="CL509" s="48"/>
      <c r="CM509" s="48"/>
      <c r="CN509" s="48"/>
      <c r="CO509" s="48"/>
      <c r="CP509" s="48"/>
      <c r="CQ509" s="48"/>
      <c r="CR509" s="48"/>
      <c r="CS509" s="48"/>
      <c r="CT509" s="48"/>
      <c r="CU509" s="48"/>
      <c r="CV509" s="48"/>
      <c r="CW509" s="48"/>
      <c r="CX509" s="48"/>
      <c r="CY509" s="48"/>
      <c r="CZ509" s="48"/>
      <c r="DA509" s="48"/>
      <c r="DB509" s="48"/>
      <c r="DC509" s="48"/>
      <c r="DD509" s="48"/>
      <c r="DE509" s="48"/>
      <c r="DF509" s="48"/>
      <c r="DG509" s="48"/>
      <c r="DH509" s="48"/>
      <c r="DI509" s="48"/>
      <c r="DJ509" s="48"/>
      <c r="DK509" s="48"/>
      <c r="DL509" s="48"/>
      <c r="DM509" s="48"/>
      <c r="DN509" s="48"/>
      <c r="DO509" s="48"/>
      <c r="DP509" s="48"/>
      <c r="DQ509" s="48"/>
      <c r="DR509" s="48"/>
      <c r="DS509" s="48"/>
    </row>
    <row r="510" spans="1:123" ht="15">
      <c r="A510"/>
      <c r="B510"/>
      <c r="C510"/>
      <c r="D510"/>
      <c r="E510"/>
      <c r="F510"/>
      <c r="G510"/>
      <c r="H510"/>
      <c r="I510"/>
      <c r="J510"/>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c r="BS510" s="48"/>
      <c r="BT510" s="48"/>
      <c r="BU510" s="48"/>
      <c r="BV510" s="48"/>
      <c r="BW510" s="48"/>
      <c r="BX510" s="48"/>
      <c r="BY510" s="48"/>
      <c r="BZ510" s="48"/>
      <c r="CA510" s="48"/>
      <c r="CB510" s="48"/>
      <c r="CC510" s="48"/>
      <c r="CD510" s="48"/>
      <c r="CE510" s="48"/>
      <c r="CF510" s="48"/>
      <c r="CG510" s="48"/>
      <c r="CH510" s="48"/>
      <c r="CI510" s="48"/>
      <c r="CJ510" s="48"/>
      <c r="CK510" s="48"/>
      <c r="CL510" s="48"/>
      <c r="CM510" s="48"/>
      <c r="CN510" s="48"/>
      <c r="CO510" s="48"/>
      <c r="CP510" s="48"/>
      <c r="CQ510" s="48"/>
      <c r="CR510" s="48"/>
      <c r="CS510" s="48"/>
      <c r="CT510" s="48"/>
      <c r="CU510" s="48"/>
      <c r="CV510" s="48"/>
      <c r="CW510" s="48"/>
      <c r="CX510" s="48"/>
      <c r="CY510" s="48"/>
      <c r="CZ510" s="48"/>
      <c r="DA510" s="48"/>
      <c r="DB510" s="48"/>
      <c r="DC510" s="48"/>
      <c r="DD510" s="48"/>
      <c r="DE510" s="48"/>
      <c r="DF510" s="48"/>
      <c r="DG510" s="48"/>
      <c r="DH510" s="48"/>
      <c r="DI510" s="48"/>
      <c r="DJ510" s="48"/>
      <c r="DK510" s="48"/>
      <c r="DL510" s="48"/>
      <c r="DM510" s="48"/>
      <c r="DN510" s="48"/>
      <c r="DO510" s="48"/>
      <c r="DP510" s="48"/>
      <c r="DQ510" s="48"/>
      <c r="DR510" s="48"/>
      <c r="DS510" s="48"/>
    </row>
    <row r="511" spans="1:123" ht="15">
      <c r="A511"/>
      <c r="B511"/>
      <c r="C511"/>
      <c r="D511"/>
      <c r="E511"/>
      <c r="F511"/>
      <c r="G511"/>
      <c r="H511"/>
      <c r="I511"/>
      <c r="J511"/>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48"/>
      <c r="BH511" s="48"/>
      <c r="BI511" s="48"/>
      <c r="BJ511" s="48"/>
      <c r="BK511" s="48"/>
      <c r="BL511" s="48"/>
      <c r="BM511" s="48"/>
      <c r="BN511" s="48"/>
      <c r="BO511" s="48"/>
      <c r="BP511" s="48"/>
      <c r="BQ511" s="48"/>
      <c r="BR511" s="48"/>
      <c r="BS511" s="48"/>
      <c r="BT511" s="48"/>
      <c r="BU511" s="48"/>
      <c r="BV511" s="48"/>
      <c r="BW511" s="48"/>
      <c r="BX511" s="48"/>
      <c r="BY511" s="48"/>
      <c r="BZ511" s="48"/>
      <c r="CA511" s="48"/>
      <c r="CB511" s="48"/>
      <c r="CC511" s="48"/>
      <c r="CD511" s="48"/>
      <c r="CE511" s="48"/>
      <c r="CF511" s="48"/>
      <c r="CG511" s="48"/>
      <c r="CH511" s="48"/>
      <c r="CI511" s="48"/>
      <c r="CJ511" s="48"/>
      <c r="CK511" s="48"/>
      <c r="CL511" s="48"/>
      <c r="CM511" s="48"/>
      <c r="CN511" s="48"/>
      <c r="CO511" s="48"/>
      <c r="CP511" s="48"/>
      <c r="CQ511" s="48"/>
      <c r="CR511" s="48"/>
      <c r="CS511" s="48"/>
      <c r="CT511" s="48"/>
      <c r="CU511" s="48"/>
      <c r="CV511" s="48"/>
      <c r="CW511" s="48"/>
      <c r="CX511" s="48"/>
      <c r="CY511" s="48"/>
      <c r="CZ511" s="48"/>
      <c r="DA511" s="48"/>
      <c r="DB511" s="48"/>
      <c r="DC511" s="48"/>
      <c r="DD511" s="48"/>
      <c r="DE511" s="48"/>
      <c r="DF511" s="48"/>
      <c r="DG511" s="48"/>
      <c r="DH511" s="48"/>
      <c r="DI511" s="48"/>
      <c r="DJ511" s="48"/>
      <c r="DK511" s="48"/>
      <c r="DL511" s="48"/>
      <c r="DM511" s="48"/>
      <c r="DN511" s="48"/>
      <c r="DO511" s="48"/>
      <c r="DP511" s="48"/>
      <c r="DQ511" s="48"/>
      <c r="DR511" s="48"/>
      <c r="DS511" s="48"/>
    </row>
    <row r="512" spans="1:123" ht="15">
      <c r="A512"/>
      <c r="B512"/>
      <c r="C512"/>
      <c r="D512"/>
      <c r="E512"/>
      <c r="F512"/>
      <c r="G512"/>
      <c r="H512"/>
      <c r="I512"/>
      <c r="J512"/>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48"/>
      <c r="BH512" s="48"/>
      <c r="BI512" s="48"/>
      <c r="BJ512" s="48"/>
      <c r="BK512" s="48"/>
      <c r="BL512" s="48"/>
      <c r="BM512" s="48"/>
      <c r="BN512" s="48"/>
      <c r="BO512" s="48"/>
      <c r="BP512" s="48"/>
      <c r="BQ512" s="48"/>
      <c r="BR512" s="48"/>
      <c r="BS512" s="48"/>
      <c r="BT512" s="48"/>
      <c r="BU512" s="48"/>
      <c r="BV512" s="48"/>
      <c r="BW512" s="48"/>
      <c r="BX512" s="48"/>
      <c r="BY512" s="48"/>
      <c r="BZ512" s="48"/>
      <c r="CA512" s="48"/>
      <c r="CB512" s="48"/>
      <c r="CC512" s="48"/>
      <c r="CD512" s="48"/>
      <c r="CE512" s="48"/>
      <c r="CF512" s="48"/>
      <c r="CG512" s="48"/>
      <c r="CH512" s="48"/>
      <c r="CI512" s="48"/>
      <c r="CJ512" s="48"/>
      <c r="CK512" s="48"/>
      <c r="CL512" s="48"/>
      <c r="CM512" s="48"/>
      <c r="CN512" s="48"/>
      <c r="CO512" s="48"/>
      <c r="CP512" s="48"/>
      <c r="CQ512" s="48"/>
      <c r="CR512" s="48"/>
      <c r="CS512" s="48"/>
      <c r="CT512" s="48"/>
      <c r="CU512" s="48"/>
      <c r="CV512" s="48"/>
      <c r="CW512" s="48"/>
      <c r="CX512" s="48"/>
      <c r="CY512" s="48"/>
      <c r="CZ512" s="48"/>
      <c r="DA512" s="48"/>
      <c r="DB512" s="48"/>
      <c r="DC512" s="48"/>
      <c r="DD512" s="48"/>
      <c r="DE512" s="48"/>
      <c r="DF512" s="48"/>
      <c r="DG512" s="48"/>
      <c r="DH512" s="48"/>
      <c r="DI512" s="48"/>
      <c r="DJ512" s="48"/>
      <c r="DK512" s="48"/>
      <c r="DL512" s="48"/>
      <c r="DM512" s="48"/>
      <c r="DN512" s="48"/>
      <c r="DO512" s="48"/>
      <c r="DP512" s="48"/>
      <c r="DQ512" s="48"/>
      <c r="DR512" s="48"/>
      <c r="DS512" s="48"/>
    </row>
    <row r="513" spans="1:123" ht="15">
      <c r="A513"/>
      <c r="B513"/>
      <c r="C513"/>
      <c r="D513"/>
      <c r="E513"/>
      <c r="F513"/>
      <c r="G513"/>
      <c r="H513"/>
      <c r="I513"/>
      <c r="J513"/>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48"/>
      <c r="BH513" s="48"/>
      <c r="BI513" s="48"/>
      <c r="BJ513" s="48"/>
      <c r="BK513" s="48"/>
      <c r="BL513" s="48"/>
      <c r="BM513" s="48"/>
      <c r="BN513" s="48"/>
      <c r="BO513" s="48"/>
      <c r="BP513" s="48"/>
      <c r="BQ513" s="48"/>
      <c r="BR513" s="48"/>
      <c r="BS513" s="48"/>
      <c r="BT513" s="48"/>
      <c r="BU513" s="48"/>
      <c r="BV513" s="48"/>
      <c r="BW513" s="48"/>
      <c r="BX513" s="48"/>
      <c r="BY513" s="48"/>
      <c r="BZ513" s="48"/>
      <c r="CA513" s="48"/>
      <c r="CB513" s="48"/>
      <c r="CC513" s="48"/>
      <c r="CD513" s="48"/>
      <c r="CE513" s="48"/>
      <c r="CF513" s="48"/>
      <c r="CG513" s="48"/>
      <c r="CH513" s="48"/>
      <c r="CI513" s="48"/>
      <c r="CJ513" s="48"/>
      <c r="CK513" s="48"/>
      <c r="CL513" s="48"/>
      <c r="CM513" s="48"/>
      <c r="CN513" s="48"/>
      <c r="CO513" s="48"/>
      <c r="CP513" s="48"/>
      <c r="CQ513" s="48"/>
      <c r="CR513" s="48"/>
      <c r="CS513" s="48"/>
      <c r="CT513" s="48"/>
      <c r="CU513" s="48"/>
      <c r="CV513" s="48"/>
      <c r="CW513" s="48"/>
      <c r="CX513" s="48"/>
      <c r="CY513" s="48"/>
      <c r="CZ513" s="48"/>
      <c r="DA513" s="48"/>
      <c r="DB513" s="48"/>
      <c r="DC513" s="48"/>
      <c r="DD513" s="48"/>
      <c r="DE513" s="48"/>
      <c r="DF513" s="48"/>
      <c r="DG513" s="48"/>
      <c r="DH513" s="48"/>
      <c r="DI513" s="48"/>
      <c r="DJ513" s="48"/>
      <c r="DK513" s="48"/>
      <c r="DL513" s="48"/>
      <c r="DM513" s="48"/>
      <c r="DN513" s="48"/>
      <c r="DO513" s="48"/>
      <c r="DP513" s="48"/>
      <c r="DQ513" s="48"/>
      <c r="DR513" s="48"/>
      <c r="DS513" s="48"/>
    </row>
    <row r="514" spans="1:123" ht="15">
      <c r="A514"/>
      <c r="B514"/>
      <c r="C514"/>
      <c r="D514"/>
      <c r="E514"/>
      <c r="F514"/>
      <c r="G514"/>
      <c r="H514"/>
      <c r="I514"/>
      <c r="J514"/>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48"/>
      <c r="BH514" s="48"/>
      <c r="BI514" s="48"/>
      <c r="BJ514" s="48"/>
      <c r="BK514" s="48"/>
      <c r="BL514" s="48"/>
      <c r="BM514" s="48"/>
      <c r="BN514" s="48"/>
      <c r="BO514" s="48"/>
      <c r="BP514" s="48"/>
      <c r="BQ514" s="48"/>
      <c r="BR514" s="48"/>
      <c r="BS514" s="48"/>
      <c r="BT514" s="48"/>
      <c r="BU514" s="48"/>
      <c r="BV514" s="48"/>
      <c r="BW514" s="48"/>
      <c r="BX514" s="48"/>
      <c r="BY514" s="48"/>
      <c r="BZ514" s="48"/>
      <c r="CA514" s="48"/>
      <c r="CB514" s="48"/>
      <c r="CC514" s="48"/>
      <c r="CD514" s="48"/>
      <c r="CE514" s="48"/>
      <c r="CF514" s="48"/>
      <c r="CG514" s="48"/>
      <c r="CH514" s="48"/>
      <c r="CI514" s="48"/>
      <c r="CJ514" s="48"/>
      <c r="CK514" s="48"/>
      <c r="CL514" s="48"/>
      <c r="CM514" s="48"/>
      <c r="CN514" s="48"/>
      <c r="CO514" s="48"/>
      <c r="CP514" s="48"/>
      <c r="CQ514" s="48"/>
      <c r="CR514" s="48"/>
      <c r="CS514" s="48"/>
      <c r="CT514" s="48"/>
      <c r="CU514" s="48"/>
      <c r="CV514" s="48"/>
      <c r="CW514" s="48"/>
      <c r="CX514" s="48"/>
      <c r="CY514" s="48"/>
      <c r="CZ514" s="48"/>
      <c r="DA514" s="48"/>
      <c r="DB514" s="48"/>
      <c r="DC514" s="48"/>
      <c r="DD514" s="48"/>
      <c r="DE514" s="48"/>
      <c r="DF514" s="48"/>
      <c r="DG514" s="48"/>
      <c r="DH514" s="48"/>
      <c r="DI514" s="48"/>
      <c r="DJ514" s="48"/>
      <c r="DK514" s="48"/>
      <c r="DL514" s="48"/>
      <c r="DM514" s="48"/>
      <c r="DN514" s="48"/>
      <c r="DO514" s="48"/>
      <c r="DP514" s="48"/>
      <c r="DQ514" s="48"/>
      <c r="DR514" s="48"/>
      <c r="DS514" s="48"/>
    </row>
    <row r="515" spans="1:123" ht="15">
      <c r="A515"/>
      <c r="B515"/>
      <c r="C515"/>
      <c r="D515"/>
      <c r="E515"/>
      <c r="F515"/>
      <c r="G515"/>
      <c r="H515"/>
      <c r="I515"/>
      <c r="J515"/>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c r="BS515" s="48"/>
      <c r="BT515" s="48"/>
      <c r="BU515" s="48"/>
      <c r="BV515" s="48"/>
      <c r="BW515" s="48"/>
      <c r="BX515" s="48"/>
      <c r="BY515" s="48"/>
      <c r="BZ515" s="48"/>
      <c r="CA515" s="48"/>
      <c r="CB515" s="48"/>
      <c r="CC515" s="48"/>
      <c r="CD515" s="48"/>
      <c r="CE515" s="48"/>
      <c r="CF515" s="48"/>
      <c r="CG515" s="48"/>
      <c r="CH515" s="48"/>
      <c r="CI515" s="48"/>
      <c r="CJ515" s="48"/>
      <c r="CK515" s="48"/>
      <c r="CL515" s="48"/>
      <c r="CM515" s="48"/>
      <c r="CN515" s="48"/>
      <c r="CO515" s="48"/>
      <c r="CP515" s="48"/>
      <c r="CQ515" s="48"/>
      <c r="CR515" s="48"/>
      <c r="CS515" s="48"/>
      <c r="CT515" s="48"/>
      <c r="CU515" s="48"/>
      <c r="CV515" s="48"/>
      <c r="CW515" s="48"/>
      <c r="CX515" s="48"/>
      <c r="CY515" s="48"/>
      <c r="CZ515" s="48"/>
      <c r="DA515" s="48"/>
      <c r="DB515" s="48"/>
      <c r="DC515" s="48"/>
      <c r="DD515" s="48"/>
      <c r="DE515" s="48"/>
      <c r="DF515" s="48"/>
      <c r="DG515" s="48"/>
      <c r="DH515" s="48"/>
      <c r="DI515" s="48"/>
      <c r="DJ515" s="48"/>
      <c r="DK515" s="48"/>
      <c r="DL515" s="48"/>
      <c r="DM515" s="48"/>
      <c r="DN515" s="48"/>
      <c r="DO515" s="48"/>
      <c r="DP515" s="48"/>
      <c r="DQ515" s="48"/>
      <c r="DR515" s="48"/>
      <c r="DS515" s="48"/>
    </row>
    <row r="516" spans="1:123" ht="15">
      <c r="A516"/>
      <c r="B516"/>
      <c r="C516"/>
      <c r="D516"/>
      <c r="E516"/>
      <c r="F516"/>
      <c r="G516"/>
      <c r="H516"/>
      <c r="I516"/>
      <c r="J516"/>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c r="BS516" s="48"/>
      <c r="BT516" s="48"/>
      <c r="BU516" s="48"/>
      <c r="BV516" s="48"/>
      <c r="BW516" s="48"/>
      <c r="BX516" s="48"/>
      <c r="BY516" s="48"/>
      <c r="BZ516" s="48"/>
      <c r="CA516" s="48"/>
      <c r="CB516" s="48"/>
      <c r="CC516" s="48"/>
      <c r="CD516" s="48"/>
      <c r="CE516" s="48"/>
      <c r="CF516" s="48"/>
      <c r="CG516" s="48"/>
      <c r="CH516" s="48"/>
      <c r="CI516" s="48"/>
      <c r="CJ516" s="48"/>
      <c r="CK516" s="48"/>
      <c r="CL516" s="48"/>
      <c r="CM516" s="48"/>
      <c r="CN516" s="48"/>
      <c r="CO516" s="48"/>
      <c r="CP516" s="48"/>
      <c r="CQ516" s="48"/>
      <c r="CR516" s="48"/>
      <c r="CS516" s="48"/>
      <c r="CT516" s="48"/>
      <c r="CU516" s="48"/>
      <c r="CV516" s="48"/>
      <c r="CW516" s="48"/>
      <c r="CX516" s="48"/>
      <c r="CY516" s="48"/>
      <c r="CZ516" s="48"/>
      <c r="DA516" s="48"/>
      <c r="DB516" s="48"/>
      <c r="DC516" s="48"/>
      <c r="DD516" s="48"/>
      <c r="DE516" s="48"/>
      <c r="DF516" s="48"/>
      <c r="DG516" s="48"/>
      <c r="DH516" s="48"/>
      <c r="DI516" s="48"/>
      <c r="DJ516" s="48"/>
      <c r="DK516" s="48"/>
      <c r="DL516" s="48"/>
      <c r="DM516" s="48"/>
      <c r="DN516" s="48"/>
      <c r="DO516" s="48"/>
      <c r="DP516" s="48"/>
      <c r="DQ516" s="48"/>
      <c r="DR516" s="48"/>
      <c r="DS516" s="48"/>
    </row>
    <row r="517" spans="1:123" ht="15">
      <c r="A517"/>
      <c r="B517"/>
      <c r="C517"/>
      <c r="D517"/>
      <c r="E517"/>
      <c r="F517"/>
      <c r="G517"/>
      <c r="H517"/>
      <c r="I517"/>
      <c r="J517"/>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48"/>
      <c r="BH517" s="48"/>
      <c r="BI517" s="48"/>
      <c r="BJ517" s="48"/>
      <c r="BK517" s="48"/>
      <c r="BL517" s="48"/>
      <c r="BM517" s="48"/>
      <c r="BN517" s="48"/>
      <c r="BO517" s="48"/>
      <c r="BP517" s="48"/>
      <c r="BQ517" s="48"/>
      <c r="BR517" s="48"/>
      <c r="BS517" s="48"/>
      <c r="BT517" s="48"/>
      <c r="BU517" s="48"/>
      <c r="BV517" s="48"/>
      <c r="BW517" s="48"/>
      <c r="BX517" s="48"/>
      <c r="BY517" s="48"/>
      <c r="BZ517" s="48"/>
      <c r="CA517" s="48"/>
      <c r="CB517" s="48"/>
      <c r="CC517" s="48"/>
      <c r="CD517" s="48"/>
      <c r="CE517" s="48"/>
      <c r="CF517" s="48"/>
      <c r="CG517" s="48"/>
      <c r="CH517" s="48"/>
      <c r="CI517" s="48"/>
      <c r="CJ517" s="48"/>
      <c r="CK517" s="48"/>
      <c r="CL517" s="48"/>
      <c r="CM517" s="48"/>
      <c r="CN517" s="48"/>
      <c r="CO517" s="48"/>
      <c r="CP517" s="48"/>
      <c r="CQ517" s="48"/>
      <c r="CR517" s="48"/>
      <c r="CS517" s="48"/>
      <c r="CT517" s="48"/>
      <c r="CU517" s="48"/>
      <c r="CV517" s="48"/>
      <c r="CW517" s="48"/>
      <c r="CX517" s="48"/>
      <c r="CY517" s="48"/>
      <c r="CZ517" s="48"/>
      <c r="DA517" s="48"/>
      <c r="DB517" s="48"/>
      <c r="DC517" s="48"/>
      <c r="DD517" s="48"/>
      <c r="DE517" s="48"/>
      <c r="DF517" s="48"/>
      <c r="DG517" s="48"/>
      <c r="DH517" s="48"/>
      <c r="DI517" s="48"/>
      <c r="DJ517" s="48"/>
      <c r="DK517" s="48"/>
      <c r="DL517" s="48"/>
      <c r="DM517" s="48"/>
      <c r="DN517" s="48"/>
      <c r="DO517" s="48"/>
      <c r="DP517" s="48"/>
      <c r="DQ517" s="48"/>
      <c r="DR517" s="48"/>
      <c r="DS517" s="48"/>
    </row>
    <row r="518" spans="1:123" ht="15">
      <c r="A518"/>
      <c r="B518"/>
      <c r="C518"/>
      <c r="D518"/>
      <c r="E518"/>
      <c r="F518"/>
      <c r="G518"/>
      <c r="H518"/>
      <c r="I518"/>
      <c r="J51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48"/>
      <c r="BH518" s="48"/>
      <c r="BI518" s="48"/>
      <c r="BJ518" s="48"/>
      <c r="BK518" s="48"/>
      <c r="BL518" s="48"/>
      <c r="BM518" s="48"/>
      <c r="BN518" s="48"/>
      <c r="BO518" s="48"/>
      <c r="BP518" s="48"/>
      <c r="BQ518" s="48"/>
      <c r="BR518" s="48"/>
      <c r="BS518" s="48"/>
      <c r="BT518" s="48"/>
      <c r="BU518" s="48"/>
      <c r="BV518" s="48"/>
      <c r="BW518" s="48"/>
      <c r="BX518" s="48"/>
      <c r="BY518" s="48"/>
      <c r="BZ518" s="48"/>
      <c r="CA518" s="48"/>
      <c r="CB518" s="48"/>
      <c r="CC518" s="48"/>
      <c r="CD518" s="48"/>
      <c r="CE518" s="48"/>
      <c r="CF518" s="48"/>
      <c r="CG518" s="48"/>
      <c r="CH518" s="48"/>
      <c r="CI518" s="48"/>
      <c r="CJ518" s="48"/>
      <c r="CK518" s="48"/>
      <c r="CL518" s="48"/>
      <c r="CM518" s="48"/>
      <c r="CN518" s="48"/>
      <c r="CO518" s="48"/>
      <c r="CP518" s="48"/>
      <c r="CQ518" s="48"/>
      <c r="CR518" s="48"/>
      <c r="CS518" s="48"/>
      <c r="CT518" s="48"/>
      <c r="CU518" s="48"/>
      <c r="CV518" s="48"/>
      <c r="CW518" s="48"/>
      <c r="CX518" s="48"/>
      <c r="CY518" s="48"/>
      <c r="CZ518" s="48"/>
      <c r="DA518" s="48"/>
      <c r="DB518" s="48"/>
      <c r="DC518" s="48"/>
      <c r="DD518" s="48"/>
      <c r="DE518" s="48"/>
      <c r="DF518" s="48"/>
      <c r="DG518" s="48"/>
      <c r="DH518" s="48"/>
      <c r="DI518" s="48"/>
      <c r="DJ518" s="48"/>
      <c r="DK518" s="48"/>
      <c r="DL518" s="48"/>
      <c r="DM518" s="48"/>
      <c r="DN518" s="48"/>
      <c r="DO518" s="48"/>
      <c r="DP518" s="48"/>
      <c r="DQ518" s="48"/>
      <c r="DR518" s="48"/>
      <c r="DS518" s="48"/>
    </row>
    <row r="519" spans="1:123" ht="15">
      <c r="A519"/>
      <c r="B519"/>
      <c r="C519"/>
      <c r="D519"/>
      <c r="E519"/>
      <c r="F519"/>
      <c r="G519"/>
      <c r="H519"/>
      <c r="I519"/>
      <c r="J519"/>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48"/>
      <c r="BH519" s="48"/>
      <c r="BI519" s="48"/>
      <c r="BJ519" s="48"/>
      <c r="BK519" s="48"/>
      <c r="BL519" s="48"/>
      <c r="BM519" s="48"/>
      <c r="BN519" s="48"/>
      <c r="BO519" s="48"/>
      <c r="BP519" s="48"/>
      <c r="BQ519" s="48"/>
      <c r="BR519" s="48"/>
      <c r="BS519" s="48"/>
      <c r="BT519" s="48"/>
      <c r="BU519" s="48"/>
      <c r="BV519" s="48"/>
      <c r="BW519" s="48"/>
      <c r="BX519" s="48"/>
      <c r="BY519" s="48"/>
      <c r="BZ519" s="48"/>
      <c r="CA519" s="48"/>
      <c r="CB519" s="48"/>
      <c r="CC519" s="48"/>
      <c r="CD519" s="48"/>
      <c r="CE519" s="48"/>
      <c r="CF519" s="48"/>
      <c r="CG519" s="48"/>
      <c r="CH519" s="48"/>
      <c r="CI519" s="48"/>
      <c r="CJ519" s="48"/>
      <c r="CK519" s="48"/>
      <c r="CL519" s="48"/>
      <c r="CM519" s="48"/>
      <c r="CN519" s="48"/>
      <c r="CO519" s="48"/>
      <c r="CP519" s="48"/>
      <c r="CQ519" s="48"/>
      <c r="CR519" s="48"/>
      <c r="CS519" s="48"/>
      <c r="CT519" s="48"/>
      <c r="CU519" s="48"/>
      <c r="CV519" s="48"/>
      <c r="CW519" s="48"/>
      <c r="CX519" s="48"/>
      <c r="CY519" s="48"/>
      <c r="CZ519" s="48"/>
      <c r="DA519" s="48"/>
      <c r="DB519" s="48"/>
      <c r="DC519" s="48"/>
      <c r="DD519" s="48"/>
      <c r="DE519" s="48"/>
      <c r="DF519" s="48"/>
      <c r="DG519" s="48"/>
      <c r="DH519" s="48"/>
      <c r="DI519" s="48"/>
      <c r="DJ519" s="48"/>
      <c r="DK519" s="48"/>
      <c r="DL519" s="48"/>
      <c r="DM519" s="48"/>
      <c r="DN519" s="48"/>
      <c r="DO519" s="48"/>
      <c r="DP519" s="48"/>
      <c r="DQ519" s="48"/>
      <c r="DR519" s="48"/>
      <c r="DS519" s="48"/>
    </row>
    <row r="520" spans="1:123" ht="15">
      <c r="A520"/>
      <c r="B520"/>
      <c r="C520"/>
      <c r="D520"/>
      <c r="E520"/>
      <c r="F520"/>
      <c r="G520"/>
      <c r="H520"/>
      <c r="I520"/>
      <c r="J520"/>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48"/>
      <c r="BH520" s="48"/>
      <c r="BI520" s="48"/>
      <c r="BJ520" s="48"/>
      <c r="BK520" s="48"/>
      <c r="BL520" s="48"/>
      <c r="BM520" s="48"/>
      <c r="BN520" s="48"/>
      <c r="BO520" s="48"/>
      <c r="BP520" s="48"/>
      <c r="BQ520" s="48"/>
      <c r="BR520" s="48"/>
      <c r="BS520" s="48"/>
      <c r="BT520" s="48"/>
      <c r="BU520" s="48"/>
      <c r="BV520" s="48"/>
      <c r="BW520" s="48"/>
      <c r="BX520" s="48"/>
      <c r="BY520" s="48"/>
      <c r="BZ520" s="48"/>
      <c r="CA520" s="48"/>
      <c r="CB520" s="48"/>
      <c r="CC520" s="48"/>
      <c r="CD520" s="48"/>
      <c r="CE520" s="48"/>
      <c r="CF520" s="48"/>
      <c r="CG520" s="48"/>
      <c r="CH520" s="48"/>
      <c r="CI520" s="48"/>
      <c r="CJ520" s="48"/>
      <c r="CK520" s="48"/>
      <c r="CL520" s="48"/>
      <c r="CM520" s="48"/>
      <c r="CN520" s="48"/>
      <c r="CO520" s="48"/>
      <c r="CP520" s="48"/>
      <c r="CQ520" s="48"/>
      <c r="CR520" s="48"/>
      <c r="CS520" s="48"/>
      <c r="CT520" s="48"/>
      <c r="CU520" s="48"/>
      <c r="CV520" s="48"/>
      <c r="CW520" s="48"/>
      <c r="CX520" s="48"/>
      <c r="CY520" s="48"/>
      <c r="CZ520" s="48"/>
      <c r="DA520" s="48"/>
      <c r="DB520" s="48"/>
      <c r="DC520" s="48"/>
      <c r="DD520" s="48"/>
      <c r="DE520" s="48"/>
      <c r="DF520" s="48"/>
      <c r="DG520" s="48"/>
      <c r="DH520" s="48"/>
      <c r="DI520" s="48"/>
      <c r="DJ520" s="48"/>
      <c r="DK520" s="48"/>
      <c r="DL520" s="48"/>
      <c r="DM520" s="48"/>
      <c r="DN520" s="48"/>
      <c r="DO520" s="48"/>
      <c r="DP520" s="48"/>
      <c r="DQ520" s="48"/>
      <c r="DR520" s="48"/>
      <c r="DS520" s="48"/>
    </row>
    <row r="521" spans="1:123" ht="15">
      <c r="A521"/>
      <c r="B521"/>
      <c r="C521"/>
      <c r="D521"/>
      <c r="E521"/>
      <c r="F521"/>
      <c r="G521"/>
      <c r="H521"/>
      <c r="I521"/>
      <c r="J521"/>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c r="BS521" s="48"/>
      <c r="BT521" s="48"/>
      <c r="BU521" s="48"/>
      <c r="BV521" s="48"/>
      <c r="BW521" s="48"/>
      <c r="BX521" s="48"/>
      <c r="BY521" s="48"/>
      <c r="BZ521" s="48"/>
      <c r="CA521" s="48"/>
      <c r="CB521" s="48"/>
      <c r="CC521" s="48"/>
      <c r="CD521" s="48"/>
      <c r="CE521" s="48"/>
      <c r="CF521" s="48"/>
      <c r="CG521" s="48"/>
      <c r="CH521" s="48"/>
      <c r="CI521" s="48"/>
      <c r="CJ521" s="48"/>
      <c r="CK521" s="48"/>
      <c r="CL521" s="48"/>
      <c r="CM521" s="48"/>
      <c r="CN521" s="48"/>
      <c r="CO521" s="48"/>
      <c r="CP521" s="48"/>
      <c r="CQ521" s="48"/>
      <c r="CR521" s="48"/>
      <c r="CS521" s="48"/>
      <c r="CT521" s="48"/>
      <c r="CU521" s="48"/>
      <c r="CV521" s="48"/>
      <c r="CW521" s="48"/>
      <c r="CX521" s="48"/>
      <c r="CY521" s="48"/>
      <c r="CZ521" s="48"/>
      <c r="DA521" s="48"/>
      <c r="DB521" s="48"/>
      <c r="DC521" s="48"/>
      <c r="DD521" s="48"/>
      <c r="DE521" s="48"/>
      <c r="DF521" s="48"/>
      <c r="DG521" s="48"/>
      <c r="DH521" s="48"/>
      <c r="DI521" s="48"/>
      <c r="DJ521" s="48"/>
      <c r="DK521" s="48"/>
      <c r="DL521" s="48"/>
      <c r="DM521" s="48"/>
      <c r="DN521" s="48"/>
      <c r="DO521" s="48"/>
      <c r="DP521" s="48"/>
      <c r="DQ521" s="48"/>
      <c r="DR521" s="48"/>
      <c r="DS521" s="48"/>
    </row>
    <row r="522" spans="1:123" ht="15">
      <c r="A522"/>
      <c r="B522"/>
      <c r="C522"/>
      <c r="D522"/>
      <c r="E522"/>
      <c r="F522"/>
      <c r="G522"/>
      <c r="H522"/>
      <c r="I522"/>
      <c r="J522"/>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48"/>
      <c r="BW522" s="48"/>
      <c r="BX522" s="48"/>
      <c r="BY522" s="48"/>
      <c r="BZ522" s="48"/>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48"/>
      <c r="CX522" s="48"/>
      <c r="CY522" s="48"/>
      <c r="CZ522" s="48"/>
      <c r="DA522" s="48"/>
      <c r="DB522" s="48"/>
      <c r="DC522" s="48"/>
      <c r="DD522" s="48"/>
      <c r="DE522" s="48"/>
      <c r="DF522" s="48"/>
      <c r="DG522" s="48"/>
      <c r="DH522" s="48"/>
      <c r="DI522" s="48"/>
      <c r="DJ522" s="48"/>
      <c r="DK522" s="48"/>
      <c r="DL522" s="48"/>
      <c r="DM522" s="48"/>
      <c r="DN522" s="48"/>
      <c r="DO522" s="48"/>
      <c r="DP522" s="48"/>
      <c r="DQ522" s="48"/>
      <c r="DR522" s="48"/>
      <c r="DS522" s="48"/>
    </row>
    <row r="523" spans="1:123" ht="15">
      <c r="A523"/>
      <c r="B523"/>
      <c r="C523"/>
      <c r="D523"/>
      <c r="E523"/>
      <c r="F523"/>
      <c r="G523"/>
      <c r="H523"/>
      <c r="I523"/>
      <c r="J523"/>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48"/>
      <c r="BH523" s="48"/>
      <c r="BI523" s="48"/>
      <c r="BJ523" s="48"/>
      <c r="BK523" s="48"/>
      <c r="BL523" s="48"/>
      <c r="BM523" s="48"/>
      <c r="BN523" s="48"/>
      <c r="BO523" s="48"/>
      <c r="BP523" s="48"/>
      <c r="BQ523" s="48"/>
      <c r="BR523" s="48"/>
      <c r="BS523" s="48"/>
      <c r="BT523" s="48"/>
      <c r="BU523" s="48"/>
      <c r="BV523" s="48"/>
      <c r="BW523" s="48"/>
      <c r="BX523" s="48"/>
      <c r="BY523" s="48"/>
      <c r="BZ523" s="48"/>
      <c r="CA523" s="48"/>
      <c r="CB523" s="48"/>
      <c r="CC523" s="48"/>
      <c r="CD523" s="48"/>
      <c r="CE523" s="48"/>
      <c r="CF523" s="48"/>
      <c r="CG523" s="48"/>
      <c r="CH523" s="48"/>
      <c r="CI523" s="48"/>
      <c r="CJ523" s="48"/>
      <c r="CK523" s="48"/>
      <c r="CL523" s="48"/>
      <c r="CM523" s="48"/>
      <c r="CN523" s="48"/>
      <c r="CO523" s="48"/>
      <c r="CP523" s="48"/>
      <c r="CQ523" s="48"/>
      <c r="CR523" s="48"/>
      <c r="CS523" s="48"/>
      <c r="CT523" s="48"/>
      <c r="CU523" s="48"/>
      <c r="CV523" s="48"/>
      <c r="CW523" s="48"/>
      <c r="CX523" s="48"/>
      <c r="CY523" s="48"/>
      <c r="CZ523" s="48"/>
      <c r="DA523" s="48"/>
      <c r="DB523" s="48"/>
      <c r="DC523" s="48"/>
      <c r="DD523" s="48"/>
      <c r="DE523" s="48"/>
      <c r="DF523" s="48"/>
      <c r="DG523" s="48"/>
      <c r="DH523" s="48"/>
      <c r="DI523" s="48"/>
      <c r="DJ523" s="48"/>
      <c r="DK523" s="48"/>
      <c r="DL523" s="48"/>
      <c r="DM523" s="48"/>
      <c r="DN523" s="48"/>
      <c r="DO523" s="48"/>
      <c r="DP523" s="48"/>
      <c r="DQ523" s="48"/>
      <c r="DR523" s="48"/>
      <c r="DS523" s="48"/>
    </row>
    <row r="524" spans="1:123" ht="15">
      <c r="A524"/>
      <c r="B524"/>
      <c r="C524"/>
      <c r="D524"/>
      <c r="E524"/>
      <c r="F524"/>
      <c r="G524"/>
      <c r="H524"/>
      <c r="I524"/>
      <c r="J524"/>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48"/>
      <c r="BH524" s="48"/>
      <c r="BI524" s="48"/>
      <c r="BJ524" s="48"/>
      <c r="BK524" s="48"/>
      <c r="BL524" s="48"/>
      <c r="BM524" s="48"/>
      <c r="BN524" s="48"/>
      <c r="BO524" s="48"/>
      <c r="BP524" s="48"/>
      <c r="BQ524" s="48"/>
      <c r="BR524" s="48"/>
      <c r="BS524" s="48"/>
      <c r="BT524" s="48"/>
      <c r="BU524" s="48"/>
      <c r="BV524" s="48"/>
      <c r="BW524" s="48"/>
      <c r="BX524" s="48"/>
      <c r="BY524" s="48"/>
      <c r="BZ524" s="48"/>
      <c r="CA524" s="48"/>
      <c r="CB524" s="48"/>
      <c r="CC524" s="48"/>
      <c r="CD524" s="48"/>
      <c r="CE524" s="48"/>
      <c r="CF524" s="48"/>
      <c r="CG524" s="48"/>
      <c r="CH524" s="48"/>
      <c r="CI524" s="48"/>
      <c r="CJ524" s="48"/>
      <c r="CK524" s="48"/>
      <c r="CL524" s="48"/>
      <c r="CM524" s="48"/>
      <c r="CN524" s="48"/>
      <c r="CO524" s="48"/>
      <c r="CP524" s="48"/>
      <c r="CQ524" s="48"/>
      <c r="CR524" s="48"/>
      <c r="CS524" s="48"/>
      <c r="CT524" s="48"/>
      <c r="CU524" s="48"/>
      <c r="CV524" s="48"/>
      <c r="CW524" s="48"/>
      <c r="CX524" s="48"/>
      <c r="CY524" s="48"/>
      <c r="CZ524" s="48"/>
      <c r="DA524" s="48"/>
      <c r="DB524" s="48"/>
      <c r="DC524" s="48"/>
      <c r="DD524" s="48"/>
      <c r="DE524" s="48"/>
      <c r="DF524" s="48"/>
      <c r="DG524" s="48"/>
      <c r="DH524" s="48"/>
      <c r="DI524" s="48"/>
      <c r="DJ524" s="48"/>
      <c r="DK524" s="48"/>
      <c r="DL524" s="48"/>
      <c r="DM524" s="48"/>
      <c r="DN524" s="48"/>
      <c r="DO524" s="48"/>
      <c r="DP524" s="48"/>
      <c r="DQ524" s="48"/>
      <c r="DR524" s="48"/>
      <c r="DS524" s="48"/>
    </row>
    <row r="525" spans="1:123" ht="15">
      <c r="A525"/>
      <c r="B525"/>
      <c r="C525"/>
      <c r="D525"/>
      <c r="E525"/>
      <c r="F525"/>
      <c r="G525"/>
      <c r="H525"/>
      <c r="I525"/>
      <c r="J525"/>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48"/>
      <c r="BH525" s="48"/>
      <c r="BI525" s="48"/>
      <c r="BJ525" s="48"/>
      <c r="BK525" s="48"/>
      <c r="BL525" s="48"/>
      <c r="BM525" s="48"/>
      <c r="BN525" s="48"/>
      <c r="BO525" s="48"/>
      <c r="BP525" s="48"/>
      <c r="BQ525" s="48"/>
      <c r="BR525" s="48"/>
      <c r="BS525" s="48"/>
      <c r="BT525" s="48"/>
      <c r="BU525" s="48"/>
      <c r="BV525" s="48"/>
      <c r="BW525" s="48"/>
      <c r="BX525" s="48"/>
      <c r="BY525" s="48"/>
      <c r="BZ525" s="48"/>
      <c r="CA525" s="48"/>
      <c r="CB525" s="48"/>
      <c r="CC525" s="48"/>
      <c r="CD525" s="48"/>
      <c r="CE525" s="48"/>
      <c r="CF525" s="48"/>
      <c r="CG525" s="48"/>
      <c r="CH525" s="48"/>
      <c r="CI525" s="48"/>
      <c r="CJ525" s="48"/>
      <c r="CK525" s="48"/>
      <c r="CL525" s="48"/>
      <c r="CM525" s="48"/>
      <c r="CN525" s="48"/>
      <c r="CO525" s="48"/>
      <c r="CP525" s="48"/>
      <c r="CQ525" s="48"/>
      <c r="CR525" s="48"/>
      <c r="CS525" s="48"/>
      <c r="CT525" s="48"/>
      <c r="CU525" s="48"/>
      <c r="CV525" s="48"/>
      <c r="CW525" s="48"/>
      <c r="CX525" s="48"/>
      <c r="CY525" s="48"/>
      <c r="CZ525" s="48"/>
      <c r="DA525" s="48"/>
      <c r="DB525" s="48"/>
      <c r="DC525" s="48"/>
      <c r="DD525" s="48"/>
      <c r="DE525" s="48"/>
      <c r="DF525" s="48"/>
      <c r="DG525" s="48"/>
      <c r="DH525" s="48"/>
      <c r="DI525" s="48"/>
      <c r="DJ525" s="48"/>
      <c r="DK525" s="48"/>
      <c r="DL525" s="48"/>
      <c r="DM525" s="48"/>
      <c r="DN525" s="48"/>
      <c r="DO525" s="48"/>
      <c r="DP525" s="48"/>
      <c r="DQ525" s="48"/>
      <c r="DR525" s="48"/>
      <c r="DS525" s="48"/>
    </row>
    <row r="526" spans="1:123" ht="15">
      <c r="A526"/>
      <c r="B526"/>
      <c r="C526"/>
      <c r="D526"/>
      <c r="E526"/>
      <c r="F526"/>
      <c r="G526"/>
      <c r="H526"/>
      <c r="I526"/>
      <c r="J526"/>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48"/>
      <c r="BH526" s="48"/>
      <c r="BI526" s="48"/>
      <c r="BJ526" s="48"/>
      <c r="BK526" s="48"/>
      <c r="BL526" s="48"/>
      <c r="BM526" s="48"/>
      <c r="BN526" s="48"/>
      <c r="BO526" s="48"/>
      <c r="BP526" s="48"/>
      <c r="BQ526" s="48"/>
      <c r="BR526" s="48"/>
      <c r="BS526" s="48"/>
      <c r="BT526" s="48"/>
      <c r="BU526" s="48"/>
      <c r="BV526" s="48"/>
      <c r="BW526" s="48"/>
      <c r="BX526" s="48"/>
      <c r="BY526" s="48"/>
      <c r="BZ526" s="48"/>
      <c r="CA526" s="48"/>
      <c r="CB526" s="48"/>
      <c r="CC526" s="48"/>
      <c r="CD526" s="48"/>
      <c r="CE526" s="48"/>
      <c r="CF526" s="48"/>
      <c r="CG526" s="48"/>
      <c r="CH526" s="48"/>
      <c r="CI526" s="48"/>
      <c r="CJ526" s="48"/>
      <c r="CK526" s="48"/>
      <c r="CL526" s="48"/>
      <c r="CM526" s="48"/>
      <c r="CN526" s="48"/>
      <c r="CO526" s="48"/>
      <c r="CP526" s="48"/>
      <c r="CQ526" s="48"/>
      <c r="CR526" s="48"/>
      <c r="CS526" s="48"/>
      <c r="CT526" s="48"/>
      <c r="CU526" s="48"/>
      <c r="CV526" s="48"/>
      <c r="CW526" s="48"/>
      <c r="CX526" s="48"/>
      <c r="CY526" s="48"/>
      <c r="CZ526" s="48"/>
      <c r="DA526" s="48"/>
      <c r="DB526" s="48"/>
      <c r="DC526" s="48"/>
      <c r="DD526" s="48"/>
      <c r="DE526" s="48"/>
      <c r="DF526" s="48"/>
      <c r="DG526" s="48"/>
      <c r="DH526" s="48"/>
      <c r="DI526" s="48"/>
      <c r="DJ526" s="48"/>
      <c r="DK526" s="48"/>
      <c r="DL526" s="48"/>
      <c r="DM526" s="48"/>
      <c r="DN526" s="48"/>
      <c r="DO526" s="48"/>
      <c r="DP526" s="48"/>
      <c r="DQ526" s="48"/>
      <c r="DR526" s="48"/>
      <c r="DS526" s="48"/>
    </row>
    <row r="527" spans="1:123" ht="15">
      <c r="A527"/>
      <c r="B527"/>
      <c r="C527"/>
      <c r="D527"/>
      <c r="E527"/>
      <c r="F527"/>
      <c r="G527"/>
      <c r="H527"/>
      <c r="I527"/>
      <c r="J527"/>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c r="BS527" s="48"/>
      <c r="BT527" s="48"/>
      <c r="BU527" s="48"/>
      <c r="BV527" s="48"/>
      <c r="BW527" s="48"/>
      <c r="BX527" s="48"/>
      <c r="BY527" s="48"/>
      <c r="BZ527" s="48"/>
      <c r="CA527" s="48"/>
      <c r="CB527" s="48"/>
      <c r="CC527" s="48"/>
      <c r="CD527" s="48"/>
      <c r="CE527" s="48"/>
      <c r="CF527" s="48"/>
      <c r="CG527" s="48"/>
      <c r="CH527" s="48"/>
      <c r="CI527" s="48"/>
      <c r="CJ527" s="48"/>
      <c r="CK527" s="48"/>
      <c r="CL527" s="48"/>
      <c r="CM527" s="48"/>
      <c r="CN527" s="48"/>
      <c r="CO527" s="48"/>
      <c r="CP527" s="48"/>
      <c r="CQ527" s="48"/>
      <c r="CR527" s="48"/>
      <c r="CS527" s="48"/>
      <c r="CT527" s="48"/>
      <c r="CU527" s="48"/>
      <c r="CV527" s="48"/>
      <c r="CW527" s="48"/>
      <c r="CX527" s="48"/>
      <c r="CY527" s="48"/>
      <c r="CZ527" s="48"/>
      <c r="DA527" s="48"/>
      <c r="DB527" s="48"/>
      <c r="DC527" s="48"/>
      <c r="DD527" s="48"/>
      <c r="DE527" s="48"/>
      <c r="DF527" s="48"/>
      <c r="DG527" s="48"/>
      <c r="DH527" s="48"/>
      <c r="DI527" s="48"/>
      <c r="DJ527" s="48"/>
      <c r="DK527" s="48"/>
      <c r="DL527" s="48"/>
      <c r="DM527" s="48"/>
      <c r="DN527" s="48"/>
      <c r="DO527" s="48"/>
      <c r="DP527" s="48"/>
      <c r="DQ527" s="48"/>
      <c r="DR527" s="48"/>
      <c r="DS527" s="48"/>
    </row>
    <row r="528" spans="1:123" ht="15">
      <c r="A528"/>
      <c r="B528"/>
      <c r="C528"/>
      <c r="D528"/>
      <c r="E528"/>
      <c r="F528"/>
      <c r="G528"/>
      <c r="H528"/>
      <c r="I528"/>
      <c r="J52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c r="BS528" s="48"/>
      <c r="BT528" s="48"/>
      <c r="BU528" s="48"/>
      <c r="BV528" s="48"/>
      <c r="BW528" s="48"/>
      <c r="BX528" s="48"/>
      <c r="BY528" s="48"/>
      <c r="BZ528" s="48"/>
      <c r="CA528" s="48"/>
      <c r="CB528" s="48"/>
      <c r="CC528" s="48"/>
      <c r="CD528" s="48"/>
      <c r="CE528" s="48"/>
      <c r="CF528" s="48"/>
      <c r="CG528" s="48"/>
      <c r="CH528" s="48"/>
      <c r="CI528" s="48"/>
      <c r="CJ528" s="48"/>
      <c r="CK528" s="48"/>
      <c r="CL528" s="48"/>
      <c r="CM528" s="48"/>
      <c r="CN528" s="48"/>
      <c r="CO528" s="48"/>
      <c r="CP528" s="48"/>
      <c r="CQ528" s="48"/>
      <c r="CR528" s="48"/>
      <c r="CS528" s="48"/>
      <c r="CT528" s="48"/>
      <c r="CU528" s="48"/>
      <c r="CV528" s="48"/>
      <c r="CW528" s="48"/>
      <c r="CX528" s="48"/>
      <c r="CY528" s="48"/>
      <c r="CZ528" s="48"/>
      <c r="DA528" s="48"/>
      <c r="DB528" s="48"/>
      <c r="DC528" s="48"/>
      <c r="DD528" s="48"/>
      <c r="DE528" s="48"/>
      <c r="DF528" s="48"/>
      <c r="DG528" s="48"/>
      <c r="DH528" s="48"/>
      <c r="DI528" s="48"/>
      <c r="DJ528" s="48"/>
      <c r="DK528" s="48"/>
      <c r="DL528" s="48"/>
      <c r="DM528" s="48"/>
      <c r="DN528" s="48"/>
      <c r="DO528" s="48"/>
      <c r="DP528" s="48"/>
      <c r="DQ528" s="48"/>
      <c r="DR528" s="48"/>
      <c r="DS528" s="48"/>
    </row>
    <row r="529" spans="1:123" ht="15">
      <c r="A529"/>
      <c r="B529"/>
      <c r="C529"/>
      <c r="D529"/>
      <c r="E529"/>
      <c r="F529"/>
      <c r="G529"/>
      <c r="H529"/>
      <c r="I529"/>
      <c r="J529"/>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c r="BS529" s="48"/>
      <c r="BT529" s="48"/>
      <c r="BU529" s="48"/>
      <c r="BV529" s="48"/>
      <c r="BW529" s="48"/>
      <c r="BX529" s="48"/>
      <c r="BY529" s="48"/>
      <c r="BZ529" s="48"/>
      <c r="CA529" s="48"/>
      <c r="CB529" s="48"/>
      <c r="CC529" s="48"/>
      <c r="CD529" s="48"/>
      <c r="CE529" s="48"/>
      <c r="CF529" s="48"/>
      <c r="CG529" s="48"/>
      <c r="CH529" s="48"/>
      <c r="CI529" s="48"/>
      <c r="CJ529" s="48"/>
      <c r="CK529" s="48"/>
      <c r="CL529" s="48"/>
      <c r="CM529" s="48"/>
      <c r="CN529" s="48"/>
      <c r="CO529" s="48"/>
      <c r="CP529" s="48"/>
      <c r="CQ529" s="48"/>
      <c r="CR529" s="48"/>
      <c r="CS529" s="48"/>
      <c r="CT529" s="48"/>
      <c r="CU529" s="48"/>
      <c r="CV529" s="48"/>
      <c r="CW529" s="48"/>
      <c r="CX529" s="48"/>
      <c r="CY529" s="48"/>
      <c r="CZ529" s="48"/>
      <c r="DA529" s="48"/>
      <c r="DB529" s="48"/>
      <c r="DC529" s="48"/>
      <c r="DD529" s="48"/>
      <c r="DE529" s="48"/>
      <c r="DF529" s="48"/>
      <c r="DG529" s="48"/>
      <c r="DH529" s="48"/>
      <c r="DI529" s="48"/>
      <c r="DJ529" s="48"/>
      <c r="DK529" s="48"/>
      <c r="DL529" s="48"/>
      <c r="DM529" s="48"/>
      <c r="DN529" s="48"/>
      <c r="DO529" s="48"/>
      <c r="DP529" s="48"/>
      <c r="DQ529" s="48"/>
      <c r="DR529" s="48"/>
      <c r="DS529" s="48"/>
    </row>
    <row r="530" spans="1:123" ht="15">
      <c r="A530"/>
      <c r="B530"/>
      <c r="C530"/>
      <c r="D530"/>
      <c r="E530"/>
      <c r="F530"/>
      <c r="G530"/>
      <c r="H530"/>
      <c r="I530"/>
      <c r="J530"/>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48"/>
      <c r="BH530" s="48"/>
      <c r="BI530" s="48"/>
      <c r="BJ530" s="48"/>
      <c r="BK530" s="48"/>
      <c r="BL530" s="48"/>
      <c r="BM530" s="48"/>
      <c r="BN530" s="48"/>
      <c r="BO530" s="48"/>
      <c r="BP530" s="48"/>
      <c r="BQ530" s="48"/>
      <c r="BR530" s="48"/>
      <c r="BS530" s="48"/>
      <c r="BT530" s="48"/>
      <c r="BU530" s="48"/>
      <c r="BV530" s="48"/>
      <c r="BW530" s="48"/>
      <c r="BX530" s="48"/>
      <c r="BY530" s="48"/>
      <c r="BZ530" s="48"/>
      <c r="CA530" s="48"/>
      <c r="CB530" s="48"/>
      <c r="CC530" s="48"/>
      <c r="CD530" s="48"/>
      <c r="CE530" s="48"/>
      <c r="CF530" s="48"/>
      <c r="CG530" s="48"/>
      <c r="CH530" s="48"/>
      <c r="CI530" s="48"/>
      <c r="CJ530" s="48"/>
      <c r="CK530" s="48"/>
      <c r="CL530" s="48"/>
      <c r="CM530" s="48"/>
      <c r="CN530" s="48"/>
      <c r="CO530" s="48"/>
      <c r="CP530" s="48"/>
      <c r="CQ530" s="48"/>
      <c r="CR530" s="48"/>
      <c r="CS530" s="48"/>
      <c r="CT530" s="48"/>
      <c r="CU530" s="48"/>
      <c r="CV530" s="48"/>
      <c r="CW530" s="48"/>
      <c r="CX530" s="48"/>
      <c r="CY530" s="48"/>
      <c r="CZ530" s="48"/>
      <c r="DA530" s="48"/>
      <c r="DB530" s="48"/>
      <c r="DC530" s="48"/>
      <c r="DD530" s="48"/>
      <c r="DE530" s="48"/>
      <c r="DF530" s="48"/>
      <c r="DG530" s="48"/>
      <c r="DH530" s="48"/>
      <c r="DI530" s="48"/>
      <c r="DJ530" s="48"/>
      <c r="DK530" s="48"/>
      <c r="DL530" s="48"/>
      <c r="DM530" s="48"/>
      <c r="DN530" s="48"/>
      <c r="DO530" s="48"/>
      <c r="DP530" s="48"/>
      <c r="DQ530" s="48"/>
      <c r="DR530" s="48"/>
      <c r="DS530" s="48"/>
    </row>
    <row r="531" spans="1:123" ht="15">
      <c r="A531"/>
      <c r="B531"/>
      <c r="C531"/>
      <c r="D531"/>
      <c r="E531"/>
      <c r="F531"/>
      <c r="G531"/>
      <c r="H531"/>
      <c r="I531"/>
      <c r="J531"/>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48"/>
      <c r="BH531" s="48"/>
      <c r="BI531" s="48"/>
      <c r="BJ531" s="48"/>
      <c r="BK531" s="48"/>
      <c r="BL531" s="48"/>
      <c r="BM531" s="48"/>
      <c r="BN531" s="48"/>
      <c r="BO531" s="48"/>
      <c r="BP531" s="48"/>
      <c r="BQ531" s="48"/>
      <c r="BR531" s="48"/>
      <c r="BS531" s="48"/>
      <c r="BT531" s="48"/>
      <c r="BU531" s="48"/>
      <c r="BV531" s="48"/>
      <c r="BW531" s="48"/>
      <c r="BX531" s="48"/>
      <c r="BY531" s="48"/>
      <c r="BZ531" s="48"/>
      <c r="CA531" s="48"/>
      <c r="CB531" s="48"/>
      <c r="CC531" s="48"/>
      <c r="CD531" s="48"/>
      <c r="CE531" s="48"/>
      <c r="CF531" s="48"/>
      <c r="CG531" s="48"/>
      <c r="CH531" s="48"/>
      <c r="CI531" s="48"/>
      <c r="CJ531" s="48"/>
      <c r="CK531" s="48"/>
      <c r="CL531" s="48"/>
      <c r="CM531" s="48"/>
      <c r="CN531" s="48"/>
      <c r="CO531" s="48"/>
      <c r="CP531" s="48"/>
      <c r="CQ531" s="48"/>
      <c r="CR531" s="48"/>
      <c r="CS531" s="48"/>
      <c r="CT531" s="48"/>
      <c r="CU531" s="48"/>
      <c r="CV531" s="48"/>
      <c r="CW531" s="48"/>
      <c r="CX531" s="48"/>
      <c r="CY531" s="48"/>
      <c r="CZ531" s="48"/>
      <c r="DA531" s="48"/>
      <c r="DB531" s="48"/>
      <c r="DC531" s="48"/>
      <c r="DD531" s="48"/>
      <c r="DE531" s="48"/>
      <c r="DF531" s="48"/>
      <c r="DG531" s="48"/>
      <c r="DH531" s="48"/>
      <c r="DI531" s="48"/>
      <c r="DJ531" s="48"/>
      <c r="DK531" s="48"/>
      <c r="DL531" s="48"/>
      <c r="DM531" s="48"/>
      <c r="DN531" s="48"/>
      <c r="DO531" s="48"/>
      <c r="DP531" s="48"/>
      <c r="DQ531" s="48"/>
      <c r="DR531" s="48"/>
      <c r="DS531" s="48"/>
    </row>
    <row r="532" spans="1:123" ht="15">
      <c r="A532"/>
      <c r="B532"/>
      <c r="C532"/>
      <c r="D532"/>
      <c r="E532"/>
      <c r="F532"/>
      <c r="G532"/>
      <c r="H532"/>
      <c r="I532"/>
      <c r="J532"/>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48"/>
      <c r="BH532" s="48"/>
      <c r="BI532" s="48"/>
      <c r="BJ532" s="48"/>
      <c r="BK532" s="48"/>
      <c r="BL532" s="48"/>
      <c r="BM532" s="48"/>
      <c r="BN532" s="48"/>
      <c r="BO532" s="48"/>
      <c r="BP532" s="48"/>
      <c r="BQ532" s="48"/>
      <c r="BR532" s="48"/>
      <c r="BS532" s="48"/>
      <c r="BT532" s="48"/>
      <c r="BU532" s="48"/>
      <c r="BV532" s="48"/>
      <c r="BW532" s="48"/>
      <c r="BX532" s="48"/>
      <c r="BY532" s="48"/>
      <c r="BZ532" s="48"/>
      <c r="CA532" s="48"/>
      <c r="CB532" s="48"/>
      <c r="CC532" s="48"/>
      <c r="CD532" s="48"/>
      <c r="CE532" s="48"/>
      <c r="CF532" s="48"/>
      <c r="CG532" s="48"/>
      <c r="CH532" s="48"/>
      <c r="CI532" s="48"/>
      <c r="CJ532" s="48"/>
      <c r="CK532" s="48"/>
      <c r="CL532" s="48"/>
      <c r="CM532" s="48"/>
      <c r="CN532" s="48"/>
      <c r="CO532" s="48"/>
      <c r="CP532" s="48"/>
      <c r="CQ532" s="48"/>
      <c r="CR532" s="48"/>
      <c r="CS532" s="48"/>
      <c r="CT532" s="48"/>
      <c r="CU532" s="48"/>
      <c r="CV532" s="48"/>
      <c r="CW532" s="48"/>
      <c r="CX532" s="48"/>
      <c r="CY532" s="48"/>
      <c r="CZ532" s="48"/>
      <c r="DA532" s="48"/>
      <c r="DB532" s="48"/>
      <c r="DC532" s="48"/>
      <c r="DD532" s="48"/>
      <c r="DE532" s="48"/>
      <c r="DF532" s="48"/>
      <c r="DG532" s="48"/>
      <c r="DH532" s="48"/>
      <c r="DI532" s="48"/>
      <c r="DJ532" s="48"/>
      <c r="DK532" s="48"/>
      <c r="DL532" s="48"/>
      <c r="DM532" s="48"/>
      <c r="DN532" s="48"/>
      <c r="DO532" s="48"/>
      <c r="DP532" s="48"/>
      <c r="DQ532" s="48"/>
      <c r="DR532" s="48"/>
      <c r="DS532" s="48"/>
    </row>
    <row r="533" spans="1:123" ht="15">
      <c r="A533"/>
      <c r="B533"/>
      <c r="C533"/>
      <c r="D533"/>
      <c r="E533"/>
      <c r="F533"/>
      <c r="G533"/>
      <c r="H533"/>
      <c r="I533"/>
      <c r="J533"/>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48"/>
      <c r="BH533" s="48"/>
      <c r="BI533" s="48"/>
      <c r="BJ533" s="48"/>
      <c r="BK533" s="48"/>
      <c r="BL533" s="48"/>
      <c r="BM533" s="48"/>
      <c r="BN533" s="48"/>
      <c r="BO533" s="48"/>
      <c r="BP533" s="48"/>
      <c r="BQ533" s="48"/>
      <c r="BR533" s="48"/>
      <c r="BS533" s="48"/>
      <c r="BT533" s="48"/>
      <c r="BU533" s="48"/>
      <c r="BV533" s="48"/>
      <c r="BW533" s="48"/>
      <c r="BX533" s="48"/>
      <c r="BY533" s="48"/>
      <c r="BZ533" s="48"/>
      <c r="CA533" s="48"/>
      <c r="CB533" s="48"/>
      <c r="CC533" s="48"/>
      <c r="CD533" s="48"/>
      <c r="CE533" s="48"/>
      <c r="CF533" s="48"/>
      <c r="CG533" s="48"/>
      <c r="CH533" s="48"/>
      <c r="CI533" s="48"/>
      <c r="CJ533" s="48"/>
      <c r="CK533" s="48"/>
      <c r="CL533" s="48"/>
      <c r="CM533" s="48"/>
      <c r="CN533" s="48"/>
      <c r="CO533" s="48"/>
      <c r="CP533" s="48"/>
      <c r="CQ533" s="48"/>
      <c r="CR533" s="48"/>
      <c r="CS533" s="48"/>
      <c r="CT533" s="48"/>
      <c r="CU533" s="48"/>
      <c r="CV533" s="48"/>
      <c r="CW533" s="48"/>
      <c r="CX533" s="48"/>
      <c r="CY533" s="48"/>
      <c r="CZ533" s="48"/>
      <c r="DA533" s="48"/>
      <c r="DB533" s="48"/>
      <c r="DC533" s="48"/>
      <c r="DD533" s="48"/>
      <c r="DE533" s="48"/>
      <c r="DF533" s="48"/>
      <c r="DG533" s="48"/>
      <c r="DH533" s="48"/>
      <c r="DI533" s="48"/>
      <c r="DJ533" s="48"/>
      <c r="DK533" s="48"/>
      <c r="DL533" s="48"/>
      <c r="DM533" s="48"/>
      <c r="DN533" s="48"/>
      <c r="DO533" s="48"/>
      <c r="DP533" s="48"/>
      <c r="DQ533" s="48"/>
      <c r="DR533" s="48"/>
      <c r="DS533" s="48"/>
    </row>
    <row r="534" spans="1:123" ht="15">
      <c r="A534"/>
      <c r="B534"/>
      <c r="C534"/>
      <c r="D534"/>
      <c r="E534"/>
      <c r="F534"/>
      <c r="G534"/>
      <c r="H534"/>
      <c r="I534"/>
      <c r="J534"/>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48"/>
      <c r="BW534" s="48"/>
      <c r="BX534" s="48"/>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c r="DB534" s="48"/>
      <c r="DC534" s="48"/>
      <c r="DD534" s="48"/>
      <c r="DE534" s="48"/>
      <c r="DF534" s="48"/>
      <c r="DG534" s="48"/>
      <c r="DH534" s="48"/>
      <c r="DI534" s="48"/>
      <c r="DJ534" s="48"/>
      <c r="DK534" s="48"/>
      <c r="DL534" s="48"/>
      <c r="DM534" s="48"/>
      <c r="DN534" s="48"/>
      <c r="DO534" s="48"/>
      <c r="DP534" s="48"/>
      <c r="DQ534" s="48"/>
      <c r="DR534" s="48"/>
      <c r="DS534" s="48"/>
    </row>
    <row r="535" spans="1:123" ht="15">
      <c r="A535"/>
      <c r="B535"/>
      <c r="C535"/>
      <c r="D535"/>
      <c r="E535"/>
      <c r="F535"/>
      <c r="G535"/>
      <c r="H535"/>
      <c r="I535"/>
      <c r="J535"/>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48"/>
      <c r="BH535" s="48"/>
      <c r="BI535" s="48"/>
      <c r="BJ535" s="48"/>
      <c r="BK535" s="48"/>
      <c r="BL535" s="48"/>
      <c r="BM535" s="48"/>
      <c r="BN535" s="48"/>
      <c r="BO535" s="48"/>
      <c r="BP535" s="48"/>
      <c r="BQ535" s="48"/>
      <c r="BR535" s="48"/>
      <c r="BS535" s="48"/>
      <c r="BT535" s="48"/>
      <c r="BU535" s="48"/>
      <c r="BV535" s="48"/>
      <c r="BW535" s="48"/>
      <c r="BX535" s="48"/>
      <c r="BY535" s="48"/>
      <c r="BZ535" s="48"/>
      <c r="CA535" s="48"/>
      <c r="CB535" s="48"/>
      <c r="CC535" s="48"/>
      <c r="CD535" s="48"/>
      <c r="CE535" s="48"/>
      <c r="CF535" s="48"/>
      <c r="CG535" s="48"/>
      <c r="CH535" s="48"/>
      <c r="CI535" s="48"/>
      <c r="CJ535" s="48"/>
      <c r="CK535" s="48"/>
      <c r="CL535" s="48"/>
      <c r="CM535" s="48"/>
      <c r="CN535" s="48"/>
      <c r="CO535" s="48"/>
      <c r="CP535" s="48"/>
      <c r="CQ535" s="48"/>
      <c r="CR535" s="48"/>
      <c r="CS535" s="48"/>
      <c r="CT535" s="48"/>
      <c r="CU535" s="48"/>
      <c r="CV535" s="48"/>
      <c r="CW535" s="48"/>
      <c r="CX535" s="48"/>
      <c r="CY535" s="48"/>
      <c r="CZ535" s="48"/>
      <c r="DA535" s="48"/>
      <c r="DB535" s="48"/>
      <c r="DC535" s="48"/>
      <c r="DD535" s="48"/>
      <c r="DE535" s="48"/>
      <c r="DF535" s="48"/>
      <c r="DG535" s="48"/>
      <c r="DH535" s="48"/>
      <c r="DI535" s="48"/>
      <c r="DJ535" s="48"/>
      <c r="DK535" s="48"/>
      <c r="DL535" s="48"/>
      <c r="DM535" s="48"/>
      <c r="DN535" s="48"/>
      <c r="DO535" s="48"/>
      <c r="DP535" s="48"/>
      <c r="DQ535" s="48"/>
      <c r="DR535" s="48"/>
      <c r="DS535" s="48"/>
    </row>
    <row r="536" spans="1:123" ht="15">
      <c r="A536"/>
      <c r="B536"/>
      <c r="C536"/>
      <c r="D536"/>
      <c r="E536"/>
      <c r="F536"/>
      <c r="G536"/>
      <c r="H536"/>
      <c r="I536"/>
      <c r="J536"/>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48"/>
      <c r="BH536" s="48"/>
      <c r="BI536" s="48"/>
      <c r="BJ536" s="48"/>
      <c r="BK536" s="48"/>
      <c r="BL536" s="48"/>
      <c r="BM536" s="48"/>
      <c r="BN536" s="48"/>
      <c r="BO536" s="48"/>
      <c r="BP536" s="48"/>
      <c r="BQ536" s="48"/>
      <c r="BR536" s="48"/>
      <c r="BS536" s="48"/>
      <c r="BT536" s="48"/>
      <c r="BU536" s="48"/>
      <c r="BV536" s="48"/>
      <c r="BW536" s="48"/>
      <c r="BX536" s="48"/>
      <c r="BY536" s="48"/>
      <c r="BZ536" s="48"/>
      <c r="CA536" s="48"/>
      <c r="CB536" s="48"/>
      <c r="CC536" s="48"/>
      <c r="CD536" s="48"/>
      <c r="CE536" s="48"/>
      <c r="CF536" s="48"/>
      <c r="CG536" s="48"/>
      <c r="CH536" s="48"/>
      <c r="CI536" s="48"/>
      <c r="CJ536" s="48"/>
      <c r="CK536" s="48"/>
      <c r="CL536" s="48"/>
      <c r="CM536" s="48"/>
      <c r="CN536" s="48"/>
      <c r="CO536" s="48"/>
      <c r="CP536" s="48"/>
      <c r="CQ536" s="48"/>
      <c r="CR536" s="48"/>
      <c r="CS536" s="48"/>
      <c r="CT536" s="48"/>
      <c r="CU536" s="48"/>
      <c r="CV536" s="48"/>
      <c r="CW536" s="48"/>
      <c r="CX536" s="48"/>
      <c r="CY536" s="48"/>
      <c r="CZ536" s="48"/>
      <c r="DA536" s="48"/>
      <c r="DB536" s="48"/>
      <c r="DC536" s="48"/>
      <c r="DD536" s="48"/>
      <c r="DE536" s="48"/>
      <c r="DF536" s="48"/>
      <c r="DG536" s="48"/>
      <c r="DH536" s="48"/>
      <c r="DI536" s="48"/>
      <c r="DJ536" s="48"/>
      <c r="DK536" s="48"/>
      <c r="DL536" s="48"/>
      <c r="DM536" s="48"/>
      <c r="DN536" s="48"/>
      <c r="DO536" s="48"/>
      <c r="DP536" s="48"/>
      <c r="DQ536" s="48"/>
      <c r="DR536" s="48"/>
      <c r="DS536" s="48"/>
    </row>
    <row r="537" spans="1:123" ht="15">
      <c r="A537"/>
      <c r="B537"/>
      <c r="C537"/>
      <c r="D537"/>
      <c r="E537"/>
      <c r="F537"/>
      <c r="G537"/>
      <c r="H537"/>
      <c r="I537"/>
      <c r="J537"/>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48"/>
      <c r="BH537" s="48"/>
      <c r="BI537" s="48"/>
      <c r="BJ537" s="48"/>
      <c r="BK537" s="48"/>
      <c r="BL537" s="48"/>
      <c r="BM537" s="48"/>
      <c r="BN537" s="48"/>
      <c r="BO537" s="48"/>
      <c r="BP537" s="48"/>
      <c r="BQ537" s="48"/>
      <c r="BR537" s="48"/>
      <c r="BS537" s="48"/>
      <c r="BT537" s="48"/>
      <c r="BU537" s="48"/>
      <c r="BV537" s="48"/>
      <c r="BW537" s="48"/>
      <c r="BX537" s="48"/>
      <c r="BY537" s="48"/>
      <c r="BZ537" s="48"/>
      <c r="CA537" s="48"/>
      <c r="CB537" s="48"/>
      <c r="CC537" s="48"/>
      <c r="CD537" s="48"/>
      <c r="CE537" s="48"/>
      <c r="CF537" s="48"/>
      <c r="CG537" s="48"/>
      <c r="CH537" s="48"/>
      <c r="CI537" s="48"/>
      <c r="CJ537" s="48"/>
      <c r="CK537" s="48"/>
      <c r="CL537" s="48"/>
      <c r="CM537" s="48"/>
      <c r="CN537" s="48"/>
      <c r="CO537" s="48"/>
      <c r="CP537" s="48"/>
      <c r="CQ537" s="48"/>
      <c r="CR537" s="48"/>
      <c r="CS537" s="48"/>
      <c r="CT537" s="48"/>
      <c r="CU537" s="48"/>
      <c r="CV537" s="48"/>
      <c r="CW537" s="48"/>
      <c r="CX537" s="48"/>
      <c r="CY537" s="48"/>
      <c r="CZ537" s="48"/>
      <c r="DA537" s="48"/>
      <c r="DB537" s="48"/>
      <c r="DC537" s="48"/>
      <c r="DD537" s="48"/>
      <c r="DE537" s="48"/>
      <c r="DF537" s="48"/>
      <c r="DG537" s="48"/>
      <c r="DH537" s="48"/>
      <c r="DI537" s="48"/>
      <c r="DJ537" s="48"/>
      <c r="DK537" s="48"/>
      <c r="DL537" s="48"/>
      <c r="DM537" s="48"/>
      <c r="DN537" s="48"/>
      <c r="DO537" s="48"/>
      <c r="DP537" s="48"/>
      <c r="DQ537" s="48"/>
      <c r="DR537" s="48"/>
      <c r="DS537" s="48"/>
    </row>
    <row r="538" spans="1:123" ht="15">
      <c r="A538"/>
      <c r="B538"/>
      <c r="C538"/>
      <c r="D538"/>
      <c r="E538"/>
      <c r="F538"/>
      <c r="G538"/>
      <c r="H538"/>
      <c r="I538"/>
      <c r="J53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48"/>
      <c r="BH538" s="48"/>
      <c r="BI538" s="48"/>
      <c r="BJ538" s="48"/>
      <c r="BK538" s="48"/>
      <c r="BL538" s="48"/>
      <c r="BM538" s="48"/>
      <c r="BN538" s="48"/>
      <c r="BO538" s="48"/>
      <c r="BP538" s="48"/>
      <c r="BQ538" s="48"/>
      <c r="BR538" s="48"/>
      <c r="BS538" s="48"/>
      <c r="BT538" s="48"/>
      <c r="BU538" s="48"/>
      <c r="BV538" s="48"/>
      <c r="BW538" s="48"/>
      <c r="BX538" s="48"/>
      <c r="BY538" s="48"/>
      <c r="BZ538" s="48"/>
      <c r="CA538" s="48"/>
      <c r="CB538" s="48"/>
      <c r="CC538" s="48"/>
      <c r="CD538" s="48"/>
      <c r="CE538" s="48"/>
      <c r="CF538" s="48"/>
      <c r="CG538" s="48"/>
      <c r="CH538" s="48"/>
      <c r="CI538" s="48"/>
      <c r="CJ538" s="48"/>
      <c r="CK538" s="48"/>
      <c r="CL538" s="48"/>
      <c r="CM538" s="48"/>
      <c r="CN538" s="48"/>
      <c r="CO538" s="48"/>
      <c r="CP538" s="48"/>
      <c r="CQ538" s="48"/>
      <c r="CR538" s="48"/>
      <c r="CS538" s="48"/>
      <c r="CT538" s="48"/>
      <c r="CU538" s="48"/>
      <c r="CV538" s="48"/>
      <c r="CW538" s="48"/>
      <c r="CX538" s="48"/>
      <c r="CY538" s="48"/>
      <c r="CZ538" s="48"/>
      <c r="DA538" s="48"/>
      <c r="DB538" s="48"/>
      <c r="DC538" s="48"/>
      <c r="DD538" s="48"/>
      <c r="DE538" s="48"/>
      <c r="DF538" s="48"/>
      <c r="DG538" s="48"/>
      <c r="DH538" s="48"/>
      <c r="DI538" s="48"/>
      <c r="DJ538" s="48"/>
      <c r="DK538" s="48"/>
      <c r="DL538" s="48"/>
      <c r="DM538" s="48"/>
      <c r="DN538" s="48"/>
      <c r="DO538" s="48"/>
      <c r="DP538" s="48"/>
      <c r="DQ538" s="48"/>
      <c r="DR538" s="48"/>
      <c r="DS538" s="48"/>
    </row>
    <row r="539" spans="1:123" ht="15">
      <c r="A539"/>
      <c r="B539"/>
      <c r="C539"/>
      <c r="D539"/>
      <c r="E539"/>
      <c r="F539"/>
      <c r="G539"/>
      <c r="H539"/>
      <c r="I539"/>
      <c r="J539"/>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48"/>
      <c r="BH539" s="48"/>
      <c r="BI539" s="48"/>
      <c r="BJ539" s="48"/>
      <c r="BK539" s="48"/>
      <c r="BL539" s="48"/>
      <c r="BM539" s="48"/>
      <c r="BN539" s="48"/>
      <c r="BO539" s="48"/>
      <c r="BP539" s="48"/>
      <c r="BQ539" s="48"/>
      <c r="BR539" s="48"/>
      <c r="BS539" s="48"/>
      <c r="BT539" s="48"/>
      <c r="BU539" s="48"/>
      <c r="BV539" s="48"/>
      <c r="BW539" s="48"/>
      <c r="BX539" s="48"/>
      <c r="BY539" s="48"/>
      <c r="BZ539" s="48"/>
      <c r="CA539" s="48"/>
      <c r="CB539" s="48"/>
      <c r="CC539" s="48"/>
      <c r="CD539" s="48"/>
      <c r="CE539" s="48"/>
      <c r="CF539" s="48"/>
      <c r="CG539" s="48"/>
      <c r="CH539" s="48"/>
      <c r="CI539" s="48"/>
      <c r="CJ539" s="48"/>
      <c r="CK539" s="48"/>
      <c r="CL539" s="48"/>
      <c r="CM539" s="48"/>
      <c r="CN539" s="48"/>
      <c r="CO539" s="48"/>
      <c r="CP539" s="48"/>
      <c r="CQ539" s="48"/>
      <c r="CR539" s="48"/>
      <c r="CS539" s="48"/>
      <c r="CT539" s="48"/>
      <c r="CU539" s="48"/>
      <c r="CV539" s="48"/>
      <c r="CW539" s="48"/>
      <c r="CX539" s="48"/>
      <c r="CY539" s="48"/>
      <c r="CZ539" s="48"/>
      <c r="DA539" s="48"/>
      <c r="DB539" s="48"/>
      <c r="DC539" s="48"/>
      <c r="DD539" s="48"/>
      <c r="DE539" s="48"/>
      <c r="DF539" s="48"/>
      <c r="DG539" s="48"/>
      <c r="DH539" s="48"/>
      <c r="DI539" s="48"/>
      <c r="DJ539" s="48"/>
      <c r="DK539" s="48"/>
      <c r="DL539" s="48"/>
      <c r="DM539" s="48"/>
      <c r="DN539" s="48"/>
      <c r="DO539" s="48"/>
      <c r="DP539" s="48"/>
      <c r="DQ539" s="48"/>
      <c r="DR539" s="48"/>
      <c r="DS539" s="48"/>
    </row>
    <row r="540" spans="1:123" ht="15">
      <c r="A540"/>
      <c r="B540"/>
      <c r="C540"/>
      <c r="D540"/>
      <c r="E540"/>
      <c r="F540"/>
      <c r="G540"/>
      <c r="H540"/>
      <c r="I540"/>
      <c r="J540"/>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8"/>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c r="DB540" s="48"/>
      <c r="DC540" s="48"/>
      <c r="DD540" s="48"/>
      <c r="DE540" s="48"/>
      <c r="DF540" s="48"/>
      <c r="DG540" s="48"/>
      <c r="DH540" s="48"/>
      <c r="DI540" s="48"/>
      <c r="DJ540" s="48"/>
      <c r="DK540" s="48"/>
      <c r="DL540" s="48"/>
      <c r="DM540" s="48"/>
      <c r="DN540" s="48"/>
      <c r="DO540" s="48"/>
      <c r="DP540" s="48"/>
      <c r="DQ540" s="48"/>
      <c r="DR540" s="48"/>
      <c r="DS540" s="48"/>
    </row>
    <row r="541" spans="1:123" ht="15">
      <c r="A541"/>
      <c r="B541"/>
      <c r="C541"/>
      <c r="D541"/>
      <c r="E541"/>
      <c r="F541"/>
      <c r="G541"/>
      <c r="H541"/>
      <c r="I541"/>
      <c r="J541"/>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48"/>
      <c r="BH541" s="48"/>
      <c r="BI541" s="48"/>
      <c r="BJ541" s="48"/>
      <c r="BK541" s="48"/>
      <c r="BL541" s="48"/>
      <c r="BM541" s="48"/>
      <c r="BN541" s="48"/>
      <c r="BO541" s="48"/>
      <c r="BP541" s="48"/>
      <c r="BQ541" s="48"/>
      <c r="BR541" s="48"/>
      <c r="BS541" s="48"/>
      <c r="BT541" s="48"/>
      <c r="BU541" s="48"/>
      <c r="BV541" s="48"/>
      <c r="BW541" s="48"/>
      <c r="BX541" s="48"/>
      <c r="BY541" s="48"/>
      <c r="BZ541" s="48"/>
      <c r="CA541" s="48"/>
      <c r="CB541" s="48"/>
      <c r="CC541" s="48"/>
      <c r="CD541" s="48"/>
      <c r="CE541" s="48"/>
      <c r="CF541" s="48"/>
      <c r="CG541" s="48"/>
      <c r="CH541" s="48"/>
      <c r="CI541" s="48"/>
      <c r="CJ541" s="48"/>
      <c r="CK541" s="48"/>
      <c r="CL541" s="48"/>
      <c r="CM541" s="48"/>
      <c r="CN541" s="48"/>
      <c r="CO541" s="48"/>
      <c r="CP541" s="48"/>
      <c r="CQ541" s="48"/>
      <c r="CR541" s="48"/>
      <c r="CS541" s="48"/>
      <c r="CT541" s="48"/>
      <c r="CU541" s="48"/>
      <c r="CV541" s="48"/>
      <c r="CW541" s="48"/>
      <c r="CX541" s="48"/>
      <c r="CY541" s="48"/>
      <c r="CZ541" s="48"/>
      <c r="DA541" s="48"/>
      <c r="DB541" s="48"/>
      <c r="DC541" s="48"/>
      <c r="DD541" s="48"/>
      <c r="DE541" s="48"/>
      <c r="DF541" s="48"/>
      <c r="DG541" s="48"/>
      <c r="DH541" s="48"/>
      <c r="DI541" s="48"/>
      <c r="DJ541" s="48"/>
      <c r="DK541" s="48"/>
      <c r="DL541" s="48"/>
      <c r="DM541" s="48"/>
      <c r="DN541" s="48"/>
      <c r="DO541" s="48"/>
      <c r="DP541" s="48"/>
      <c r="DQ541" s="48"/>
      <c r="DR541" s="48"/>
      <c r="DS541" s="48"/>
    </row>
    <row r="542" spans="1:123" ht="15">
      <c r="A542"/>
      <c r="B542"/>
      <c r="C542"/>
      <c r="D542"/>
      <c r="E542"/>
      <c r="F542"/>
      <c r="G542"/>
      <c r="H542"/>
      <c r="I542"/>
      <c r="J542"/>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c r="BO542" s="48"/>
      <c r="BP542" s="48"/>
      <c r="BQ542" s="48"/>
      <c r="BR542" s="48"/>
      <c r="BS542" s="48"/>
      <c r="BT542" s="48"/>
      <c r="BU542" s="48"/>
      <c r="BV542" s="48"/>
      <c r="BW542" s="48"/>
      <c r="BX542" s="48"/>
      <c r="BY542" s="48"/>
      <c r="BZ542" s="48"/>
      <c r="CA542" s="48"/>
      <c r="CB542" s="48"/>
      <c r="CC542" s="48"/>
      <c r="CD542" s="48"/>
      <c r="CE542" s="48"/>
      <c r="CF542" s="48"/>
      <c r="CG542" s="48"/>
      <c r="CH542" s="48"/>
      <c r="CI542" s="48"/>
      <c r="CJ542" s="48"/>
      <c r="CK542" s="48"/>
      <c r="CL542" s="48"/>
      <c r="CM542" s="48"/>
      <c r="CN542" s="48"/>
      <c r="CO542" s="48"/>
      <c r="CP542" s="48"/>
      <c r="CQ542" s="48"/>
      <c r="CR542" s="48"/>
      <c r="CS542" s="48"/>
      <c r="CT542" s="48"/>
      <c r="CU542" s="48"/>
      <c r="CV542" s="48"/>
      <c r="CW542" s="48"/>
      <c r="CX542" s="48"/>
      <c r="CY542" s="48"/>
      <c r="CZ542" s="48"/>
      <c r="DA542" s="48"/>
      <c r="DB542" s="48"/>
      <c r="DC542" s="48"/>
      <c r="DD542" s="48"/>
      <c r="DE542" s="48"/>
      <c r="DF542" s="48"/>
      <c r="DG542" s="48"/>
      <c r="DH542" s="48"/>
      <c r="DI542" s="48"/>
      <c r="DJ542" s="48"/>
      <c r="DK542" s="48"/>
      <c r="DL542" s="48"/>
      <c r="DM542" s="48"/>
      <c r="DN542" s="48"/>
      <c r="DO542" s="48"/>
      <c r="DP542" s="48"/>
      <c r="DQ542" s="48"/>
      <c r="DR542" s="48"/>
      <c r="DS542" s="48"/>
    </row>
    <row r="543" spans="1:123" ht="15">
      <c r="A543"/>
      <c r="B543"/>
      <c r="C543"/>
      <c r="D543"/>
      <c r="E543"/>
      <c r="F543"/>
      <c r="G543"/>
      <c r="H543"/>
      <c r="I543"/>
      <c r="J543"/>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c r="BO543" s="48"/>
      <c r="BP543" s="48"/>
      <c r="BQ543" s="48"/>
      <c r="BR543" s="48"/>
      <c r="BS543" s="48"/>
      <c r="BT543" s="48"/>
      <c r="BU543" s="48"/>
      <c r="BV543" s="48"/>
      <c r="BW543" s="48"/>
      <c r="BX543" s="48"/>
      <c r="BY543" s="48"/>
      <c r="BZ543" s="48"/>
      <c r="CA543" s="48"/>
      <c r="CB543" s="48"/>
      <c r="CC543" s="48"/>
      <c r="CD543" s="48"/>
      <c r="CE543" s="48"/>
      <c r="CF543" s="48"/>
      <c r="CG543" s="48"/>
      <c r="CH543" s="48"/>
      <c r="CI543" s="48"/>
      <c r="CJ543" s="48"/>
      <c r="CK543" s="48"/>
      <c r="CL543" s="48"/>
      <c r="CM543" s="48"/>
      <c r="CN543" s="48"/>
      <c r="CO543" s="48"/>
      <c r="CP543" s="48"/>
      <c r="CQ543" s="48"/>
      <c r="CR543" s="48"/>
      <c r="CS543" s="48"/>
      <c r="CT543" s="48"/>
      <c r="CU543" s="48"/>
      <c r="CV543" s="48"/>
      <c r="CW543" s="48"/>
      <c r="CX543" s="48"/>
      <c r="CY543" s="48"/>
      <c r="CZ543" s="48"/>
      <c r="DA543" s="48"/>
      <c r="DB543" s="48"/>
      <c r="DC543" s="48"/>
      <c r="DD543" s="48"/>
      <c r="DE543" s="48"/>
      <c r="DF543" s="48"/>
      <c r="DG543" s="48"/>
      <c r="DH543" s="48"/>
      <c r="DI543" s="48"/>
      <c r="DJ543" s="48"/>
      <c r="DK543" s="48"/>
      <c r="DL543" s="48"/>
      <c r="DM543" s="48"/>
      <c r="DN543" s="48"/>
      <c r="DO543" s="48"/>
      <c r="DP543" s="48"/>
      <c r="DQ543" s="48"/>
      <c r="DR543" s="48"/>
      <c r="DS543" s="48"/>
    </row>
    <row r="544" spans="1:123" ht="15">
      <c r="A544"/>
      <c r="B544"/>
      <c r="C544"/>
      <c r="D544"/>
      <c r="E544"/>
      <c r="F544"/>
      <c r="G544"/>
      <c r="H544"/>
      <c r="I544"/>
      <c r="J544"/>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c r="BO544" s="48"/>
      <c r="BP544" s="48"/>
      <c r="BQ544" s="48"/>
      <c r="BR544" s="48"/>
      <c r="BS544" s="48"/>
      <c r="BT544" s="48"/>
      <c r="BU544" s="48"/>
      <c r="BV544" s="48"/>
      <c r="BW544" s="48"/>
      <c r="BX544" s="48"/>
      <c r="BY544" s="48"/>
      <c r="BZ544" s="48"/>
      <c r="CA544" s="48"/>
      <c r="CB544" s="48"/>
      <c r="CC544" s="48"/>
      <c r="CD544" s="48"/>
      <c r="CE544" s="48"/>
      <c r="CF544" s="48"/>
      <c r="CG544" s="48"/>
      <c r="CH544" s="48"/>
      <c r="CI544" s="48"/>
      <c r="CJ544" s="48"/>
      <c r="CK544" s="48"/>
      <c r="CL544" s="48"/>
      <c r="CM544" s="48"/>
      <c r="CN544" s="48"/>
      <c r="CO544" s="48"/>
      <c r="CP544" s="48"/>
      <c r="CQ544" s="48"/>
      <c r="CR544" s="48"/>
      <c r="CS544" s="48"/>
      <c r="CT544" s="48"/>
      <c r="CU544" s="48"/>
      <c r="CV544" s="48"/>
      <c r="CW544" s="48"/>
      <c r="CX544" s="48"/>
      <c r="CY544" s="48"/>
      <c r="CZ544" s="48"/>
      <c r="DA544" s="48"/>
      <c r="DB544" s="48"/>
      <c r="DC544" s="48"/>
      <c r="DD544" s="48"/>
      <c r="DE544" s="48"/>
      <c r="DF544" s="48"/>
      <c r="DG544" s="48"/>
      <c r="DH544" s="48"/>
      <c r="DI544" s="48"/>
      <c r="DJ544" s="48"/>
      <c r="DK544" s="48"/>
      <c r="DL544" s="48"/>
      <c r="DM544" s="48"/>
      <c r="DN544" s="48"/>
      <c r="DO544" s="48"/>
      <c r="DP544" s="48"/>
      <c r="DQ544" s="48"/>
      <c r="DR544" s="48"/>
      <c r="DS544" s="48"/>
    </row>
    <row r="545" spans="1:123" ht="15">
      <c r="A545"/>
      <c r="B545"/>
      <c r="C545"/>
      <c r="D545"/>
      <c r="E545"/>
      <c r="F545"/>
      <c r="G545"/>
      <c r="H545"/>
      <c r="I545"/>
      <c r="J545"/>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c r="BS545" s="48"/>
      <c r="BT545" s="48"/>
      <c r="BU545" s="48"/>
      <c r="BV545" s="48"/>
      <c r="BW545" s="48"/>
      <c r="BX545" s="48"/>
      <c r="BY545" s="48"/>
      <c r="BZ545" s="48"/>
      <c r="CA545" s="48"/>
      <c r="CB545" s="48"/>
      <c r="CC545" s="48"/>
      <c r="CD545" s="48"/>
      <c r="CE545" s="48"/>
      <c r="CF545" s="48"/>
      <c r="CG545" s="48"/>
      <c r="CH545" s="48"/>
      <c r="CI545" s="48"/>
      <c r="CJ545" s="48"/>
      <c r="CK545" s="48"/>
      <c r="CL545" s="48"/>
      <c r="CM545" s="48"/>
      <c r="CN545" s="48"/>
      <c r="CO545" s="48"/>
      <c r="CP545" s="48"/>
      <c r="CQ545" s="48"/>
      <c r="CR545" s="48"/>
      <c r="CS545" s="48"/>
      <c r="CT545" s="48"/>
      <c r="CU545" s="48"/>
      <c r="CV545" s="48"/>
      <c r="CW545" s="48"/>
      <c r="CX545" s="48"/>
      <c r="CY545" s="48"/>
      <c r="CZ545" s="48"/>
      <c r="DA545" s="48"/>
      <c r="DB545" s="48"/>
      <c r="DC545" s="48"/>
      <c r="DD545" s="48"/>
      <c r="DE545" s="48"/>
      <c r="DF545" s="48"/>
      <c r="DG545" s="48"/>
      <c r="DH545" s="48"/>
      <c r="DI545" s="48"/>
      <c r="DJ545" s="48"/>
      <c r="DK545" s="48"/>
      <c r="DL545" s="48"/>
      <c r="DM545" s="48"/>
      <c r="DN545" s="48"/>
      <c r="DO545" s="48"/>
      <c r="DP545" s="48"/>
      <c r="DQ545" s="48"/>
      <c r="DR545" s="48"/>
      <c r="DS545" s="48"/>
    </row>
    <row r="546" spans="1:123" ht="15">
      <c r="A546"/>
      <c r="B546"/>
      <c r="C546"/>
      <c r="D546"/>
      <c r="E546"/>
      <c r="F546"/>
      <c r="G546"/>
      <c r="H546"/>
      <c r="I546"/>
      <c r="J546"/>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48"/>
      <c r="BW546" s="48"/>
      <c r="BX546" s="48"/>
      <c r="BY546" s="48"/>
      <c r="BZ546" s="48"/>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48"/>
      <c r="CX546" s="48"/>
      <c r="CY546" s="48"/>
      <c r="CZ546" s="48"/>
      <c r="DA546" s="48"/>
      <c r="DB546" s="48"/>
      <c r="DC546" s="48"/>
      <c r="DD546" s="48"/>
      <c r="DE546" s="48"/>
      <c r="DF546" s="48"/>
      <c r="DG546" s="48"/>
      <c r="DH546" s="48"/>
      <c r="DI546" s="48"/>
      <c r="DJ546" s="48"/>
      <c r="DK546" s="48"/>
      <c r="DL546" s="48"/>
      <c r="DM546" s="48"/>
      <c r="DN546" s="48"/>
      <c r="DO546" s="48"/>
      <c r="DP546" s="48"/>
      <c r="DQ546" s="48"/>
      <c r="DR546" s="48"/>
      <c r="DS546" s="48"/>
    </row>
    <row r="547" spans="1:123" ht="15">
      <c r="A547"/>
      <c r="B547"/>
      <c r="C547"/>
      <c r="D547"/>
      <c r="E547"/>
      <c r="F547"/>
      <c r="G547"/>
      <c r="H547"/>
      <c r="I547"/>
      <c r="J547"/>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48"/>
      <c r="BH547" s="48"/>
      <c r="BI547" s="48"/>
      <c r="BJ547" s="48"/>
      <c r="BK547" s="48"/>
      <c r="BL547" s="48"/>
      <c r="BM547" s="48"/>
      <c r="BN547" s="48"/>
      <c r="BO547" s="48"/>
      <c r="BP547" s="48"/>
      <c r="BQ547" s="48"/>
      <c r="BR547" s="48"/>
      <c r="BS547" s="48"/>
      <c r="BT547" s="48"/>
      <c r="BU547" s="48"/>
      <c r="BV547" s="48"/>
      <c r="BW547" s="48"/>
      <c r="BX547" s="48"/>
      <c r="BY547" s="48"/>
      <c r="BZ547" s="48"/>
      <c r="CA547" s="48"/>
      <c r="CB547" s="48"/>
      <c r="CC547" s="48"/>
      <c r="CD547" s="48"/>
      <c r="CE547" s="48"/>
      <c r="CF547" s="48"/>
      <c r="CG547" s="48"/>
      <c r="CH547" s="48"/>
      <c r="CI547" s="48"/>
      <c r="CJ547" s="48"/>
      <c r="CK547" s="48"/>
      <c r="CL547" s="48"/>
      <c r="CM547" s="48"/>
      <c r="CN547" s="48"/>
      <c r="CO547" s="48"/>
      <c r="CP547" s="48"/>
      <c r="CQ547" s="48"/>
      <c r="CR547" s="48"/>
      <c r="CS547" s="48"/>
      <c r="CT547" s="48"/>
      <c r="CU547" s="48"/>
      <c r="CV547" s="48"/>
      <c r="CW547" s="48"/>
      <c r="CX547" s="48"/>
      <c r="CY547" s="48"/>
      <c r="CZ547" s="48"/>
      <c r="DA547" s="48"/>
      <c r="DB547" s="48"/>
      <c r="DC547" s="48"/>
      <c r="DD547" s="48"/>
      <c r="DE547" s="48"/>
      <c r="DF547" s="48"/>
      <c r="DG547" s="48"/>
      <c r="DH547" s="48"/>
      <c r="DI547" s="48"/>
      <c r="DJ547" s="48"/>
      <c r="DK547" s="48"/>
      <c r="DL547" s="48"/>
      <c r="DM547" s="48"/>
      <c r="DN547" s="48"/>
      <c r="DO547" s="48"/>
      <c r="DP547" s="48"/>
      <c r="DQ547" s="48"/>
      <c r="DR547" s="48"/>
      <c r="DS547" s="48"/>
    </row>
    <row r="548" spans="1:123" ht="15">
      <c r="A548"/>
      <c r="B548"/>
      <c r="C548"/>
      <c r="D548"/>
      <c r="E548"/>
      <c r="F548"/>
      <c r="G548"/>
      <c r="H548"/>
      <c r="I548"/>
      <c r="J5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48"/>
      <c r="BJ548" s="48"/>
      <c r="BK548" s="48"/>
      <c r="BL548" s="48"/>
      <c r="BM548" s="48"/>
      <c r="BN548" s="48"/>
      <c r="BO548" s="48"/>
      <c r="BP548" s="48"/>
      <c r="BQ548" s="48"/>
      <c r="BR548" s="48"/>
      <c r="BS548" s="48"/>
      <c r="BT548" s="48"/>
      <c r="BU548" s="48"/>
      <c r="BV548" s="48"/>
      <c r="BW548" s="48"/>
      <c r="BX548" s="48"/>
      <c r="BY548" s="48"/>
      <c r="BZ548" s="48"/>
      <c r="CA548" s="48"/>
      <c r="CB548" s="48"/>
      <c r="CC548" s="48"/>
      <c r="CD548" s="48"/>
      <c r="CE548" s="48"/>
      <c r="CF548" s="48"/>
      <c r="CG548" s="48"/>
      <c r="CH548" s="48"/>
      <c r="CI548" s="48"/>
      <c r="CJ548" s="48"/>
      <c r="CK548" s="48"/>
      <c r="CL548" s="48"/>
      <c r="CM548" s="48"/>
      <c r="CN548" s="48"/>
      <c r="CO548" s="48"/>
      <c r="CP548" s="48"/>
      <c r="CQ548" s="48"/>
      <c r="CR548" s="48"/>
      <c r="CS548" s="48"/>
      <c r="CT548" s="48"/>
      <c r="CU548" s="48"/>
      <c r="CV548" s="48"/>
      <c r="CW548" s="48"/>
      <c r="CX548" s="48"/>
      <c r="CY548" s="48"/>
      <c r="CZ548" s="48"/>
      <c r="DA548" s="48"/>
      <c r="DB548" s="48"/>
      <c r="DC548" s="48"/>
      <c r="DD548" s="48"/>
      <c r="DE548" s="48"/>
      <c r="DF548" s="48"/>
      <c r="DG548" s="48"/>
      <c r="DH548" s="48"/>
      <c r="DI548" s="48"/>
      <c r="DJ548" s="48"/>
      <c r="DK548" s="48"/>
      <c r="DL548" s="48"/>
      <c r="DM548" s="48"/>
      <c r="DN548" s="48"/>
      <c r="DO548" s="48"/>
      <c r="DP548" s="48"/>
      <c r="DQ548" s="48"/>
      <c r="DR548" s="48"/>
      <c r="DS548" s="48"/>
    </row>
    <row r="549" spans="1:123" ht="15">
      <c r="A549"/>
      <c r="B549"/>
      <c r="C549"/>
      <c r="D549"/>
      <c r="E549"/>
      <c r="F549"/>
      <c r="G549"/>
      <c r="H549"/>
      <c r="I549"/>
      <c r="J549"/>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48"/>
      <c r="BH549" s="48"/>
      <c r="BI549" s="48"/>
      <c r="BJ549" s="48"/>
      <c r="BK549" s="48"/>
      <c r="BL549" s="48"/>
      <c r="BM549" s="48"/>
      <c r="BN549" s="48"/>
      <c r="BO549" s="48"/>
      <c r="BP549" s="48"/>
      <c r="BQ549" s="48"/>
      <c r="BR549" s="48"/>
      <c r="BS549" s="48"/>
      <c r="BT549" s="48"/>
      <c r="BU549" s="48"/>
      <c r="BV549" s="48"/>
      <c r="BW549" s="48"/>
      <c r="BX549" s="48"/>
      <c r="BY549" s="48"/>
      <c r="BZ549" s="48"/>
      <c r="CA549" s="48"/>
      <c r="CB549" s="48"/>
      <c r="CC549" s="48"/>
      <c r="CD549" s="48"/>
      <c r="CE549" s="48"/>
      <c r="CF549" s="48"/>
      <c r="CG549" s="48"/>
      <c r="CH549" s="48"/>
      <c r="CI549" s="48"/>
      <c r="CJ549" s="48"/>
      <c r="CK549" s="48"/>
      <c r="CL549" s="48"/>
      <c r="CM549" s="48"/>
      <c r="CN549" s="48"/>
      <c r="CO549" s="48"/>
      <c r="CP549" s="48"/>
      <c r="CQ549" s="48"/>
      <c r="CR549" s="48"/>
      <c r="CS549" s="48"/>
      <c r="CT549" s="48"/>
      <c r="CU549" s="48"/>
      <c r="CV549" s="48"/>
      <c r="CW549" s="48"/>
      <c r="CX549" s="48"/>
      <c r="CY549" s="48"/>
      <c r="CZ549" s="48"/>
      <c r="DA549" s="48"/>
      <c r="DB549" s="48"/>
      <c r="DC549" s="48"/>
      <c r="DD549" s="48"/>
      <c r="DE549" s="48"/>
      <c r="DF549" s="48"/>
      <c r="DG549" s="48"/>
      <c r="DH549" s="48"/>
      <c r="DI549" s="48"/>
      <c r="DJ549" s="48"/>
      <c r="DK549" s="48"/>
      <c r="DL549" s="48"/>
      <c r="DM549" s="48"/>
      <c r="DN549" s="48"/>
      <c r="DO549" s="48"/>
      <c r="DP549" s="48"/>
      <c r="DQ549" s="48"/>
      <c r="DR549" s="48"/>
      <c r="DS549" s="48"/>
    </row>
    <row r="550" spans="1:123" ht="15">
      <c r="A550"/>
      <c r="B550"/>
      <c r="C550"/>
      <c r="D550"/>
      <c r="E550"/>
      <c r="F550"/>
      <c r="G550"/>
      <c r="H550"/>
      <c r="I550"/>
      <c r="J550"/>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48"/>
      <c r="BH550" s="48"/>
      <c r="BI550" s="48"/>
      <c r="BJ550" s="48"/>
      <c r="BK550" s="48"/>
      <c r="BL550" s="48"/>
      <c r="BM550" s="48"/>
      <c r="BN550" s="48"/>
      <c r="BO550" s="48"/>
      <c r="BP550" s="48"/>
      <c r="BQ550" s="48"/>
      <c r="BR550" s="48"/>
      <c r="BS550" s="48"/>
      <c r="BT550" s="48"/>
      <c r="BU550" s="48"/>
      <c r="BV550" s="48"/>
      <c r="BW550" s="48"/>
      <c r="BX550" s="48"/>
      <c r="BY550" s="48"/>
      <c r="BZ550" s="48"/>
      <c r="CA550" s="48"/>
      <c r="CB550" s="48"/>
      <c r="CC550" s="48"/>
      <c r="CD550" s="48"/>
      <c r="CE550" s="48"/>
      <c r="CF550" s="48"/>
      <c r="CG550" s="48"/>
      <c r="CH550" s="48"/>
      <c r="CI550" s="48"/>
      <c r="CJ550" s="48"/>
      <c r="CK550" s="48"/>
      <c r="CL550" s="48"/>
      <c r="CM550" s="48"/>
      <c r="CN550" s="48"/>
      <c r="CO550" s="48"/>
      <c r="CP550" s="48"/>
      <c r="CQ550" s="48"/>
      <c r="CR550" s="48"/>
      <c r="CS550" s="48"/>
      <c r="CT550" s="48"/>
      <c r="CU550" s="48"/>
      <c r="CV550" s="48"/>
      <c r="CW550" s="48"/>
      <c r="CX550" s="48"/>
      <c r="CY550" s="48"/>
      <c r="CZ550" s="48"/>
      <c r="DA550" s="48"/>
      <c r="DB550" s="48"/>
      <c r="DC550" s="48"/>
      <c r="DD550" s="48"/>
      <c r="DE550" s="48"/>
      <c r="DF550" s="48"/>
      <c r="DG550" s="48"/>
      <c r="DH550" s="48"/>
      <c r="DI550" s="48"/>
      <c r="DJ550" s="48"/>
      <c r="DK550" s="48"/>
      <c r="DL550" s="48"/>
      <c r="DM550" s="48"/>
      <c r="DN550" s="48"/>
      <c r="DO550" s="48"/>
      <c r="DP550" s="48"/>
      <c r="DQ550" s="48"/>
      <c r="DR550" s="48"/>
      <c r="DS550" s="48"/>
    </row>
    <row r="551" spans="1:123" ht="15">
      <c r="A551"/>
      <c r="B551"/>
      <c r="C551"/>
      <c r="D551"/>
      <c r="E551"/>
      <c r="F551"/>
      <c r="G551"/>
      <c r="H551"/>
      <c r="I551"/>
      <c r="J551"/>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48"/>
      <c r="BH551" s="48"/>
      <c r="BI551" s="48"/>
      <c r="BJ551" s="48"/>
      <c r="BK551" s="48"/>
      <c r="BL551" s="48"/>
      <c r="BM551" s="48"/>
      <c r="BN551" s="48"/>
      <c r="BO551" s="48"/>
      <c r="BP551" s="48"/>
      <c r="BQ551" s="48"/>
      <c r="BR551" s="48"/>
      <c r="BS551" s="48"/>
      <c r="BT551" s="48"/>
      <c r="BU551" s="48"/>
      <c r="BV551" s="48"/>
      <c r="BW551" s="48"/>
      <c r="BX551" s="48"/>
      <c r="BY551" s="48"/>
      <c r="BZ551" s="48"/>
      <c r="CA551" s="48"/>
      <c r="CB551" s="48"/>
      <c r="CC551" s="48"/>
      <c r="CD551" s="48"/>
      <c r="CE551" s="48"/>
      <c r="CF551" s="48"/>
      <c r="CG551" s="48"/>
      <c r="CH551" s="48"/>
      <c r="CI551" s="48"/>
      <c r="CJ551" s="48"/>
      <c r="CK551" s="48"/>
      <c r="CL551" s="48"/>
      <c r="CM551" s="48"/>
      <c r="CN551" s="48"/>
      <c r="CO551" s="48"/>
      <c r="CP551" s="48"/>
      <c r="CQ551" s="48"/>
      <c r="CR551" s="48"/>
      <c r="CS551" s="48"/>
      <c r="CT551" s="48"/>
      <c r="CU551" s="48"/>
      <c r="CV551" s="48"/>
      <c r="CW551" s="48"/>
      <c r="CX551" s="48"/>
      <c r="CY551" s="48"/>
      <c r="CZ551" s="48"/>
      <c r="DA551" s="48"/>
      <c r="DB551" s="48"/>
      <c r="DC551" s="48"/>
      <c r="DD551" s="48"/>
      <c r="DE551" s="48"/>
      <c r="DF551" s="48"/>
      <c r="DG551" s="48"/>
      <c r="DH551" s="48"/>
      <c r="DI551" s="48"/>
      <c r="DJ551" s="48"/>
      <c r="DK551" s="48"/>
      <c r="DL551" s="48"/>
      <c r="DM551" s="48"/>
      <c r="DN551" s="48"/>
      <c r="DO551" s="48"/>
      <c r="DP551" s="48"/>
      <c r="DQ551" s="48"/>
      <c r="DR551" s="48"/>
      <c r="DS551" s="48"/>
    </row>
    <row r="552" spans="1:123" ht="15">
      <c r="A552"/>
      <c r="B552"/>
      <c r="C552"/>
      <c r="D552"/>
      <c r="E552"/>
      <c r="F552"/>
      <c r="G552"/>
      <c r="H552"/>
      <c r="I552"/>
      <c r="J552"/>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48"/>
      <c r="BH552" s="48"/>
      <c r="BI552" s="48"/>
      <c r="BJ552" s="48"/>
      <c r="BK552" s="48"/>
      <c r="BL552" s="48"/>
      <c r="BM552" s="48"/>
      <c r="BN552" s="48"/>
      <c r="BO552" s="48"/>
      <c r="BP552" s="48"/>
      <c r="BQ552" s="48"/>
      <c r="BR552" s="48"/>
      <c r="BS552" s="48"/>
      <c r="BT552" s="48"/>
      <c r="BU552" s="48"/>
      <c r="BV552" s="48"/>
      <c r="BW552" s="48"/>
      <c r="BX552" s="48"/>
      <c r="BY552" s="48"/>
      <c r="BZ552" s="48"/>
      <c r="CA552" s="48"/>
      <c r="CB552" s="48"/>
      <c r="CC552" s="48"/>
      <c r="CD552" s="48"/>
      <c r="CE552" s="48"/>
      <c r="CF552" s="48"/>
      <c r="CG552" s="48"/>
      <c r="CH552" s="48"/>
      <c r="CI552" s="48"/>
      <c r="CJ552" s="48"/>
      <c r="CK552" s="48"/>
      <c r="CL552" s="48"/>
      <c r="CM552" s="48"/>
      <c r="CN552" s="48"/>
      <c r="CO552" s="48"/>
      <c r="CP552" s="48"/>
      <c r="CQ552" s="48"/>
      <c r="CR552" s="48"/>
      <c r="CS552" s="48"/>
      <c r="CT552" s="48"/>
      <c r="CU552" s="48"/>
      <c r="CV552" s="48"/>
      <c r="CW552" s="48"/>
      <c r="CX552" s="48"/>
      <c r="CY552" s="48"/>
      <c r="CZ552" s="48"/>
      <c r="DA552" s="48"/>
      <c r="DB552" s="48"/>
      <c r="DC552" s="48"/>
      <c r="DD552" s="48"/>
      <c r="DE552" s="48"/>
      <c r="DF552" s="48"/>
      <c r="DG552" s="48"/>
      <c r="DH552" s="48"/>
      <c r="DI552" s="48"/>
      <c r="DJ552" s="48"/>
      <c r="DK552" s="48"/>
      <c r="DL552" s="48"/>
      <c r="DM552" s="48"/>
      <c r="DN552" s="48"/>
      <c r="DO552" s="48"/>
      <c r="DP552" s="48"/>
      <c r="DQ552" s="48"/>
      <c r="DR552" s="48"/>
      <c r="DS552" s="48"/>
    </row>
    <row r="553" spans="1:123" ht="15">
      <c r="A553"/>
      <c r="B553"/>
      <c r="C553"/>
      <c r="D553"/>
      <c r="E553"/>
      <c r="F553"/>
      <c r="G553"/>
      <c r="H553"/>
      <c r="I553"/>
      <c r="J553"/>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48"/>
      <c r="BH553" s="48"/>
      <c r="BI553" s="48"/>
      <c r="BJ553" s="48"/>
      <c r="BK553" s="48"/>
      <c r="BL553" s="48"/>
      <c r="BM553" s="48"/>
      <c r="BN553" s="48"/>
      <c r="BO553" s="48"/>
      <c r="BP553" s="48"/>
      <c r="BQ553" s="48"/>
      <c r="BR553" s="48"/>
      <c r="BS553" s="48"/>
      <c r="BT553" s="48"/>
      <c r="BU553" s="48"/>
      <c r="BV553" s="48"/>
      <c r="BW553" s="48"/>
      <c r="BX553" s="48"/>
      <c r="BY553" s="48"/>
      <c r="BZ553" s="48"/>
      <c r="CA553" s="48"/>
      <c r="CB553" s="48"/>
      <c r="CC553" s="48"/>
      <c r="CD553" s="48"/>
      <c r="CE553" s="48"/>
      <c r="CF553" s="48"/>
      <c r="CG553" s="48"/>
      <c r="CH553" s="48"/>
      <c r="CI553" s="48"/>
      <c r="CJ553" s="48"/>
      <c r="CK553" s="48"/>
      <c r="CL553" s="48"/>
      <c r="CM553" s="48"/>
      <c r="CN553" s="48"/>
      <c r="CO553" s="48"/>
      <c r="CP553" s="48"/>
      <c r="CQ553" s="48"/>
      <c r="CR553" s="48"/>
      <c r="CS553" s="48"/>
      <c r="CT553" s="48"/>
      <c r="CU553" s="48"/>
      <c r="CV553" s="48"/>
      <c r="CW553" s="48"/>
      <c r="CX553" s="48"/>
      <c r="CY553" s="48"/>
      <c r="CZ553" s="48"/>
      <c r="DA553" s="48"/>
      <c r="DB553" s="48"/>
      <c r="DC553" s="48"/>
      <c r="DD553" s="48"/>
      <c r="DE553" s="48"/>
      <c r="DF553" s="48"/>
      <c r="DG553" s="48"/>
      <c r="DH553" s="48"/>
      <c r="DI553" s="48"/>
      <c r="DJ553" s="48"/>
      <c r="DK553" s="48"/>
      <c r="DL553" s="48"/>
      <c r="DM553" s="48"/>
      <c r="DN553" s="48"/>
      <c r="DO553" s="48"/>
      <c r="DP553" s="48"/>
      <c r="DQ553" s="48"/>
      <c r="DR553" s="48"/>
      <c r="DS553" s="48"/>
    </row>
    <row r="554" spans="1:123" ht="15">
      <c r="A554"/>
      <c r="B554"/>
      <c r="C554"/>
      <c r="D554"/>
      <c r="E554"/>
      <c r="F554"/>
      <c r="G554"/>
      <c r="H554"/>
      <c r="I554"/>
      <c r="J554"/>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c r="BS554" s="48"/>
      <c r="BT554" s="48"/>
      <c r="BU554" s="48"/>
      <c r="BV554" s="48"/>
      <c r="BW554" s="48"/>
      <c r="BX554" s="48"/>
      <c r="BY554" s="48"/>
      <c r="BZ554" s="48"/>
      <c r="CA554" s="48"/>
      <c r="CB554" s="48"/>
      <c r="CC554" s="48"/>
      <c r="CD554" s="48"/>
      <c r="CE554" s="48"/>
      <c r="CF554" s="48"/>
      <c r="CG554" s="48"/>
      <c r="CH554" s="48"/>
      <c r="CI554" s="48"/>
      <c r="CJ554" s="48"/>
      <c r="CK554" s="48"/>
      <c r="CL554" s="48"/>
      <c r="CM554" s="48"/>
      <c r="CN554" s="48"/>
      <c r="CO554" s="48"/>
      <c r="CP554" s="48"/>
      <c r="CQ554" s="48"/>
      <c r="CR554" s="48"/>
      <c r="CS554" s="48"/>
      <c r="CT554" s="48"/>
      <c r="CU554" s="48"/>
      <c r="CV554" s="48"/>
      <c r="CW554" s="48"/>
      <c r="CX554" s="48"/>
      <c r="CY554" s="48"/>
      <c r="CZ554" s="48"/>
      <c r="DA554" s="48"/>
      <c r="DB554" s="48"/>
      <c r="DC554" s="48"/>
      <c r="DD554" s="48"/>
      <c r="DE554" s="48"/>
      <c r="DF554" s="48"/>
      <c r="DG554" s="48"/>
      <c r="DH554" s="48"/>
      <c r="DI554" s="48"/>
      <c r="DJ554" s="48"/>
      <c r="DK554" s="48"/>
      <c r="DL554" s="48"/>
      <c r="DM554" s="48"/>
      <c r="DN554" s="48"/>
      <c r="DO554" s="48"/>
      <c r="DP554" s="48"/>
      <c r="DQ554" s="48"/>
      <c r="DR554" s="48"/>
      <c r="DS554" s="48"/>
    </row>
    <row r="555" spans="1:123" ht="15">
      <c r="A555"/>
      <c r="B555"/>
      <c r="C555"/>
      <c r="D555"/>
      <c r="E555"/>
      <c r="F555"/>
      <c r="G555"/>
      <c r="H555"/>
      <c r="I555"/>
      <c r="J555"/>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48"/>
      <c r="BH555" s="48"/>
      <c r="BI555" s="48"/>
      <c r="BJ555" s="48"/>
      <c r="BK555" s="48"/>
      <c r="BL555" s="48"/>
      <c r="BM555" s="48"/>
      <c r="BN555" s="48"/>
      <c r="BO555" s="48"/>
      <c r="BP555" s="48"/>
      <c r="BQ555" s="48"/>
      <c r="BR555" s="48"/>
      <c r="BS555" s="48"/>
      <c r="BT555" s="48"/>
      <c r="BU555" s="48"/>
      <c r="BV555" s="48"/>
      <c r="BW555" s="48"/>
      <c r="BX555" s="48"/>
      <c r="BY555" s="48"/>
      <c r="BZ555" s="48"/>
      <c r="CA555" s="48"/>
      <c r="CB555" s="48"/>
      <c r="CC555" s="48"/>
      <c r="CD555" s="48"/>
      <c r="CE555" s="48"/>
      <c r="CF555" s="48"/>
      <c r="CG555" s="48"/>
      <c r="CH555" s="48"/>
      <c r="CI555" s="48"/>
      <c r="CJ555" s="48"/>
      <c r="CK555" s="48"/>
      <c r="CL555" s="48"/>
      <c r="CM555" s="48"/>
      <c r="CN555" s="48"/>
      <c r="CO555" s="48"/>
      <c r="CP555" s="48"/>
      <c r="CQ555" s="48"/>
      <c r="CR555" s="48"/>
      <c r="CS555" s="48"/>
      <c r="CT555" s="48"/>
      <c r="CU555" s="48"/>
      <c r="CV555" s="48"/>
      <c r="CW555" s="48"/>
      <c r="CX555" s="48"/>
      <c r="CY555" s="48"/>
      <c r="CZ555" s="48"/>
      <c r="DA555" s="48"/>
      <c r="DB555" s="48"/>
      <c r="DC555" s="48"/>
      <c r="DD555" s="48"/>
      <c r="DE555" s="48"/>
      <c r="DF555" s="48"/>
      <c r="DG555" s="48"/>
      <c r="DH555" s="48"/>
      <c r="DI555" s="48"/>
      <c r="DJ555" s="48"/>
      <c r="DK555" s="48"/>
      <c r="DL555" s="48"/>
      <c r="DM555" s="48"/>
      <c r="DN555" s="48"/>
      <c r="DO555" s="48"/>
      <c r="DP555" s="48"/>
      <c r="DQ555" s="48"/>
      <c r="DR555" s="48"/>
      <c r="DS555" s="48"/>
    </row>
    <row r="556" spans="1:123" ht="15">
      <c r="A556"/>
      <c r="B556"/>
      <c r="C556"/>
      <c r="D556"/>
      <c r="E556"/>
      <c r="F556"/>
      <c r="G556"/>
      <c r="H556"/>
      <c r="I556"/>
      <c r="J556"/>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48"/>
      <c r="BH556" s="48"/>
      <c r="BI556" s="48"/>
      <c r="BJ556" s="48"/>
      <c r="BK556" s="48"/>
      <c r="BL556" s="48"/>
      <c r="BM556" s="48"/>
      <c r="BN556" s="48"/>
      <c r="BO556" s="48"/>
      <c r="BP556" s="48"/>
      <c r="BQ556" s="48"/>
      <c r="BR556" s="48"/>
      <c r="BS556" s="48"/>
      <c r="BT556" s="48"/>
      <c r="BU556" s="48"/>
      <c r="BV556" s="48"/>
      <c r="BW556" s="48"/>
      <c r="BX556" s="48"/>
      <c r="BY556" s="48"/>
      <c r="BZ556" s="48"/>
      <c r="CA556" s="48"/>
      <c r="CB556" s="48"/>
      <c r="CC556" s="48"/>
      <c r="CD556" s="48"/>
      <c r="CE556" s="48"/>
      <c r="CF556" s="48"/>
      <c r="CG556" s="48"/>
      <c r="CH556" s="48"/>
      <c r="CI556" s="48"/>
      <c r="CJ556" s="48"/>
      <c r="CK556" s="48"/>
      <c r="CL556" s="48"/>
      <c r="CM556" s="48"/>
      <c r="CN556" s="48"/>
      <c r="CO556" s="48"/>
      <c r="CP556" s="48"/>
      <c r="CQ556" s="48"/>
      <c r="CR556" s="48"/>
      <c r="CS556" s="48"/>
      <c r="CT556" s="48"/>
      <c r="CU556" s="48"/>
      <c r="CV556" s="48"/>
      <c r="CW556" s="48"/>
      <c r="CX556" s="48"/>
      <c r="CY556" s="48"/>
      <c r="CZ556" s="48"/>
      <c r="DA556" s="48"/>
      <c r="DB556" s="48"/>
      <c r="DC556" s="48"/>
      <c r="DD556" s="48"/>
      <c r="DE556" s="48"/>
      <c r="DF556" s="48"/>
      <c r="DG556" s="48"/>
      <c r="DH556" s="48"/>
      <c r="DI556" s="48"/>
      <c r="DJ556" s="48"/>
      <c r="DK556" s="48"/>
      <c r="DL556" s="48"/>
      <c r="DM556" s="48"/>
      <c r="DN556" s="48"/>
      <c r="DO556" s="48"/>
      <c r="DP556" s="48"/>
      <c r="DQ556" s="48"/>
      <c r="DR556" s="48"/>
      <c r="DS556" s="48"/>
    </row>
    <row r="557" spans="1:123" ht="15">
      <c r="A557"/>
      <c r="B557"/>
      <c r="C557"/>
      <c r="D557"/>
      <c r="E557"/>
      <c r="F557"/>
      <c r="G557"/>
      <c r="H557"/>
      <c r="I557"/>
      <c r="J557"/>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c r="BS557" s="48"/>
      <c r="BT557" s="48"/>
      <c r="BU557" s="48"/>
      <c r="BV557" s="48"/>
      <c r="BW557" s="48"/>
      <c r="BX557" s="48"/>
      <c r="BY557" s="48"/>
      <c r="BZ557" s="48"/>
      <c r="CA557" s="48"/>
      <c r="CB557" s="48"/>
      <c r="CC557" s="48"/>
      <c r="CD557" s="48"/>
      <c r="CE557" s="48"/>
      <c r="CF557" s="48"/>
      <c r="CG557" s="48"/>
      <c r="CH557" s="48"/>
      <c r="CI557" s="48"/>
      <c r="CJ557" s="48"/>
      <c r="CK557" s="48"/>
      <c r="CL557" s="48"/>
      <c r="CM557" s="48"/>
      <c r="CN557" s="48"/>
      <c r="CO557" s="48"/>
      <c r="CP557" s="48"/>
      <c r="CQ557" s="48"/>
      <c r="CR557" s="48"/>
      <c r="CS557" s="48"/>
      <c r="CT557" s="48"/>
      <c r="CU557" s="48"/>
      <c r="CV557" s="48"/>
      <c r="CW557" s="48"/>
      <c r="CX557" s="48"/>
      <c r="CY557" s="48"/>
      <c r="CZ557" s="48"/>
      <c r="DA557" s="48"/>
      <c r="DB557" s="48"/>
      <c r="DC557" s="48"/>
      <c r="DD557" s="48"/>
      <c r="DE557" s="48"/>
      <c r="DF557" s="48"/>
      <c r="DG557" s="48"/>
      <c r="DH557" s="48"/>
      <c r="DI557" s="48"/>
      <c r="DJ557" s="48"/>
      <c r="DK557" s="48"/>
      <c r="DL557" s="48"/>
      <c r="DM557" s="48"/>
      <c r="DN557" s="48"/>
      <c r="DO557" s="48"/>
      <c r="DP557" s="48"/>
      <c r="DQ557" s="48"/>
      <c r="DR557" s="48"/>
      <c r="DS557" s="48"/>
    </row>
    <row r="558" spans="1:123" ht="15">
      <c r="A558"/>
      <c r="B558"/>
      <c r="C558"/>
      <c r="D558"/>
      <c r="E558"/>
      <c r="F558"/>
      <c r="G558"/>
      <c r="H558"/>
      <c r="I558"/>
      <c r="J55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48"/>
      <c r="BH558" s="48"/>
      <c r="BI558" s="48"/>
      <c r="BJ558" s="48"/>
      <c r="BK558" s="48"/>
      <c r="BL558" s="48"/>
      <c r="BM558" s="48"/>
      <c r="BN558" s="48"/>
      <c r="BO558" s="48"/>
      <c r="BP558" s="48"/>
      <c r="BQ558" s="48"/>
      <c r="BR558" s="48"/>
      <c r="BS558" s="48"/>
      <c r="BT558" s="48"/>
      <c r="BU558" s="48"/>
      <c r="BV558" s="48"/>
      <c r="BW558" s="48"/>
      <c r="BX558" s="48"/>
      <c r="BY558" s="48"/>
      <c r="BZ558" s="48"/>
      <c r="CA558" s="48"/>
      <c r="CB558" s="48"/>
      <c r="CC558" s="48"/>
      <c r="CD558" s="48"/>
      <c r="CE558" s="48"/>
      <c r="CF558" s="48"/>
      <c r="CG558" s="48"/>
      <c r="CH558" s="48"/>
      <c r="CI558" s="48"/>
      <c r="CJ558" s="48"/>
      <c r="CK558" s="48"/>
      <c r="CL558" s="48"/>
      <c r="CM558" s="48"/>
      <c r="CN558" s="48"/>
      <c r="CO558" s="48"/>
      <c r="CP558" s="48"/>
      <c r="CQ558" s="48"/>
      <c r="CR558" s="48"/>
      <c r="CS558" s="48"/>
      <c r="CT558" s="48"/>
      <c r="CU558" s="48"/>
      <c r="CV558" s="48"/>
      <c r="CW558" s="48"/>
      <c r="CX558" s="48"/>
      <c r="CY558" s="48"/>
      <c r="CZ558" s="48"/>
      <c r="DA558" s="48"/>
      <c r="DB558" s="48"/>
      <c r="DC558" s="48"/>
      <c r="DD558" s="48"/>
      <c r="DE558" s="48"/>
      <c r="DF558" s="48"/>
      <c r="DG558" s="48"/>
      <c r="DH558" s="48"/>
      <c r="DI558" s="48"/>
      <c r="DJ558" s="48"/>
      <c r="DK558" s="48"/>
      <c r="DL558" s="48"/>
      <c r="DM558" s="48"/>
      <c r="DN558" s="48"/>
      <c r="DO558" s="48"/>
      <c r="DP558" s="48"/>
      <c r="DQ558" s="48"/>
      <c r="DR558" s="48"/>
      <c r="DS558" s="48"/>
    </row>
    <row r="559" spans="1:123" ht="15">
      <c r="A559"/>
      <c r="B559"/>
      <c r="C559"/>
      <c r="D559"/>
      <c r="E559"/>
      <c r="F559"/>
      <c r="G559"/>
      <c r="H559"/>
      <c r="I559"/>
      <c r="J559"/>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48"/>
      <c r="BJ559" s="48"/>
      <c r="BK559" s="48"/>
      <c r="BL559" s="48"/>
      <c r="BM559" s="48"/>
      <c r="BN559" s="48"/>
      <c r="BO559" s="48"/>
      <c r="BP559" s="48"/>
      <c r="BQ559" s="48"/>
      <c r="BR559" s="48"/>
      <c r="BS559" s="48"/>
      <c r="BT559" s="48"/>
      <c r="BU559" s="48"/>
      <c r="BV559" s="48"/>
      <c r="BW559" s="48"/>
      <c r="BX559" s="48"/>
      <c r="BY559" s="48"/>
      <c r="BZ559" s="48"/>
      <c r="CA559" s="48"/>
      <c r="CB559" s="48"/>
      <c r="CC559" s="48"/>
      <c r="CD559" s="48"/>
      <c r="CE559" s="48"/>
      <c r="CF559" s="48"/>
      <c r="CG559" s="48"/>
      <c r="CH559" s="48"/>
      <c r="CI559" s="48"/>
      <c r="CJ559" s="48"/>
      <c r="CK559" s="48"/>
      <c r="CL559" s="48"/>
      <c r="CM559" s="48"/>
      <c r="CN559" s="48"/>
      <c r="CO559" s="48"/>
      <c r="CP559" s="48"/>
      <c r="CQ559" s="48"/>
      <c r="CR559" s="48"/>
      <c r="CS559" s="48"/>
      <c r="CT559" s="48"/>
      <c r="CU559" s="48"/>
      <c r="CV559" s="48"/>
      <c r="CW559" s="48"/>
      <c r="CX559" s="48"/>
      <c r="CY559" s="48"/>
      <c r="CZ559" s="48"/>
      <c r="DA559" s="48"/>
      <c r="DB559" s="48"/>
      <c r="DC559" s="48"/>
      <c r="DD559" s="48"/>
      <c r="DE559" s="48"/>
      <c r="DF559" s="48"/>
      <c r="DG559" s="48"/>
      <c r="DH559" s="48"/>
      <c r="DI559" s="48"/>
      <c r="DJ559" s="48"/>
      <c r="DK559" s="48"/>
      <c r="DL559" s="48"/>
      <c r="DM559" s="48"/>
      <c r="DN559" s="48"/>
      <c r="DO559" s="48"/>
      <c r="DP559" s="48"/>
      <c r="DQ559" s="48"/>
      <c r="DR559" s="48"/>
      <c r="DS559" s="48"/>
    </row>
    <row r="560" spans="1:123" ht="15">
      <c r="A560"/>
      <c r="B560"/>
      <c r="C560"/>
      <c r="D560"/>
      <c r="E560"/>
      <c r="F560"/>
      <c r="G560"/>
      <c r="H560"/>
      <c r="I560"/>
      <c r="J560"/>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48"/>
      <c r="BH560" s="48"/>
      <c r="BI560" s="48"/>
      <c r="BJ560" s="48"/>
      <c r="BK560" s="48"/>
      <c r="BL560" s="48"/>
      <c r="BM560" s="48"/>
      <c r="BN560" s="48"/>
      <c r="BO560" s="48"/>
      <c r="BP560" s="48"/>
      <c r="BQ560" s="48"/>
      <c r="BR560" s="48"/>
      <c r="BS560" s="48"/>
      <c r="BT560" s="48"/>
      <c r="BU560" s="48"/>
      <c r="BV560" s="48"/>
      <c r="BW560" s="48"/>
      <c r="BX560" s="48"/>
      <c r="BY560" s="48"/>
      <c r="BZ560" s="48"/>
      <c r="CA560" s="48"/>
      <c r="CB560" s="48"/>
      <c r="CC560" s="48"/>
      <c r="CD560" s="48"/>
      <c r="CE560" s="48"/>
      <c r="CF560" s="48"/>
      <c r="CG560" s="48"/>
      <c r="CH560" s="48"/>
      <c r="CI560" s="48"/>
      <c r="CJ560" s="48"/>
      <c r="CK560" s="48"/>
      <c r="CL560" s="48"/>
      <c r="CM560" s="48"/>
      <c r="CN560" s="48"/>
      <c r="CO560" s="48"/>
      <c r="CP560" s="48"/>
      <c r="CQ560" s="48"/>
      <c r="CR560" s="48"/>
      <c r="CS560" s="48"/>
      <c r="CT560" s="48"/>
      <c r="CU560" s="48"/>
      <c r="CV560" s="48"/>
      <c r="CW560" s="48"/>
      <c r="CX560" s="48"/>
      <c r="CY560" s="48"/>
      <c r="CZ560" s="48"/>
      <c r="DA560" s="48"/>
      <c r="DB560" s="48"/>
      <c r="DC560" s="48"/>
      <c r="DD560" s="48"/>
      <c r="DE560" s="48"/>
      <c r="DF560" s="48"/>
      <c r="DG560" s="48"/>
      <c r="DH560" s="48"/>
      <c r="DI560" s="48"/>
      <c r="DJ560" s="48"/>
      <c r="DK560" s="48"/>
      <c r="DL560" s="48"/>
      <c r="DM560" s="48"/>
      <c r="DN560" s="48"/>
      <c r="DO560" s="48"/>
      <c r="DP560" s="48"/>
      <c r="DQ560" s="48"/>
      <c r="DR560" s="48"/>
      <c r="DS560" s="48"/>
    </row>
    <row r="561" spans="1:123" ht="15">
      <c r="A561"/>
      <c r="B561"/>
      <c r="C561"/>
      <c r="D561"/>
      <c r="E561"/>
      <c r="F561"/>
      <c r="G561"/>
      <c r="H561"/>
      <c r="I561"/>
      <c r="J561"/>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48"/>
      <c r="BH561" s="48"/>
      <c r="BI561" s="48"/>
      <c r="BJ561" s="48"/>
      <c r="BK561" s="48"/>
      <c r="BL561" s="48"/>
      <c r="BM561" s="48"/>
      <c r="BN561" s="48"/>
      <c r="BO561" s="48"/>
      <c r="BP561" s="48"/>
      <c r="BQ561" s="48"/>
      <c r="BR561" s="48"/>
      <c r="BS561" s="48"/>
      <c r="BT561" s="48"/>
      <c r="BU561" s="48"/>
      <c r="BV561" s="48"/>
      <c r="BW561" s="48"/>
      <c r="BX561" s="48"/>
      <c r="BY561" s="48"/>
      <c r="BZ561" s="48"/>
      <c r="CA561" s="48"/>
      <c r="CB561" s="48"/>
      <c r="CC561" s="48"/>
      <c r="CD561" s="48"/>
      <c r="CE561" s="48"/>
      <c r="CF561" s="48"/>
      <c r="CG561" s="48"/>
      <c r="CH561" s="48"/>
      <c r="CI561" s="48"/>
      <c r="CJ561" s="48"/>
      <c r="CK561" s="48"/>
      <c r="CL561" s="48"/>
      <c r="CM561" s="48"/>
      <c r="CN561" s="48"/>
      <c r="CO561" s="48"/>
      <c r="CP561" s="48"/>
      <c r="CQ561" s="48"/>
      <c r="CR561" s="48"/>
      <c r="CS561" s="48"/>
      <c r="CT561" s="48"/>
      <c r="CU561" s="48"/>
      <c r="CV561" s="48"/>
      <c r="CW561" s="48"/>
      <c r="CX561" s="48"/>
      <c r="CY561" s="48"/>
      <c r="CZ561" s="48"/>
      <c r="DA561" s="48"/>
      <c r="DB561" s="48"/>
      <c r="DC561" s="48"/>
      <c r="DD561" s="48"/>
      <c r="DE561" s="48"/>
      <c r="DF561" s="48"/>
      <c r="DG561" s="48"/>
      <c r="DH561" s="48"/>
      <c r="DI561" s="48"/>
      <c r="DJ561" s="48"/>
      <c r="DK561" s="48"/>
      <c r="DL561" s="48"/>
      <c r="DM561" s="48"/>
      <c r="DN561" s="48"/>
      <c r="DO561" s="48"/>
      <c r="DP561" s="48"/>
      <c r="DQ561" s="48"/>
      <c r="DR561" s="48"/>
      <c r="DS561" s="48"/>
    </row>
    <row r="562" spans="1:123" ht="15">
      <c r="A562"/>
      <c r="B562"/>
      <c r="C562"/>
      <c r="D562"/>
      <c r="E562"/>
      <c r="F562"/>
      <c r="G562"/>
      <c r="H562"/>
      <c r="I562"/>
      <c r="J562"/>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48"/>
      <c r="BH562" s="48"/>
      <c r="BI562" s="48"/>
      <c r="BJ562" s="48"/>
      <c r="BK562" s="48"/>
      <c r="BL562" s="48"/>
      <c r="BM562" s="48"/>
      <c r="BN562" s="48"/>
      <c r="BO562" s="48"/>
      <c r="BP562" s="48"/>
      <c r="BQ562" s="48"/>
      <c r="BR562" s="48"/>
      <c r="BS562" s="48"/>
      <c r="BT562" s="48"/>
      <c r="BU562" s="48"/>
      <c r="BV562" s="48"/>
      <c r="BW562" s="48"/>
      <c r="BX562" s="48"/>
      <c r="BY562" s="48"/>
      <c r="BZ562" s="48"/>
      <c r="CA562" s="48"/>
      <c r="CB562" s="48"/>
      <c r="CC562" s="48"/>
      <c r="CD562" s="48"/>
      <c r="CE562" s="48"/>
      <c r="CF562" s="48"/>
      <c r="CG562" s="48"/>
      <c r="CH562" s="48"/>
      <c r="CI562" s="48"/>
      <c r="CJ562" s="48"/>
      <c r="CK562" s="48"/>
      <c r="CL562" s="48"/>
      <c r="CM562" s="48"/>
      <c r="CN562" s="48"/>
      <c r="CO562" s="48"/>
      <c r="CP562" s="48"/>
      <c r="CQ562" s="48"/>
      <c r="CR562" s="48"/>
      <c r="CS562" s="48"/>
      <c r="CT562" s="48"/>
      <c r="CU562" s="48"/>
      <c r="CV562" s="48"/>
      <c r="CW562" s="48"/>
      <c r="CX562" s="48"/>
      <c r="CY562" s="48"/>
      <c r="CZ562" s="48"/>
      <c r="DA562" s="48"/>
      <c r="DB562" s="48"/>
      <c r="DC562" s="48"/>
      <c r="DD562" s="48"/>
      <c r="DE562" s="48"/>
      <c r="DF562" s="48"/>
      <c r="DG562" s="48"/>
      <c r="DH562" s="48"/>
      <c r="DI562" s="48"/>
      <c r="DJ562" s="48"/>
      <c r="DK562" s="48"/>
      <c r="DL562" s="48"/>
      <c r="DM562" s="48"/>
      <c r="DN562" s="48"/>
      <c r="DO562" s="48"/>
      <c r="DP562" s="48"/>
      <c r="DQ562" s="48"/>
      <c r="DR562" s="48"/>
      <c r="DS562" s="48"/>
    </row>
    <row r="563" spans="1:123" ht="15">
      <c r="A563"/>
      <c r="B563"/>
      <c r="C563"/>
      <c r="D563"/>
      <c r="E563"/>
      <c r="F563"/>
      <c r="G563"/>
      <c r="H563"/>
      <c r="I563"/>
      <c r="J563"/>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48"/>
      <c r="BH563" s="48"/>
      <c r="BI563" s="48"/>
      <c r="BJ563" s="48"/>
      <c r="BK563" s="48"/>
      <c r="BL563" s="48"/>
      <c r="BM563" s="48"/>
      <c r="BN563" s="48"/>
      <c r="BO563" s="48"/>
      <c r="BP563" s="48"/>
      <c r="BQ563" s="48"/>
      <c r="BR563" s="48"/>
      <c r="BS563" s="48"/>
      <c r="BT563" s="48"/>
      <c r="BU563" s="48"/>
      <c r="BV563" s="48"/>
      <c r="BW563" s="48"/>
      <c r="BX563" s="48"/>
      <c r="BY563" s="48"/>
      <c r="BZ563" s="48"/>
      <c r="CA563" s="48"/>
      <c r="CB563" s="48"/>
      <c r="CC563" s="48"/>
      <c r="CD563" s="48"/>
      <c r="CE563" s="48"/>
      <c r="CF563" s="48"/>
      <c r="CG563" s="48"/>
      <c r="CH563" s="48"/>
      <c r="CI563" s="48"/>
      <c r="CJ563" s="48"/>
      <c r="CK563" s="48"/>
      <c r="CL563" s="48"/>
      <c r="CM563" s="48"/>
      <c r="CN563" s="48"/>
      <c r="CO563" s="48"/>
      <c r="CP563" s="48"/>
      <c r="CQ563" s="48"/>
      <c r="CR563" s="48"/>
      <c r="CS563" s="48"/>
      <c r="CT563" s="48"/>
      <c r="CU563" s="48"/>
      <c r="CV563" s="48"/>
      <c r="CW563" s="48"/>
      <c r="CX563" s="48"/>
      <c r="CY563" s="48"/>
      <c r="CZ563" s="48"/>
      <c r="DA563" s="48"/>
      <c r="DB563" s="48"/>
      <c r="DC563" s="48"/>
      <c r="DD563" s="48"/>
      <c r="DE563" s="48"/>
      <c r="DF563" s="48"/>
      <c r="DG563" s="48"/>
      <c r="DH563" s="48"/>
      <c r="DI563" s="48"/>
      <c r="DJ563" s="48"/>
      <c r="DK563" s="48"/>
      <c r="DL563" s="48"/>
      <c r="DM563" s="48"/>
      <c r="DN563" s="48"/>
      <c r="DO563" s="48"/>
      <c r="DP563" s="48"/>
      <c r="DQ563" s="48"/>
      <c r="DR563" s="48"/>
      <c r="DS563" s="48"/>
    </row>
    <row r="564" spans="1:123" ht="15">
      <c r="A564"/>
      <c r="B564"/>
      <c r="C564"/>
      <c r="D564"/>
      <c r="E564"/>
      <c r="F564"/>
      <c r="G564"/>
      <c r="H564"/>
      <c r="I564"/>
      <c r="J564"/>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c r="BS564" s="48"/>
      <c r="BT564" s="48"/>
      <c r="BU564" s="48"/>
      <c r="BV564" s="48"/>
      <c r="BW564" s="48"/>
      <c r="BX564" s="48"/>
      <c r="BY564" s="48"/>
      <c r="BZ564" s="48"/>
      <c r="CA564" s="48"/>
      <c r="CB564" s="48"/>
      <c r="CC564" s="48"/>
      <c r="CD564" s="48"/>
      <c r="CE564" s="48"/>
      <c r="CF564" s="48"/>
      <c r="CG564" s="48"/>
      <c r="CH564" s="48"/>
      <c r="CI564" s="48"/>
      <c r="CJ564" s="48"/>
      <c r="CK564" s="48"/>
      <c r="CL564" s="48"/>
      <c r="CM564" s="48"/>
      <c r="CN564" s="48"/>
      <c r="CO564" s="48"/>
      <c r="CP564" s="48"/>
      <c r="CQ564" s="48"/>
      <c r="CR564" s="48"/>
      <c r="CS564" s="48"/>
      <c r="CT564" s="48"/>
      <c r="CU564" s="48"/>
      <c r="CV564" s="48"/>
      <c r="CW564" s="48"/>
      <c r="CX564" s="48"/>
      <c r="CY564" s="48"/>
      <c r="CZ564" s="48"/>
      <c r="DA564" s="48"/>
      <c r="DB564" s="48"/>
      <c r="DC564" s="48"/>
      <c r="DD564" s="48"/>
      <c r="DE564" s="48"/>
      <c r="DF564" s="48"/>
      <c r="DG564" s="48"/>
      <c r="DH564" s="48"/>
      <c r="DI564" s="48"/>
      <c r="DJ564" s="48"/>
      <c r="DK564" s="48"/>
      <c r="DL564" s="48"/>
      <c r="DM564" s="48"/>
      <c r="DN564" s="48"/>
      <c r="DO564" s="48"/>
      <c r="DP564" s="48"/>
      <c r="DQ564" s="48"/>
      <c r="DR564" s="48"/>
      <c r="DS564" s="48"/>
    </row>
    <row r="565" spans="1:123" ht="15">
      <c r="A565"/>
      <c r="B565"/>
      <c r="C565"/>
      <c r="D565"/>
      <c r="E565"/>
      <c r="F565"/>
      <c r="G565"/>
      <c r="H565"/>
      <c r="I565"/>
      <c r="J565"/>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c r="BS565" s="48"/>
      <c r="BT565" s="48"/>
      <c r="BU565" s="48"/>
      <c r="BV565" s="48"/>
      <c r="BW565" s="48"/>
      <c r="BX565" s="48"/>
      <c r="BY565" s="48"/>
      <c r="BZ565" s="48"/>
      <c r="CA565" s="48"/>
      <c r="CB565" s="48"/>
      <c r="CC565" s="48"/>
      <c r="CD565" s="48"/>
      <c r="CE565" s="48"/>
      <c r="CF565" s="48"/>
      <c r="CG565" s="48"/>
      <c r="CH565" s="48"/>
      <c r="CI565" s="48"/>
      <c r="CJ565" s="48"/>
      <c r="CK565" s="48"/>
      <c r="CL565" s="48"/>
      <c r="CM565" s="48"/>
      <c r="CN565" s="48"/>
      <c r="CO565" s="48"/>
      <c r="CP565" s="48"/>
      <c r="CQ565" s="48"/>
      <c r="CR565" s="48"/>
      <c r="CS565" s="48"/>
      <c r="CT565" s="48"/>
      <c r="CU565" s="48"/>
      <c r="CV565" s="48"/>
      <c r="CW565" s="48"/>
      <c r="CX565" s="48"/>
      <c r="CY565" s="48"/>
      <c r="CZ565" s="48"/>
      <c r="DA565" s="48"/>
      <c r="DB565" s="48"/>
      <c r="DC565" s="48"/>
      <c r="DD565" s="48"/>
      <c r="DE565" s="48"/>
      <c r="DF565" s="48"/>
      <c r="DG565" s="48"/>
      <c r="DH565" s="48"/>
      <c r="DI565" s="48"/>
      <c r="DJ565" s="48"/>
      <c r="DK565" s="48"/>
      <c r="DL565" s="48"/>
      <c r="DM565" s="48"/>
      <c r="DN565" s="48"/>
      <c r="DO565" s="48"/>
      <c r="DP565" s="48"/>
      <c r="DQ565" s="48"/>
      <c r="DR565" s="48"/>
      <c r="DS565" s="48"/>
    </row>
    <row r="566" spans="1:123" ht="15">
      <c r="A566"/>
      <c r="B566"/>
      <c r="C566"/>
      <c r="D566"/>
      <c r="E566"/>
      <c r="F566"/>
      <c r="G566"/>
      <c r="H566"/>
      <c r="I566"/>
      <c r="J566"/>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48"/>
      <c r="BH566" s="48"/>
      <c r="BI566" s="48"/>
      <c r="BJ566" s="48"/>
      <c r="BK566" s="48"/>
      <c r="BL566" s="48"/>
      <c r="BM566" s="48"/>
      <c r="BN566" s="48"/>
      <c r="BO566" s="48"/>
      <c r="BP566" s="48"/>
      <c r="BQ566" s="48"/>
      <c r="BR566" s="48"/>
      <c r="BS566" s="48"/>
      <c r="BT566" s="48"/>
      <c r="BU566" s="48"/>
      <c r="BV566" s="48"/>
      <c r="BW566" s="48"/>
      <c r="BX566" s="48"/>
      <c r="BY566" s="48"/>
      <c r="BZ566" s="48"/>
      <c r="CA566" s="48"/>
      <c r="CB566" s="48"/>
      <c r="CC566" s="48"/>
      <c r="CD566" s="48"/>
      <c r="CE566" s="48"/>
      <c r="CF566" s="48"/>
      <c r="CG566" s="48"/>
      <c r="CH566" s="48"/>
      <c r="CI566" s="48"/>
      <c r="CJ566" s="48"/>
      <c r="CK566" s="48"/>
      <c r="CL566" s="48"/>
      <c r="CM566" s="48"/>
      <c r="CN566" s="48"/>
      <c r="CO566" s="48"/>
      <c r="CP566" s="48"/>
      <c r="CQ566" s="48"/>
      <c r="CR566" s="48"/>
      <c r="CS566" s="48"/>
      <c r="CT566" s="48"/>
      <c r="CU566" s="48"/>
      <c r="CV566" s="48"/>
      <c r="CW566" s="48"/>
      <c r="CX566" s="48"/>
      <c r="CY566" s="48"/>
      <c r="CZ566" s="48"/>
      <c r="DA566" s="48"/>
      <c r="DB566" s="48"/>
      <c r="DC566" s="48"/>
      <c r="DD566" s="48"/>
      <c r="DE566" s="48"/>
      <c r="DF566" s="48"/>
      <c r="DG566" s="48"/>
      <c r="DH566" s="48"/>
      <c r="DI566" s="48"/>
      <c r="DJ566" s="48"/>
      <c r="DK566" s="48"/>
      <c r="DL566" s="48"/>
      <c r="DM566" s="48"/>
      <c r="DN566" s="48"/>
      <c r="DO566" s="48"/>
      <c r="DP566" s="48"/>
      <c r="DQ566" s="48"/>
      <c r="DR566" s="48"/>
      <c r="DS566" s="48"/>
    </row>
    <row r="567" spans="1:123" ht="15">
      <c r="A567"/>
      <c r="B567"/>
      <c r="C567"/>
      <c r="D567"/>
      <c r="E567"/>
      <c r="F567"/>
      <c r="G567"/>
      <c r="H567"/>
      <c r="I567"/>
      <c r="J567"/>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48"/>
      <c r="BH567" s="48"/>
      <c r="BI567" s="48"/>
      <c r="BJ567" s="48"/>
      <c r="BK567" s="48"/>
      <c r="BL567" s="48"/>
      <c r="BM567" s="48"/>
      <c r="BN567" s="48"/>
      <c r="BO567" s="48"/>
      <c r="BP567" s="48"/>
      <c r="BQ567" s="48"/>
      <c r="BR567" s="48"/>
      <c r="BS567" s="48"/>
      <c r="BT567" s="48"/>
      <c r="BU567" s="48"/>
      <c r="BV567" s="48"/>
      <c r="BW567" s="48"/>
      <c r="BX567" s="48"/>
      <c r="BY567" s="48"/>
      <c r="BZ567" s="48"/>
      <c r="CA567" s="48"/>
      <c r="CB567" s="48"/>
      <c r="CC567" s="48"/>
      <c r="CD567" s="48"/>
      <c r="CE567" s="48"/>
      <c r="CF567" s="48"/>
      <c r="CG567" s="48"/>
      <c r="CH567" s="48"/>
      <c r="CI567" s="48"/>
      <c r="CJ567" s="48"/>
      <c r="CK567" s="48"/>
      <c r="CL567" s="48"/>
      <c r="CM567" s="48"/>
      <c r="CN567" s="48"/>
      <c r="CO567" s="48"/>
      <c r="CP567" s="48"/>
      <c r="CQ567" s="48"/>
      <c r="CR567" s="48"/>
      <c r="CS567" s="48"/>
      <c r="CT567" s="48"/>
      <c r="CU567" s="48"/>
      <c r="CV567" s="48"/>
      <c r="CW567" s="48"/>
      <c r="CX567" s="48"/>
      <c r="CY567" s="48"/>
      <c r="CZ567" s="48"/>
      <c r="DA567" s="48"/>
      <c r="DB567" s="48"/>
      <c r="DC567" s="48"/>
      <c r="DD567" s="48"/>
      <c r="DE567" s="48"/>
      <c r="DF567" s="48"/>
      <c r="DG567" s="48"/>
      <c r="DH567" s="48"/>
      <c r="DI567" s="48"/>
      <c r="DJ567" s="48"/>
      <c r="DK567" s="48"/>
      <c r="DL567" s="48"/>
      <c r="DM567" s="48"/>
      <c r="DN567" s="48"/>
      <c r="DO567" s="48"/>
      <c r="DP567" s="48"/>
      <c r="DQ567" s="48"/>
      <c r="DR567" s="48"/>
      <c r="DS567" s="48"/>
    </row>
    <row r="568" spans="1:123" ht="15">
      <c r="A568"/>
      <c r="B568"/>
      <c r="C568"/>
      <c r="D568"/>
      <c r="E568"/>
      <c r="F568"/>
      <c r="G568"/>
      <c r="H568"/>
      <c r="I568"/>
      <c r="J56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c r="BS568" s="48"/>
      <c r="BT568" s="48"/>
      <c r="BU568" s="48"/>
      <c r="BV568" s="48"/>
      <c r="BW568" s="48"/>
      <c r="BX568" s="48"/>
      <c r="BY568" s="48"/>
      <c r="BZ568" s="48"/>
      <c r="CA568" s="48"/>
      <c r="CB568" s="48"/>
      <c r="CC568" s="48"/>
      <c r="CD568" s="48"/>
      <c r="CE568" s="48"/>
      <c r="CF568" s="48"/>
      <c r="CG568" s="48"/>
      <c r="CH568" s="48"/>
      <c r="CI568" s="48"/>
      <c r="CJ568" s="48"/>
      <c r="CK568" s="48"/>
      <c r="CL568" s="48"/>
      <c r="CM568" s="48"/>
      <c r="CN568" s="48"/>
      <c r="CO568" s="48"/>
      <c r="CP568" s="48"/>
      <c r="CQ568" s="48"/>
      <c r="CR568" s="48"/>
      <c r="CS568" s="48"/>
      <c r="CT568" s="48"/>
      <c r="CU568" s="48"/>
      <c r="CV568" s="48"/>
      <c r="CW568" s="48"/>
      <c r="CX568" s="48"/>
      <c r="CY568" s="48"/>
      <c r="CZ568" s="48"/>
      <c r="DA568" s="48"/>
      <c r="DB568" s="48"/>
      <c r="DC568" s="48"/>
      <c r="DD568" s="48"/>
      <c r="DE568" s="48"/>
      <c r="DF568" s="48"/>
      <c r="DG568" s="48"/>
      <c r="DH568" s="48"/>
      <c r="DI568" s="48"/>
      <c r="DJ568" s="48"/>
      <c r="DK568" s="48"/>
      <c r="DL568" s="48"/>
      <c r="DM568" s="48"/>
      <c r="DN568" s="48"/>
      <c r="DO568" s="48"/>
      <c r="DP568" s="48"/>
      <c r="DQ568" s="48"/>
      <c r="DR568" s="48"/>
      <c r="DS568" s="48"/>
    </row>
    <row r="569" spans="1:123" ht="15">
      <c r="A569"/>
      <c r="B569"/>
      <c r="C569"/>
      <c r="D569"/>
      <c r="E569"/>
      <c r="F569"/>
      <c r="G569"/>
      <c r="H569"/>
      <c r="I569"/>
      <c r="J569"/>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48"/>
      <c r="BH569" s="48"/>
      <c r="BI569" s="48"/>
      <c r="BJ569" s="48"/>
      <c r="BK569" s="48"/>
      <c r="BL569" s="48"/>
      <c r="BM569" s="48"/>
      <c r="BN569" s="48"/>
      <c r="BO569" s="48"/>
      <c r="BP569" s="48"/>
      <c r="BQ569" s="48"/>
      <c r="BR569" s="48"/>
      <c r="BS569" s="48"/>
      <c r="BT569" s="48"/>
      <c r="BU569" s="48"/>
      <c r="BV569" s="48"/>
      <c r="BW569" s="48"/>
      <c r="BX569" s="48"/>
      <c r="BY569" s="48"/>
      <c r="BZ569" s="48"/>
      <c r="CA569" s="48"/>
      <c r="CB569" s="48"/>
      <c r="CC569" s="48"/>
      <c r="CD569" s="48"/>
      <c r="CE569" s="48"/>
      <c r="CF569" s="48"/>
      <c r="CG569" s="48"/>
      <c r="CH569" s="48"/>
      <c r="CI569" s="48"/>
      <c r="CJ569" s="48"/>
      <c r="CK569" s="48"/>
      <c r="CL569" s="48"/>
      <c r="CM569" s="48"/>
      <c r="CN569" s="48"/>
      <c r="CO569" s="48"/>
      <c r="CP569" s="48"/>
      <c r="CQ569" s="48"/>
      <c r="CR569" s="48"/>
      <c r="CS569" s="48"/>
      <c r="CT569" s="48"/>
      <c r="CU569" s="48"/>
      <c r="CV569" s="48"/>
      <c r="CW569" s="48"/>
      <c r="CX569" s="48"/>
      <c r="CY569" s="48"/>
      <c r="CZ569" s="48"/>
      <c r="DA569" s="48"/>
      <c r="DB569" s="48"/>
      <c r="DC569" s="48"/>
      <c r="DD569" s="48"/>
      <c r="DE569" s="48"/>
      <c r="DF569" s="48"/>
      <c r="DG569" s="48"/>
      <c r="DH569" s="48"/>
      <c r="DI569" s="48"/>
      <c r="DJ569" s="48"/>
      <c r="DK569" s="48"/>
      <c r="DL569" s="48"/>
      <c r="DM569" s="48"/>
      <c r="DN569" s="48"/>
      <c r="DO569" s="48"/>
      <c r="DP569" s="48"/>
      <c r="DQ569" s="48"/>
      <c r="DR569" s="48"/>
      <c r="DS569" s="48"/>
    </row>
    <row r="570" spans="1:123" ht="15">
      <c r="A570"/>
      <c r="B570"/>
      <c r="C570"/>
      <c r="D570"/>
      <c r="E570"/>
      <c r="F570"/>
      <c r="G570"/>
      <c r="H570"/>
      <c r="I570"/>
      <c r="J570"/>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48"/>
      <c r="BW570" s="48"/>
      <c r="BX570" s="48"/>
      <c r="BY570" s="48"/>
      <c r="BZ570" s="48"/>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48"/>
      <c r="CX570" s="48"/>
      <c r="CY570" s="48"/>
      <c r="CZ570" s="48"/>
      <c r="DA570" s="48"/>
      <c r="DB570" s="48"/>
      <c r="DC570" s="48"/>
      <c r="DD570" s="48"/>
      <c r="DE570" s="48"/>
      <c r="DF570" s="48"/>
      <c r="DG570" s="48"/>
      <c r="DH570" s="48"/>
      <c r="DI570" s="48"/>
      <c r="DJ570" s="48"/>
      <c r="DK570" s="48"/>
      <c r="DL570" s="48"/>
      <c r="DM570" s="48"/>
      <c r="DN570" s="48"/>
      <c r="DO570" s="48"/>
      <c r="DP570" s="48"/>
      <c r="DQ570" s="48"/>
      <c r="DR570" s="48"/>
      <c r="DS570" s="48"/>
    </row>
    <row r="571" spans="1:123" ht="15">
      <c r="A571"/>
      <c r="B571"/>
      <c r="C571"/>
      <c r="D571"/>
      <c r="E571"/>
      <c r="F571"/>
      <c r="G571"/>
      <c r="H571"/>
      <c r="I571"/>
      <c r="J571"/>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48"/>
      <c r="BH571" s="48"/>
      <c r="BI571" s="48"/>
      <c r="BJ571" s="48"/>
      <c r="BK571" s="48"/>
      <c r="BL571" s="48"/>
      <c r="BM571" s="48"/>
      <c r="BN571" s="48"/>
      <c r="BO571" s="48"/>
      <c r="BP571" s="48"/>
      <c r="BQ571" s="48"/>
      <c r="BR571" s="48"/>
      <c r="BS571" s="48"/>
      <c r="BT571" s="48"/>
      <c r="BU571" s="48"/>
      <c r="BV571" s="48"/>
      <c r="BW571" s="48"/>
      <c r="BX571" s="48"/>
      <c r="BY571" s="48"/>
      <c r="BZ571" s="48"/>
      <c r="CA571" s="48"/>
      <c r="CB571" s="48"/>
      <c r="CC571" s="48"/>
      <c r="CD571" s="48"/>
      <c r="CE571" s="48"/>
      <c r="CF571" s="48"/>
      <c r="CG571" s="48"/>
      <c r="CH571" s="48"/>
      <c r="CI571" s="48"/>
      <c r="CJ571" s="48"/>
      <c r="CK571" s="48"/>
      <c r="CL571" s="48"/>
      <c r="CM571" s="48"/>
      <c r="CN571" s="48"/>
      <c r="CO571" s="48"/>
      <c r="CP571" s="48"/>
      <c r="CQ571" s="48"/>
      <c r="CR571" s="48"/>
      <c r="CS571" s="48"/>
      <c r="CT571" s="48"/>
      <c r="CU571" s="48"/>
      <c r="CV571" s="48"/>
      <c r="CW571" s="48"/>
      <c r="CX571" s="48"/>
      <c r="CY571" s="48"/>
      <c r="CZ571" s="48"/>
      <c r="DA571" s="48"/>
      <c r="DB571" s="48"/>
      <c r="DC571" s="48"/>
      <c r="DD571" s="48"/>
      <c r="DE571" s="48"/>
      <c r="DF571" s="48"/>
      <c r="DG571" s="48"/>
      <c r="DH571" s="48"/>
      <c r="DI571" s="48"/>
      <c r="DJ571" s="48"/>
      <c r="DK571" s="48"/>
      <c r="DL571" s="48"/>
      <c r="DM571" s="48"/>
      <c r="DN571" s="48"/>
      <c r="DO571" s="48"/>
      <c r="DP571" s="48"/>
      <c r="DQ571" s="48"/>
      <c r="DR571" s="48"/>
      <c r="DS571" s="48"/>
    </row>
    <row r="572" spans="1:123" ht="15">
      <c r="A572"/>
      <c r="B572"/>
      <c r="C572"/>
      <c r="D572"/>
      <c r="E572"/>
      <c r="F572"/>
      <c r="G572"/>
      <c r="H572"/>
      <c r="I572"/>
      <c r="J572"/>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48"/>
      <c r="BH572" s="48"/>
      <c r="BI572" s="48"/>
      <c r="BJ572" s="48"/>
      <c r="BK572" s="48"/>
      <c r="BL572" s="48"/>
      <c r="BM572" s="48"/>
      <c r="BN572" s="48"/>
      <c r="BO572" s="48"/>
      <c r="BP572" s="48"/>
      <c r="BQ572" s="48"/>
      <c r="BR572" s="48"/>
      <c r="BS572" s="48"/>
      <c r="BT572" s="48"/>
      <c r="BU572" s="48"/>
      <c r="BV572" s="48"/>
      <c r="BW572" s="48"/>
      <c r="BX572" s="48"/>
      <c r="BY572" s="48"/>
      <c r="BZ572" s="48"/>
      <c r="CA572" s="48"/>
      <c r="CB572" s="48"/>
      <c r="CC572" s="48"/>
      <c r="CD572" s="48"/>
      <c r="CE572" s="48"/>
      <c r="CF572" s="48"/>
      <c r="CG572" s="48"/>
      <c r="CH572" s="48"/>
      <c r="CI572" s="48"/>
      <c r="CJ572" s="48"/>
      <c r="CK572" s="48"/>
      <c r="CL572" s="48"/>
      <c r="CM572" s="48"/>
      <c r="CN572" s="48"/>
      <c r="CO572" s="48"/>
      <c r="CP572" s="48"/>
      <c r="CQ572" s="48"/>
      <c r="CR572" s="48"/>
      <c r="CS572" s="48"/>
      <c r="CT572" s="48"/>
      <c r="CU572" s="48"/>
      <c r="CV572" s="48"/>
      <c r="CW572" s="48"/>
      <c r="CX572" s="48"/>
      <c r="CY572" s="48"/>
      <c r="CZ572" s="48"/>
      <c r="DA572" s="48"/>
      <c r="DB572" s="48"/>
      <c r="DC572" s="48"/>
      <c r="DD572" s="48"/>
      <c r="DE572" s="48"/>
      <c r="DF572" s="48"/>
      <c r="DG572" s="48"/>
      <c r="DH572" s="48"/>
      <c r="DI572" s="48"/>
      <c r="DJ572" s="48"/>
      <c r="DK572" s="48"/>
      <c r="DL572" s="48"/>
      <c r="DM572" s="48"/>
      <c r="DN572" s="48"/>
      <c r="DO572" s="48"/>
      <c r="DP572" s="48"/>
      <c r="DQ572" s="48"/>
      <c r="DR572" s="48"/>
      <c r="DS572" s="48"/>
    </row>
    <row r="573" spans="1:123" ht="15">
      <c r="A573"/>
      <c r="B573"/>
      <c r="C573"/>
      <c r="D573"/>
      <c r="E573"/>
      <c r="F573"/>
      <c r="G573"/>
      <c r="H573"/>
      <c r="I573"/>
      <c r="J573"/>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48"/>
      <c r="BW573" s="48"/>
      <c r="BX573" s="48"/>
      <c r="BY573" s="48"/>
      <c r="BZ573" s="48"/>
      <c r="CA573" s="48"/>
      <c r="CB573" s="48"/>
      <c r="CC573" s="48"/>
      <c r="CD573" s="48"/>
      <c r="CE573" s="48"/>
      <c r="CF573" s="48"/>
      <c r="CG573" s="48"/>
      <c r="CH573" s="48"/>
      <c r="CI573" s="48"/>
      <c r="CJ573" s="48"/>
      <c r="CK573" s="48"/>
      <c r="CL573" s="48"/>
      <c r="CM573" s="48"/>
      <c r="CN573" s="48"/>
      <c r="CO573" s="48"/>
      <c r="CP573" s="48"/>
      <c r="CQ573" s="48"/>
      <c r="CR573" s="48"/>
      <c r="CS573" s="48"/>
      <c r="CT573" s="48"/>
      <c r="CU573" s="48"/>
      <c r="CV573" s="48"/>
      <c r="CW573" s="48"/>
      <c r="CX573" s="48"/>
      <c r="CY573" s="48"/>
      <c r="CZ573" s="48"/>
      <c r="DA573" s="48"/>
      <c r="DB573" s="48"/>
      <c r="DC573" s="48"/>
      <c r="DD573" s="48"/>
      <c r="DE573" s="48"/>
      <c r="DF573" s="48"/>
      <c r="DG573" s="48"/>
      <c r="DH573" s="48"/>
      <c r="DI573" s="48"/>
      <c r="DJ573" s="48"/>
      <c r="DK573" s="48"/>
      <c r="DL573" s="48"/>
      <c r="DM573" s="48"/>
      <c r="DN573" s="48"/>
      <c r="DO573" s="48"/>
      <c r="DP573" s="48"/>
      <c r="DQ573" s="48"/>
      <c r="DR573" s="48"/>
      <c r="DS573" s="48"/>
    </row>
    <row r="574" spans="1:123" ht="15">
      <c r="A574"/>
      <c r="B574"/>
      <c r="C574"/>
      <c r="D574"/>
      <c r="E574"/>
      <c r="F574"/>
      <c r="G574"/>
      <c r="H574"/>
      <c r="I574"/>
      <c r="J574"/>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48"/>
      <c r="BH574" s="48"/>
      <c r="BI574" s="48"/>
      <c r="BJ574" s="48"/>
      <c r="BK574" s="48"/>
      <c r="BL574" s="48"/>
      <c r="BM574" s="48"/>
      <c r="BN574" s="48"/>
      <c r="BO574" s="48"/>
      <c r="BP574" s="48"/>
      <c r="BQ574" s="48"/>
      <c r="BR574" s="48"/>
      <c r="BS574" s="48"/>
      <c r="BT574" s="48"/>
      <c r="BU574" s="48"/>
      <c r="BV574" s="48"/>
      <c r="BW574" s="48"/>
      <c r="BX574" s="48"/>
      <c r="BY574" s="48"/>
      <c r="BZ574" s="48"/>
      <c r="CA574" s="48"/>
      <c r="CB574" s="48"/>
      <c r="CC574" s="48"/>
      <c r="CD574" s="48"/>
      <c r="CE574" s="48"/>
      <c r="CF574" s="48"/>
      <c r="CG574" s="48"/>
      <c r="CH574" s="48"/>
      <c r="CI574" s="48"/>
      <c r="CJ574" s="48"/>
      <c r="CK574" s="48"/>
      <c r="CL574" s="48"/>
      <c r="CM574" s="48"/>
      <c r="CN574" s="48"/>
      <c r="CO574" s="48"/>
      <c r="CP574" s="48"/>
      <c r="CQ574" s="48"/>
      <c r="CR574" s="48"/>
      <c r="CS574" s="48"/>
      <c r="CT574" s="48"/>
      <c r="CU574" s="48"/>
      <c r="CV574" s="48"/>
      <c r="CW574" s="48"/>
      <c r="CX574" s="48"/>
      <c r="CY574" s="48"/>
      <c r="CZ574" s="48"/>
      <c r="DA574" s="48"/>
      <c r="DB574" s="48"/>
      <c r="DC574" s="48"/>
      <c r="DD574" s="48"/>
      <c r="DE574" s="48"/>
      <c r="DF574" s="48"/>
      <c r="DG574" s="48"/>
      <c r="DH574" s="48"/>
      <c r="DI574" s="48"/>
      <c r="DJ574" s="48"/>
      <c r="DK574" s="48"/>
      <c r="DL574" s="48"/>
      <c r="DM574" s="48"/>
      <c r="DN574" s="48"/>
      <c r="DO574" s="48"/>
      <c r="DP574" s="48"/>
      <c r="DQ574" s="48"/>
      <c r="DR574" s="48"/>
      <c r="DS574" s="48"/>
    </row>
    <row r="575" spans="1:123" ht="15">
      <c r="A575"/>
      <c r="B575"/>
      <c r="C575"/>
      <c r="D575"/>
      <c r="E575"/>
      <c r="F575"/>
      <c r="G575"/>
      <c r="H575"/>
      <c r="I575"/>
      <c r="J575"/>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c r="BS575" s="48"/>
      <c r="BT575" s="48"/>
      <c r="BU575" s="48"/>
      <c r="BV575" s="48"/>
      <c r="BW575" s="48"/>
      <c r="BX575" s="48"/>
      <c r="BY575" s="48"/>
      <c r="BZ575" s="48"/>
      <c r="CA575" s="48"/>
      <c r="CB575" s="48"/>
      <c r="CC575" s="48"/>
      <c r="CD575" s="48"/>
      <c r="CE575" s="48"/>
      <c r="CF575" s="48"/>
      <c r="CG575" s="48"/>
      <c r="CH575" s="48"/>
      <c r="CI575" s="48"/>
      <c r="CJ575" s="48"/>
      <c r="CK575" s="48"/>
      <c r="CL575" s="48"/>
      <c r="CM575" s="48"/>
      <c r="CN575" s="48"/>
      <c r="CO575" s="48"/>
      <c r="CP575" s="48"/>
      <c r="CQ575" s="48"/>
      <c r="CR575" s="48"/>
      <c r="CS575" s="48"/>
      <c r="CT575" s="48"/>
      <c r="CU575" s="48"/>
      <c r="CV575" s="48"/>
      <c r="CW575" s="48"/>
      <c r="CX575" s="48"/>
      <c r="CY575" s="48"/>
      <c r="CZ575" s="48"/>
      <c r="DA575" s="48"/>
      <c r="DB575" s="48"/>
      <c r="DC575" s="48"/>
      <c r="DD575" s="48"/>
      <c r="DE575" s="48"/>
      <c r="DF575" s="48"/>
      <c r="DG575" s="48"/>
      <c r="DH575" s="48"/>
      <c r="DI575" s="48"/>
      <c r="DJ575" s="48"/>
      <c r="DK575" s="48"/>
      <c r="DL575" s="48"/>
      <c r="DM575" s="48"/>
      <c r="DN575" s="48"/>
      <c r="DO575" s="48"/>
      <c r="DP575" s="48"/>
      <c r="DQ575" s="48"/>
      <c r="DR575" s="48"/>
      <c r="DS575" s="48"/>
    </row>
    <row r="576" spans="1:123" ht="15">
      <c r="A576"/>
      <c r="B576"/>
      <c r="C576"/>
      <c r="D576"/>
      <c r="E576"/>
      <c r="F576"/>
      <c r="G576"/>
      <c r="H576"/>
      <c r="I576"/>
      <c r="J576"/>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c r="BS576" s="48"/>
      <c r="BT576" s="48"/>
      <c r="BU576" s="48"/>
      <c r="BV576" s="48"/>
      <c r="BW576" s="48"/>
      <c r="BX576" s="48"/>
      <c r="BY576" s="48"/>
      <c r="BZ576" s="48"/>
      <c r="CA576" s="48"/>
      <c r="CB576" s="48"/>
      <c r="CC576" s="48"/>
      <c r="CD576" s="48"/>
      <c r="CE576" s="48"/>
      <c r="CF576" s="48"/>
      <c r="CG576" s="48"/>
      <c r="CH576" s="48"/>
      <c r="CI576" s="48"/>
      <c r="CJ576" s="48"/>
      <c r="CK576" s="48"/>
      <c r="CL576" s="48"/>
      <c r="CM576" s="48"/>
      <c r="CN576" s="48"/>
      <c r="CO576" s="48"/>
      <c r="CP576" s="48"/>
      <c r="CQ576" s="48"/>
      <c r="CR576" s="48"/>
      <c r="CS576" s="48"/>
      <c r="CT576" s="48"/>
      <c r="CU576" s="48"/>
      <c r="CV576" s="48"/>
      <c r="CW576" s="48"/>
      <c r="CX576" s="48"/>
      <c r="CY576" s="48"/>
      <c r="CZ576" s="48"/>
      <c r="DA576" s="48"/>
      <c r="DB576" s="48"/>
      <c r="DC576" s="48"/>
      <c r="DD576" s="48"/>
      <c r="DE576" s="48"/>
      <c r="DF576" s="48"/>
      <c r="DG576" s="48"/>
      <c r="DH576" s="48"/>
      <c r="DI576" s="48"/>
      <c r="DJ576" s="48"/>
      <c r="DK576" s="48"/>
      <c r="DL576" s="48"/>
      <c r="DM576" s="48"/>
      <c r="DN576" s="48"/>
      <c r="DO576" s="48"/>
      <c r="DP576" s="48"/>
      <c r="DQ576" s="48"/>
      <c r="DR576" s="48"/>
      <c r="DS576" s="48"/>
    </row>
    <row r="577" spans="1:123" ht="15">
      <c r="A577"/>
      <c r="B577"/>
      <c r="C577"/>
      <c r="D577"/>
      <c r="E577"/>
      <c r="F577"/>
      <c r="G577"/>
      <c r="H577"/>
      <c r="I577"/>
      <c r="J577"/>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48"/>
      <c r="BH577" s="48"/>
      <c r="BI577" s="48"/>
      <c r="BJ577" s="48"/>
      <c r="BK577" s="48"/>
      <c r="BL577" s="48"/>
      <c r="BM577" s="48"/>
      <c r="BN577" s="48"/>
      <c r="BO577" s="48"/>
      <c r="BP577" s="48"/>
      <c r="BQ577" s="48"/>
      <c r="BR577" s="48"/>
      <c r="BS577" s="48"/>
      <c r="BT577" s="48"/>
      <c r="BU577" s="48"/>
      <c r="BV577" s="48"/>
      <c r="BW577" s="48"/>
      <c r="BX577" s="48"/>
      <c r="BY577" s="48"/>
      <c r="BZ577" s="48"/>
      <c r="CA577" s="48"/>
      <c r="CB577" s="48"/>
      <c r="CC577" s="48"/>
      <c r="CD577" s="48"/>
      <c r="CE577" s="48"/>
      <c r="CF577" s="48"/>
      <c r="CG577" s="48"/>
      <c r="CH577" s="48"/>
      <c r="CI577" s="48"/>
      <c r="CJ577" s="48"/>
      <c r="CK577" s="48"/>
      <c r="CL577" s="48"/>
      <c r="CM577" s="48"/>
      <c r="CN577" s="48"/>
      <c r="CO577" s="48"/>
      <c r="CP577" s="48"/>
      <c r="CQ577" s="48"/>
      <c r="CR577" s="48"/>
      <c r="CS577" s="48"/>
      <c r="CT577" s="48"/>
      <c r="CU577" s="48"/>
      <c r="CV577" s="48"/>
      <c r="CW577" s="48"/>
      <c r="CX577" s="48"/>
      <c r="CY577" s="48"/>
      <c r="CZ577" s="48"/>
      <c r="DA577" s="48"/>
      <c r="DB577" s="48"/>
      <c r="DC577" s="48"/>
      <c r="DD577" s="48"/>
      <c r="DE577" s="48"/>
      <c r="DF577" s="48"/>
      <c r="DG577" s="48"/>
      <c r="DH577" s="48"/>
      <c r="DI577" s="48"/>
      <c r="DJ577" s="48"/>
      <c r="DK577" s="48"/>
      <c r="DL577" s="48"/>
      <c r="DM577" s="48"/>
      <c r="DN577" s="48"/>
      <c r="DO577" s="48"/>
      <c r="DP577" s="48"/>
      <c r="DQ577" s="48"/>
      <c r="DR577" s="48"/>
      <c r="DS577" s="48"/>
    </row>
    <row r="578" spans="1:123" ht="15">
      <c r="A578"/>
      <c r="B578"/>
      <c r="C578"/>
      <c r="D578"/>
      <c r="E578"/>
      <c r="F578"/>
      <c r="G578"/>
      <c r="H578"/>
      <c r="I578"/>
      <c r="J57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48"/>
      <c r="BH578" s="48"/>
      <c r="BI578" s="48"/>
      <c r="BJ578" s="48"/>
      <c r="BK578" s="48"/>
      <c r="BL578" s="48"/>
      <c r="BM578" s="48"/>
      <c r="BN578" s="48"/>
      <c r="BO578" s="48"/>
      <c r="BP578" s="48"/>
      <c r="BQ578" s="48"/>
      <c r="BR578" s="48"/>
      <c r="BS578" s="48"/>
      <c r="BT578" s="48"/>
      <c r="BU578" s="48"/>
      <c r="BV578" s="48"/>
      <c r="BW578" s="48"/>
      <c r="BX578" s="48"/>
      <c r="BY578" s="48"/>
      <c r="BZ578" s="48"/>
      <c r="CA578" s="48"/>
      <c r="CB578" s="48"/>
      <c r="CC578" s="48"/>
      <c r="CD578" s="48"/>
      <c r="CE578" s="48"/>
      <c r="CF578" s="48"/>
      <c r="CG578" s="48"/>
      <c r="CH578" s="48"/>
      <c r="CI578" s="48"/>
      <c r="CJ578" s="48"/>
      <c r="CK578" s="48"/>
      <c r="CL578" s="48"/>
      <c r="CM578" s="48"/>
      <c r="CN578" s="48"/>
      <c r="CO578" s="48"/>
      <c r="CP578" s="48"/>
      <c r="CQ578" s="48"/>
      <c r="CR578" s="48"/>
      <c r="CS578" s="48"/>
      <c r="CT578" s="48"/>
      <c r="CU578" s="48"/>
      <c r="CV578" s="48"/>
      <c r="CW578" s="48"/>
      <c r="CX578" s="48"/>
      <c r="CY578" s="48"/>
      <c r="CZ578" s="48"/>
      <c r="DA578" s="48"/>
      <c r="DB578" s="48"/>
      <c r="DC578" s="48"/>
      <c r="DD578" s="48"/>
      <c r="DE578" s="48"/>
      <c r="DF578" s="48"/>
      <c r="DG578" s="48"/>
      <c r="DH578" s="48"/>
      <c r="DI578" s="48"/>
      <c r="DJ578" s="48"/>
      <c r="DK578" s="48"/>
      <c r="DL578" s="48"/>
      <c r="DM578" s="48"/>
      <c r="DN578" s="48"/>
      <c r="DO578" s="48"/>
      <c r="DP578" s="48"/>
      <c r="DQ578" s="48"/>
      <c r="DR578" s="48"/>
      <c r="DS578" s="48"/>
    </row>
    <row r="579" spans="1:123" ht="15">
      <c r="A579"/>
      <c r="B579"/>
      <c r="C579"/>
      <c r="D579"/>
      <c r="E579"/>
      <c r="F579"/>
      <c r="G579"/>
      <c r="H579"/>
      <c r="I579"/>
      <c r="J579"/>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48"/>
      <c r="BW579" s="48"/>
      <c r="BX579" s="48"/>
      <c r="BY579" s="48"/>
      <c r="BZ579" s="48"/>
      <c r="CA579" s="48"/>
      <c r="CB579" s="48"/>
      <c r="CC579" s="48"/>
      <c r="CD579" s="48"/>
      <c r="CE579" s="48"/>
      <c r="CF579" s="48"/>
      <c r="CG579" s="48"/>
      <c r="CH579" s="48"/>
      <c r="CI579" s="48"/>
      <c r="CJ579" s="48"/>
      <c r="CK579" s="48"/>
      <c r="CL579" s="48"/>
      <c r="CM579" s="48"/>
      <c r="CN579" s="48"/>
      <c r="CO579" s="48"/>
      <c r="CP579" s="48"/>
      <c r="CQ579" s="48"/>
      <c r="CR579" s="48"/>
      <c r="CS579" s="48"/>
      <c r="CT579" s="48"/>
      <c r="CU579" s="48"/>
      <c r="CV579" s="48"/>
      <c r="CW579" s="48"/>
      <c r="CX579" s="48"/>
      <c r="CY579" s="48"/>
      <c r="CZ579" s="48"/>
      <c r="DA579" s="48"/>
      <c r="DB579" s="48"/>
      <c r="DC579" s="48"/>
      <c r="DD579" s="48"/>
      <c r="DE579" s="48"/>
      <c r="DF579" s="48"/>
      <c r="DG579" s="48"/>
      <c r="DH579" s="48"/>
      <c r="DI579" s="48"/>
      <c r="DJ579" s="48"/>
      <c r="DK579" s="48"/>
      <c r="DL579" s="48"/>
      <c r="DM579" s="48"/>
      <c r="DN579" s="48"/>
      <c r="DO579" s="48"/>
      <c r="DP579" s="48"/>
      <c r="DQ579" s="48"/>
      <c r="DR579" s="48"/>
      <c r="DS579" s="48"/>
    </row>
    <row r="580" spans="1:123" ht="15">
      <c r="A580"/>
      <c r="B580"/>
      <c r="C580"/>
      <c r="D580"/>
      <c r="E580"/>
      <c r="F580"/>
      <c r="G580"/>
      <c r="H580"/>
      <c r="I580"/>
      <c r="J580"/>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c r="BS580" s="48"/>
      <c r="BT580" s="48"/>
      <c r="BU580" s="48"/>
      <c r="BV580" s="48"/>
      <c r="BW580" s="48"/>
      <c r="BX580" s="48"/>
      <c r="BY580" s="48"/>
      <c r="BZ580" s="48"/>
      <c r="CA580" s="48"/>
      <c r="CB580" s="48"/>
      <c r="CC580" s="48"/>
      <c r="CD580" s="48"/>
      <c r="CE580" s="48"/>
      <c r="CF580" s="48"/>
      <c r="CG580" s="48"/>
      <c r="CH580" s="48"/>
      <c r="CI580" s="48"/>
      <c r="CJ580" s="48"/>
      <c r="CK580" s="48"/>
      <c r="CL580" s="48"/>
      <c r="CM580" s="48"/>
      <c r="CN580" s="48"/>
      <c r="CO580" s="48"/>
      <c r="CP580" s="48"/>
      <c r="CQ580" s="48"/>
      <c r="CR580" s="48"/>
      <c r="CS580" s="48"/>
      <c r="CT580" s="48"/>
      <c r="CU580" s="48"/>
      <c r="CV580" s="48"/>
      <c r="CW580" s="48"/>
      <c r="CX580" s="48"/>
      <c r="CY580" s="48"/>
      <c r="CZ580" s="48"/>
      <c r="DA580" s="48"/>
      <c r="DB580" s="48"/>
      <c r="DC580" s="48"/>
      <c r="DD580" s="48"/>
      <c r="DE580" s="48"/>
      <c r="DF580" s="48"/>
      <c r="DG580" s="48"/>
      <c r="DH580" s="48"/>
      <c r="DI580" s="48"/>
      <c r="DJ580" s="48"/>
      <c r="DK580" s="48"/>
      <c r="DL580" s="48"/>
      <c r="DM580" s="48"/>
      <c r="DN580" s="48"/>
      <c r="DO580" s="48"/>
      <c r="DP580" s="48"/>
      <c r="DQ580" s="48"/>
      <c r="DR580" s="48"/>
      <c r="DS580" s="48"/>
    </row>
    <row r="581" spans="1:123" ht="15">
      <c r="A581"/>
      <c r="B581"/>
      <c r="C581"/>
      <c r="D581"/>
      <c r="E581"/>
      <c r="F581"/>
      <c r="G581"/>
      <c r="H581"/>
      <c r="I581"/>
      <c r="J581"/>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48"/>
      <c r="BH581" s="48"/>
      <c r="BI581" s="48"/>
      <c r="BJ581" s="48"/>
      <c r="BK581" s="48"/>
      <c r="BL581" s="48"/>
      <c r="BM581" s="48"/>
      <c r="BN581" s="48"/>
      <c r="BO581" s="48"/>
      <c r="BP581" s="48"/>
      <c r="BQ581" s="48"/>
      <c r="BR581" s="48"/>
      <c r="BS581" s="48"/>
      <c r="BT581" s="48"/>
      <c r="BU581" s="48"/>
      <c r="BV581" s="48"/>
      <c r="BW581" s="48"/>
      <c r="BX581" s="48"/>
      <c r="BY581" s="48"/>
      <c r="BZ581" s="48"/>
      <c r="CA581" s="48"/>
      <c r="CB581" s="48"/>
      <c r="CC581" s="48"/>
      <c r="CD581" s="48"/>
      <c r="CE581" s="48"/>
      <c r="CF581" s="48"/>
      <c r="CG581" s="48"/>
      <c r="CH581" s="48"/>
      <c r="CI581" s="48"/>
      <c r="CJ581" s="48"/>
      <c r="CK581" s="48"/>
      <c r="CL581" s="48"/>
      <c r="CM581" s="48"/>
      <c r="CN581" s="48"/>
      <c r="CO581" s="48"/>
      <c r="CP581" s="48"/>
      <c r="CQ581" s="48"/>
      <c r="CR581" s="48"/>
      <c r="CS581" s="48"/>
      <c r="CT581" s="48"/>
      <c r="CU581" s="48"/>
      <c r="CV581" s="48"/>
      <c r="CW581" s="48"/>
      <c r="CX581" s="48"/>
      <c r="CY581" s="48"/>
      <c r="CZ581" s="48"/>
      <c r="DA581" s="48"/>
      <c r="DB581" s="48"/>
      <c r="DC581" s="48"/>
      <c r="DD581" s="48"/>
      <c r="DE581" s="48"/>
      <c r="DF581" s="48"/>
      <c r="DG581" s="48"/>
      <c r="DH581" s="48"/>
      <c r="DI581" s="48"/>
      <c r="DJ581" s="48"/>
      <c r="DK581" s="48"/>
      <c r="DL581" s="48"/>
      <c r="DM581" s="48"/>
      <c r="DN581" s="48"/>
      <c r="DO581" s="48"/>
      <c r="DP581" s="48"/>
      <c r="DQ581" s="48"/>
      <c r="DR581" s="48"/>
      <c r="DS581" s="48"/>
    </row>
    <row r="582" spans="1:123" ht="15">
      <c r="A582"/>
      <c r="B582"/>
      <c r="C582"/>
      <c r="D582"/>
      <c r="E582"/>
      <c r="F582"/>
      <c r="G582"/>
      <c r="H582"/>
      <c r="I582"/>
      <c r="J582"/>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48"/>
      <c r="BW582" s="48"/>
      <c r="BX582" s="48"/>
      <c r="BY582" s="48"/>
      <c r="BZ582" s="48"/>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48"/>
      <c r="CX582" s="48"/>
      <c r="CY582" s="48"/>
      <c r="CZ582" s="48"/>
      <c r="DA582" s="48"/>
      <c r="DB582" s="48"/>
      <c r="DC582" s="48"/>
      <c r="DD582" s="48"/>
      <c r="DE582" s="48"/>
      <c r="DF582" s="48"/>
      <c r="DG582" s="48"/>
      <c r="DH582" s="48"/>
      <c r="DI582" s="48"/>
      <c r="DJ582" s="48"/>
      <c r="DK582" s="48"/>
      <c r="DL582" s="48"/>
      <c r="DM582" s="48"/>
      <c r="DN582" s="48"/>
      <c r="DO582" s="48"/>
      <c r="DP582" s="48"/>
      <c r="DQ582" s="48"/>
      <c r="DR582" s="48"/>
      <c r="DS582" s="48"/>
    </row>
    <row r="583" spans="1:123" ht="15">
      <c r="A583"/>
      <c r="B583"/>
      <c r="C583"/>
      <c r="D583"/>
      <c r="E583"/>
      <c r="F583"/>
      <c r="G583"/>
      <c r="H583"/>
      <c r="I583"/>
      <c r="J583"/>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48"/>
      <c r="BH583" s="48"/>
      <c r="BI583" s="48"/>
      <c r="BJ583" s="48"/>
      <c r="BK583" s="48"/>
      <c r="BL583" s="48"/>
      <c r="BM583" s="48"/>
      <c r="BN583" s="48"/>
      <c r="BO583" s="48"/>
      <c r="BP583" s="48"/>
      <c r="BQ583" s="48"/>
      <c r="BR583" s="48"/>
      <c r="BS583" s="48"/>
      <c r="BT583" s="48"/>
      <c r="BU583" s="48"/>
      <c r="BV583" s="48"/>
      <c r="BW583" s="48"/>
      <c r="BX583" s="48"/>
      <c r="BY583" s="48"/>
      <c r="BZ583" s="48"/>
      <c r="CA583" s="48"/>
      <c r="CB583" s="48"/>
      <c r="CC583" s="48"/>
      <c r="CD583" s="48"/>
      <c r="CE583" s="48"/>
      <c r="CF583" s="48"/>
      <c r="CG583" s="48"/>
      <c r="CH583" s="48"/>
      <c r="CI583" s="48"/>
      <c r="CJ583" s="48"/>
      <c r="CK583" s="48"/>
      <c r="CL583" s="48"/>
      <c r="CM583" s="48"/>
      <c r="CN583" s="48"/>
      <c r="CO583" s="48"/>
      <c r="CP583" s="48"/>
      <c r="CQ583" s="48"/>
      <c r="CR583" s="48"/>
      <c r="CS583" s="48"/>
      <c r="CT583" s="48"/>
      <c r="CU583" s="48"/>
      <c r="CV583" s="48"/>
      <c r="CW583" s="48"/>
      <c r="CX583" s="48"/>
      <c r="CY583" s="48"/>
      <c r="CZ583" s="48"/>
      <c r="DA583" s="48"/>
      <c r="DB583" s="48"/>
      <c r="DC583" s="48"/>
      <c r="DD583" s="48"/>
      <c r="DE583" s="48"/>
      <c r="DF583" s="48"/>
      <c r="DG583" s="48"/>
      <c r="DH583" s="48"/>
      <c r="DI583" s="48"/>
      <c r="DJ583" s="48"/>
      <c r="DK583" s="48"/>
      <c r="DL583" s="48"/>
      <c r="DM583" s="48"/>
      <c r="DN583" s="48"/>
      <c r="DO583" s="48"/>
      <c r="DP583" s="48"/>
      <c r="DQ583" s="48"/>
      <c r="DR583" s="48"/>
      <c r="DS583" s="48"/>
    </row>
    <row r="584" spans="1:123" ht="15">
      <c r="A584"/>
      <c r="B584"/>
      <c r="C584"/>
      <c r="D584"/>
      <c r="E584"/>
      <c r="F584"/>
      <c r="G584"/>
      <c r="H584"/>
      <c r="I584"/>
      <c r="J584"/>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48"/>
      <c r="BH584" s="48"/>
      <c r="BI584" s="48"/>
      <c r="BJ584" s="48"/>
      <c r="BK584" s="48"/>
      <c r="BL584" s="48"/>
      <c r="BM584" s="48"/>
      <c r="BN584" s="48"/>
      <c r="BO584" s="48"/>
      <c r="BP584" s="48"/>
      <c r="BQ584" s="48"/>
      <c r="BR584" s="48"/>
      <c r="BS584" s="48"/>
      <c r="BT584" s="48"/>
      <c r="BU584" s="48"/>
      <c r="BV584" s="48"/>
      <c r="BW584" s="48"/>
      <c r="BX584" s="48"/>
      <c r="BY584" s="48"/>
      <c r="BZ584" s="48"/>
      <c r="CA584" s="48"/>
      <c r="CB584" s="48"/>
      <c r="CC584" s="48"/>
      <c r="CD584" s="48"/>
      <c r="CE584" s="48"/>
      <c r="CF584" s="48"/>
      <c r="CG584" s="48"/>
      <c r="CH584" s="48"/>
      <c r="CI584" s="48"/>
      <c r="CJ584" s="48"/>
      <c r="CK584" s="48"/>
      <c r="CL584" s="48"/>
      <c r="CM584" s="48"/>
      <c r="CN584" s="48"/>
      <c r="CO584" s="48"/>
      <c r="CP584" s="48"/>
      <c r="CQ584" s="48"/>
      <c r="CR584" s="48"/>
      <c r="CS584" s="48"/>
      <c r="CT584" s="48"/>
      <c r="CU584" s="48"/>
      <c r="CV584" s="48"/>
      <c r="CW584" s="48"/>
      <c r="CX584" s="48"/>
      <c r="CY584" s="48"/>
      <c r="CZ584" s="48"/>
      <c r="DA584" s="48"/>
      <c r="DB584" s="48"/>
      <c r="DC584" s="48"/>
      <c r="DD584" s="48"/>
      <c r="DE584" s="48"/>
      <c r="DF584" s="48"/>
      <c r="DG584" s="48"/>
      <c r="DH584" s="48"/>
      <c r="DI584" s="48"/>
      <c r="DJ584" s="48"/>
      <c r="DK584" s="48"/>
      <c r="DL584" s="48"/>
      <c r="DM584" s="48"/>
      <c r="DN584" s="48"/>
      <c r="DO584" s="48"/>
      <c r="DP584" s="48"/>
      <c r="DQ584" s="48"/>
      <c r="DR584" s="48"/>
      <c r="DS584" s="48"/>
    </row>
    <row r="585" spans="1:123" ht="15">
      <c r="A585"/>
      <c r="B585"/>
      <c r="C585"/>
      <c r="D585"/>
      <c r="E585"/>
      <c r="F585"/>
      <c r="G585"/>
      <c r="H585"/>
      <c r="I585"/>
      <c r="J585"/>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48"/>
      <c r="BW585" s="48"/>
      <c r="BX585" s="48"/>
      <c r="BY585" s="48"/>
      <c r="BZ585" s="48"/>
      <c r="CA585" s="48"/>
      <c r="CB585" s="48"/>
      <c r="CC585" s="48"/>
      <c r="CD585" s="48"/>
      <c r="CE585" s="48"/>
      <c r="CF585" s="48"/>
      <c r="CG585" s="48"/>
      <c r="CH585" s="48"/>
      <c r="CI585" s="48"/>
      <c r="CJ585" s="48"/>
      <c r="CK585" s="48"/>
      <c r="CL585" s="48"/>
      <c r="CM585" s="48"/>
      <c r="CN585" s="48"/>
      <c r="CO585" s="48"/>
      <c r="CP585" s="48"/>
      <c r="CQ585" s="48"/>
      <c r="CR585" s="48"/>
      <c r="CS585" s="48"/>
      <c r="CT585" s="48"/>
      <c r="CU585" s="48"/>
      <c r="CV585" s="48"/>
      <c r="CW585" s="48"/>
      <c r="CX585" s="48"/>
      <c r="CY585" s="48"/>
      <c r="CZ585" s="48"/>
      <c r="DA585" s="48"/>
      <c r="DB585" s="48"/>
      <c r="DC585" s="48"/>
      <c r="DD585" s="48"/>
      <c r="DE585" s="48"/>
      <c r="DF585" s="48"/>
      <c r="DG585" s="48"/>
      <c r="DH585" s="48"/>
      <c r="DI585" s="48"/>
      <c r="DJ585" s="48"/>
      <c r="DK585" s="48"/>
      <c r="DL585" s="48"/>
      <c r="DM585" s="48"/>
      <c r="DN585" s="48"/>
      <c r="DO585" s="48"/>
      <c r="DP585" s="48"/>
      <c r="DQ585" s="48"/>
      <c r="DR585" s="48"/>
      <c r="DS585" s="48"/>
    </row>
    <row r="586" spans="1:123" ht="15">
      <c r="A586"/>
      <c r="B586"/>
      <c r="C586"/>
      <c r="D586"/>
      <c r="E586"/>
      <c r="F586"/>
      <c r="G586"/>
      <c r="H586"/>
      <c r="I586"/>
      <c r="J586"/>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48"/>
      <c r="BH586" s="48"/>
      <c r="BI586" s="48"/>
      <c r="BJ586" s="48"/>
      <c r="BK586" s="48"/>
      <c r="BL586" s="48"/>
      <c r="BM586" s="48"/>
      <c r="BN586" s="48"/>
      <c r="BO586" s="48"/>
      <c r="BP586" s="48"/>
      <c r="BQ586" s="48"/>
      <c r="BR586" s="48"/>
      <c r="BS586" s="48"/>
      <c r="BT586" s="48"/>
      <c r="BU586" s="48"/>
      <c r="BV586" s="48"/>
      <c r="BW586" s="48"/>
      <c r="BX586" s="48"/>
      <c r="BY586" s="48"/>
      <c r="BZ586" s="48"/>
      <c r="CA586" s="48"/>
      <c r="CB586" s="48"/>
      <c r="CC586" s="48"/>
      <c r="CD586" s="48"/>
      <c r="CE586" s="48"/>
      <c r="CF586" s="48"/>
      <c r="CG586" s="48"/>
      <c r="CH586" s="48"/>
      <c r="CI586" s="48"/>
      <c r="CJ586" s="48"/>
      <c r="CK586" s="48"/>
      <c r="CL586" s="48"/>
      <c r="CM586" s="48"/>
      <c r="CN586" s="48"/>
      <c r="CO586" s="48"/>
      <c r="CP586" s="48"/>
      <c r="CQ586" s="48"/>
      <c r="CR586" s="48"/>
      <c r="CS586" s="48"/>
      <c r="CT586" s="48"/>
      <c r="CU586" s="48"/>
      <c r="CV586" s="48"/>
      <c r="CW586" s="48"/>
      <c r="CX586" s="48"/>
      <c r="CY586" s="48"/>
      <c r="CZ586" s="48"/>
      <c r="DA586" s="48"/>
      <c r="DB586" s="48"/>
      <c r="DC586" s="48"/>
      <c r="DD586" s="48"/>
      <c r="DE586" s="48"/>
      <c r="DF586" s="48"/>
      <c r="DG586" s="48"/>
      <c r="DH586" s="48"/>
      <c r="DI586" s="48"/>
      <c r="DJ586" s="48"/>
      <c r="DK586" s="48"/>
      <c r="DL586" s="48"/>
      <c r="DM586" s="48"/>
      <c r="DN586" s="48"/>
      <c r="DO586" s="48"/>
      <c r="DP586" s="48"/>
      <c r="DQ586" s="48"/>
      <c r="DR586" s="48"/>
      <c r="DS586" s="48"/>
    </row>
    <row r="587" spans="1:123" ht="15">
      <c r="A587"/>
      <c r="B587"/>
      <c r="C587"/>
      <c r="D587"/>
      <c r="E587"/>
      <c r="F587"/>
      <c r="G587"/>
      <c r="H587"/>
      <c r="I587"/>
      <c r="J587"/>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48"/>
      <c r="BJ587" s="48"/>
      <c r="BK587" s="48"/>
      <c r="BL587" s="48"/>
      <c r="BM587" s="48"/>
      <c r="BN587" s="48"/>
      <c r="BO587" s="48"/>
      <c r="BP587" s="48"/>
      <c r="BQ587" s="48"/>
      <c r="BR587" s="48"/>
      <c r="BS587" s="48"/>
      <c r="BT587" s="48"/>
      <c r="BU587" s="48"/>
      <c r="BV587" s="48"/>
      <c r="BW587" s="48"/>
      <c r="BX587" s="48"/>
      <c r="BY587" s="48"/>
      <c r="BZ587" s="48"/>
      <c r="CA587" s="48"/>
      <c r="CB587" s="48"/>
      <c r="CC587" s="48"/>
      <c r="CD587" s="48"/>
      <c r="CE587" s="48"/>
      <c r="CF587" s="48"/>
      <c r="CG587" s="48"/>
      <c r="CH587" s="48"/>
      <c r="CI587" s="48"/>
      <c r="CJ587" s="48"/>
      <c r="CK587" s="48"/>
      <c r="CL587" s="48"/>
      <c r="CM587" s="48"/>
      <c r="CN587" s="48"/>
      <c r="CO587" s="48"/>
      <c r="CP587" s="48"/>
      <c r="CQ587" s="48"/>
      <c r="CR587" s="48"/>
      <c r="CS587" s="48"/>
      <c r="CT587" s="48"/>
      <c r="CU587" s="48"/>
      <c r="CV587" s="48"/>
      <c r="CW587" s="48"/>
      <c r="CX587" s="48"/>
      <c r="CY587" s="48"/>
      <c r="CZ587" s="48"/>
      <c r="DA587" s="48"/>
      <c r="DB587" s="48"/>
      <c r="DC587" s="48"/>
      <c r="DD587" s="48"/>
      <c r="DE587" s="48"/>
      <c r="DF587" s="48"/>
      <c r="DG587" s="48"/>
      <c r="DH587" s="48"/>
      <c r="DI587" s="48"/>
      <c r="DJ587" s="48"/>
      <c r="DK587" s="48"/>
      <c r="DL587" s="48"/>
      <c r="DM587" s="48"/>
      <c r="DN587" s="48"/>
      <c r="DO587" s="48"/>
      <c r="DP587" s="48"/>
      <c r="DQ587" s="48"/>
      <c r="DR587" s="48"/>
      <c r="DS587" s="48"/>
    </row>
    <row r="588" spans="1:123" ht="15">
      <c r="A588"/>
      <c r="B588"/>
      <c r="C588"/>
      <c r="D588"/>
      <c r="E588"/>
      <c r="F588"/>
      <c r="G588"/>
      <c r="H588"/>
      <c r="I588"/>
      <c r="J58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48"/>
      <c r="BH588" s="48"/>
      <c r="BI588" s="48"/>
      <c r="BJ588" s="48"/>
      <c r="BK588" s="48"/>
      <c r="BL588" s="48"/>
      <c r="BM588" s="48"/>
      <c r="BN588" s="48"/>
      <c r="BO588" s="48"/>
      <c r="BP588" s="48"/>
      <c r="BQ588" s="48"/>
      <c r="BR588" s="48"/>
      <c r="BS588" s="48"/>
      <c r="BT588" s="48"/>
      <c r="BU588" s="48"/>
      <c r="BV588" s="48"/>
      <c r="BW588" s="48"/>
      <c r="BX588" s="48"/>
      <c r="BY588" s="48"/>
      <c r="BZ588" s="48"/>
      <c r="CA588" s="48"/>
      <c r="CB588" s="48"/>
      <c r="CC588" s="48"/>
      <c r="CD588" s="48"/>
      <c r="CE588" s="48"/>
      <c r="CF588" s="48"/>
      <c r="CG588" s="48"/>
      <c r="CH588" s="48"/>
      <c r="CI588" s="48"/>
      <c r="CJ588" s="48"/>
      <c r="CK588" s="48"/>
      <c r="CL588" s="48"/>
      <c r="CM588" s="48"/>
      <c r="CN588" s="48"/>
      <c r="CO588" s="48"/>
      <c r="CP588" s="48"/>
      <c r="CQ588" s="48"/>
      <c r="CR588" s="48"/>
      <c r="CS588" s="48"/>
      <c r="CT588" s="48"/>
      <c r="CU588" s="48"/>
      <c r="CV588" s="48"/>
      <c r="CW588" s="48"/>
      <c r="CX588" s="48"/>
      <c r="CY588" s="48"/>
      <c r="CZ588" s="48"/>
      <c r="DA588" s="48"/>
      <c r="DB588" s="48"/>
      <c r="DC588" s="48"/>
      <c r="DD588" s="48"/>
      <c r="DE588" s="48"/>
      <c r="DF588" s="48"/>
      <c r="DG588" s="48"/>
      <c r="DH588" s="48"/>
      <c r="DI588" s="48"/>
      <c r="DJ588" s="48"/>
      <c r="DK588" s="48"/>
      <c r="DL588" s="48"/>
      <c r="DM588" s="48"/>
      <c r="DN588" s="48"/>
      <c r="DO588" s="48"/>
      <c r="DP588" s="48"/>
      <c r="DQ588" s="48"/>
      <c r="DR588" s="48"/>
      <c r="DS588" s="48"/>
    </row>
    <row r="589" spans="1:123" ht="15">
      <c r="A589"/>
      <c r="B589"/>
      <c r="C589"/>
      <c r="D589"/>
      <c r="E589"/>
      <c r="F589"/>
      <c r="G589"/>
      <c r="H589"/>
      <c r="I589"/>
      <c r="J589"/>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48"/>
      <c r="BH589" s="48"/>
      <c r="BI589" s="48"/>
      <c r="BJ589" s="48"/>
      <c r="BK589" s="48"/>
      <c r="BL589" s="48"/>
      <c r="BM589" s="48"/>
      <c r="BN589" s="48"/>
      <c r="BO589" s="48"/>
      <c r="BP589" s="48"/>
      <c r="BQ589" s="48"/>
      <c r="BR589" s="48"/>
      <c r="BS589" s="48"/>
      <c r="BT589" s="48"/>
      <c r="BU589" s="48"/>
      <c r="BV589" s="48"/>
      <c r="BW589" s="48"/>
      <c r="BX589" s="48"/>
      <c r="BY589" s="48"/>
      <c r="BZ589" s="48"/>
      <c r="CA589" s="48"/>
      <c r="CB589" s="48"/>
      <c r="CC589" s="48"/>
      <c r="CD589" s="48"/>
      <c r="CE589" s="48"/>
      <c r="CF589" s="48"/>
      <c r="CG589" s="48"/>
      <c r="CH589" s="48"/>
      <c r="CI589" s="48"/>
      <c r="CJ589" s="48"/>
      <c r="CK589" s="48"/>
      <c r="CL589" s="48"/>
      <c r="CM589" s="48"/>
      <c r="CN589" s="48"/>
      <c r="CO589" s="48"/>
      <c r="CP589" s="48"/>
      <c r="CQ589" s="48"/>
      <c r="CR589" s="48"/>
      <c r="CS589" s="48"/>
      <c r="CT589" s="48"/>
      <c r="CU589" s="48"/>
      <c r="CV589" s="48"/>
      <c r="CW589" s="48"/>
      <c r="CX589" s="48"/>
      <c r="CY589" s="48"/>
      <c r="CZ589" s="48"/>
      <c r="DA589" s="48"/>
      <c r="DB589" s="48"/>
      <c r="DC589" s="48"/>
      <c r="DD589" s="48"/>
      <c r="DE589" s="48"/>
      <c r="DF589" s="48"/>
      <c r="DG589" s="48"/>
      <c r="DH589" s="48"/>
      <c r="DI589" s="48"/>
      <c r="DJ589" s="48"/>
      <c r="DK589" s="48"/>
      <c r="DL589" s="48"/>
      <c r="DM589" s="48"/>
      <c r="DN589" s="48"/>
      <c r="DO589" s="48"/>
      <c r="DP589" s="48"/>
      <c r="DQ589" s="48"/>
      <c r="DR589" s="48"/>
      <c r="DS589" s="48"/>
    </row>
    <row r="590" spans="1:123" ht="15">
      <c r="A590"/>
      <c r="B590"/>
      <c r="C590"/>
      <c r="D590"/>
      <c r="E590"/>
      <c r="F590"/>
      <c r="G590"/>
      <c r="H590"/>
      <c r="I590"/>
      <c r="J590"/>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48"/>
      <c r="BH590" s="48"/>
      <c r="BI590" s="48"/>
      <c r="BJ590" s="48"/>
      <c r="BK590" s="48"/>
      <c r="BL590" s="48"/>
      <c r="BM590" s="48"/>
      <c r="BN590" s="48"/>
      <c r="BO590" s="48"/>
      <c r="BP590" s="48"/>
      <c r="BQ590" s="48"/>
      <c r="BR590" s="48"/>
      <c r="BS590" s="48"/>
      <c r="BT590" s="48"/>
      <c r="BU590" s="48"/>
      <c r="BV590" s="48"/>
      <c r="BW590" s="48"/>
      <c r="BX590" s="48"/>
      <c r="BY590" s="48"/>
      <c r="BZ590" s="48"/>
      <c r="CA590" s="48"/>
      <c r="CB590" s="48"/>
      <c r="CC590" s="48"/>
      <c r="CD590" s="48"/>
      <c r="CE590" s="48"/>
      <c r="CF590" s="48"/>
      <c r="CG590" s="48"/>
      <c r="CH590" s="48"/>
      <c r="CI590" s="48"/>
      <c r="CJ590" s="48"/>
      <c r="CK590" s="48"/>
      <c r="CL590" s="48"/>
      <c r="CM590" s="48"/>
      <c r="CN590" s="48"/>
      <c r="CO590" s="48"/>
      <c r="CP590" s="48"/>
      <c r="CQ590" s="48"/>
      <c r="CR590" s="48"/>
      <c r="CS590" s="48"/>
      <c r="CT590" s="48"/>
      <c r="CU590" s="48"/>
      <c r="CV590" s="48"/>
      <c r="CW590" s="48"/>
      <c r="CX590" s="48"/>
      <c r="CY590" s="48"/>
      <c r="CZ590" s="48"/>
      <c r="DA590" s="48"/>
      <c r="DB590" s="48"/>
      <c r="DC590" s="48"/>
      <c r="DD590" s="48"/>
      <c r="DE590" s="48"/>
      <c r="DF590" s="48"/>
      <c r="DG590" s="48"/>
      <c r="DH590" s="48"/>
      <c r="DI590" s="48"/>
      <c r="DJ590" s="48"/>
      <c r="DK590" s="48"/>
      <c r="DL590" s="48"/>
      <c r="DM590" s="48"/>
      <c r="DN590" s="48"/>
      <c r="DO590" s="48"/>
      <c r="DP590" s="48"/>
      <c r="DQ590" s="48"/>
      <c r="DR590" s="48"/>
      <c r="DS590" s="48"/>
    </row>
    <row r="591" spans="1:123" ht="15">
      <c r="A591"/>
      <c r="B591"/>
      <c r="C591"/>
      <c r="D591"/>
      <c r="E591"/>
      <c r="F591"/>
      <c r="G591"/>
      <c r="H591"/>
      <c r="I591"/>
      <c r="J591"/>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48"/>
      <c r="BW591" s="48"/>
      <c r="BX591" s="48"/>
      <c r="BY591" s="48"/>
      <c r="BZ591" s="48"/>
      <c r="CA591" s="48"/>
      <c r="CB591" s="48"/>
      <c r="CC591" s="48"/>
      <c r="CD591" s="48"/>
      <c r="CE591" s="48"/>
      <c r="CF591" s="48"/>
      <c r="CG591" s="48"/>
      <c r="CH591" s="48"/>
      <c r="CI591" s="48"/>
      <c r="CJ591" s="48"/>
      <c r="CK591" s="48"/>
      <c r="CL591" s="48"/>
      <c r="CM591" s="48"/>
      <c r="CN591" s="48"/>
      <c r="CO591" s="48"/>
      <c r="CP591" s="48"/>
      <c r="CQ591" s="48"/>
      <c r="CR591" s="48"/>
      <c r="CS591" s="48"/>
      <c r="CT591" s="48"/>
      <c r="CU591" s="48"/>
      <c r="CV591" s="48"/>
      <c r="CW591" s="48"/>
      <c r="CX591" s="48"/>
      <c r="CY591" s="48"/>
      <c r="CZ591" s="48"/>
      <c r="DA591" s="48"/>
      <c r="DB591" s="48"/>
      <c r="DC591" s="48"/>
      <c r="DD591" s="48"/>
      <c r="DE591" s="48"/>
      <c r="DF591" s="48"/>
      <c r="DG591" s="48"/>
      <c r="DH591" s="48"/>
      <c r="DI591" s="48"/>
      <c r="DJ591" s="48"/>
      <c r="DK591" s="48"/>
      <c r="DL591" s="48"/>
      <c r="DM591" s="48"/>
      <c r="DN591" s="48"/>
      <c r="DO591" s="48"/>
      <c r="DP591" s="48"/>
      <c r="DQ591" s="48"/>
      <c r="DR591" s="48"/>
      <c r="DS591" s="48"/>
    </row>
    <row r="592" spans="1:123" ht="15">
      <c r="A592"/>
      <c r="B592"/>
      <c r="C592"/>
      <c r="D592"/>
      <c r="E592"/>
      <c r="F592"/>
      <c r="G592"/>
      <c r="H592"/>
      <c r="I592"/>
      <c r="J592"/>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48"/>
      <c r="BJ592" s="48"/>
      <c r="BK592" s="48"/>
      <c r="BL592" s="48"/>
      <c r="BM592" s="48"/>
      <c r="BN592" s="48"/>
      <c r="BO592" s="48"/>
      <c r="BP592" s="48"/>
      <c r="BQ592" s="48"/>
      <c r="BR592" s="48"/>
      <c r="BS592" s="48"/>
      <c r="BT592" s="48"/>
      <c r="BU592" s="48"/>
      <c r="BV592" s="48"/>
      <c r="BW592" s="48"/>
      <c r="BX592" s="48"/>
      <c r="BY592" s="48"/>
      <c r="BZ592" s="48"/>
      <c r="CA592" s="48"/>
      <c r="CB592" s="48"/>
      <c r="CC592" s="48"/>
      <c r="CD592" s="48"/>
      <c r="CE592" s="48"/>
      <c r="CF592" s="48"/>
      <c r="CG592" s="48"/>
      <c r="CH592" s="48"/>
      <c r="CI592" s="48"/>
      <c r="CJ592" s="48"/>
      <c r="CK592" s="48"/>
      <c r="CL592" s="48"/>
      <c r="CM592" s="48"/>
      <c r="CN592" s="48"/>
      <c r="CO592" s="48"/>
      <c r="CP592" s="48"/>
      <c r="CQ592" s="48"/>
      <c r="CR592" s="48"/>
      <c r="CS592" s="48"/>
      <c r="CT592" s="48"/>
      <c r="CU592" s="48"/>
      <c r="CV592" s="48"/>
      <c r="CW592" s="48"/>
      <c r="CX592" s="48"/>
      <c r="CY592" s="48"/>
      <c r="CZ592" s="48"/>
      <c r="DA592" s="48"/>
      <c r="DB592" s="48"/>
      <c r="DC592" s="48"/>
      <c r="DD592" s="48"/>
      <c r="DE592" s="48"/>
      <c r="DF592" s="48"/>
      <c r="DG592" s="48"/>
      <c r="DH592" s="48"/>
      <c r="DI592" s="48"/>
      <c r="DJ592" s="48"/>
      <c r="DK592" s="48"/>
      <c r="DL592" s="48"/>
      <c r="DM592" s="48"/>
      <c r="DN592" s="48"/>
      <c r="DO592" s="48"/>
      <c r="DP592" s="48"/>
      <c r="DQ592" s="48"/>
      <c r="DR592" s="48"/>
      <c r="DS592" s="48"/>
    </row>
    <row r="593" spans="1:123" ht="15">
      <c r="A593"/>
      <c r="B593"/>
      <c r="C593"/>
      <c r="D593"/>
      <c r="E593"/>
      <c r="F593"/>
      <c r="G593"/>
      <c r="H593"/>
      <c r="I593"/>
      <c r="J593"/>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c r="BS593" s="48"/>
      <c r="BT593" s="48"/>
      <c r="BU593" s="48"/>
      <c r="BV593" s="48"/>
      <c r="BW593" s="48"/>
      <c r="BX593" s="48"/>
      <c r="BY593" s="48"/>
      <c r="BZ593" s="48"/>
      <c r="CA593" s="48"/>
      <c r="CB593" s="48"/>
      <c r="CC593" s="48"/>
      <c r="CD593" s="48"/>
      <c r="CE593" s="48"/>
      <c r="CF593" s="48"/>
      <c r="CG593" s="48"/>
      <c r="CH593" s="48"/>
      <c r="CI593" s="48"/>
      <c r="CJ593" s="48"/>
      <c r="CK593" s="48"/>
      <c r="CL593" s="48"/>
      <c r="CM593" s="48"/>
      <c r="CN593" s="48"/>
      <c r="CO593" s="48"/>
      <c r="CP593" s="48"/>
      <c r="CQ593" s="48"/>
      <c r="CR593" s="48"/>
      <c r="CS593" s="48"/>
      <c r="CT593" s="48"/>
      <c r="CU593" s="48"/>
      <c r="CV593" s="48"/>
      <c r="CW593" s="48"/>
      <c r="CX593" s="48"/>
      <c r="CY593" s="48"/>
      <c r="CZ593" s="48"/>
      <c r="DA593" s="48"/>
      <c r="DB593" s="48"/>
      <c r="DC593" s="48"/>
      <c r="DD593" s="48"/>
      <c r="DE593" s="48"/>
      <c r="DF593" s="48"/>
      <c r="DG593" s="48"/>
      <c r="DH593" s="48"/>
      <c r="DI593" s="48"/>
      <c r="DJ593" s="48"/>
      <c r="DK593" s="48"/>
      <c r="DL593" s="48"/>
      <c r="DM593" s="48"/>
      <c r="DN593" s="48"/>
      <c r="DO593" s="48"/>
      <c r="DP593" s="48"/>
      <c r="DQ593" s="48"/>
      <c r="DR593" s="48"/>
      <c r="DS593" s="48"/>
    </row>
    <row r="594" spans="1:123" ht="15">
      <c r="A594"/>
      <c r="B594"/>
      <c r="C594"/>
      <c r="D594"/>
      <c r="E594"/>
      <c r="F594"/>
      <c r="G594"/>
      <c r="H594"/>
      <c r="I594"/>
      <c r="J594"/>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48"/>
      <c r="BH594" s="48"/>
      <c r="BI594" s="48"/>
      <c r="BJ594" s="48"/>
      <c r="BK594" s="48"/>
      <c r="BL594" s="48"/>
      <c r="BM594" s="48"/>
      <c r="BN594" s="48"/>
      <c r="BO594" s="48"/>
      <c r="BP594" s="48"/>
      <c r="BQ594" s="48"/>
      <c r="BR594" s="48"/>
      <c r="BS594" s="48"/>
      <c r="BT594" s="48"/>
      <c r="BU594" s="48"/>
      <c r="BV594" s="48"/>
      <c r="BW594" s="48"/>
      <c r="BX594" s="48"/>
      <c r="BY594" s="48"/>
      <c r="BZ594" s="48"/>
      <c r="CA594" s="48"/>
      <c r="CB594" s="48"/>
      <c r="CC594" s="48"/>
      <c r="CD594" s="48"/>
      <c r="CE594" s="48"/>
      <c r="CF594" s="48"/>
      <c r="CG594" s="48"/>
      <c r="CH594" s="48"/>
      <c r="CI594" s="48"/>
      <c r="CJ594" s="48"/>
      <c r="CK594" s="48"/>
      <c r="CL594" s="48"/>
      <c r="CM594" s="48"/>
      <c r="CN594" s="48"/>
      <c r="CO594" s="48"/>
      <c r="CP594" s="48"/>
      <c r="CQ594" s="48"/>
      <c r="CR594" s="48"/>
      <c r="CS594" s="48"/>
      <c r="CT594" s="48"/>
      <c r="CU594" s="48"/>
      <c r="CV594" s="48"/>
      <c r="CW594" s="48"/>
      <c r="CX594" s="48"/>
      <c r="CY594" s="48"/>
      <c r="CZ594" s="48"/>
      <c r="DA594" s="48"/>
      <c r="DB594" s="48"/>
      <c r="DC594" s="48"/>
      <c r="DD594" s="48"/>
      <c r="DE594" s="48"/>
      <c r="DF594" s="48"/>
      <c r="DG594" s="48"/>
      <c r="DH594" s="48"/>
      <c r="DI594" s="48"/>
      <c r="DJ594" s="48"/>
      <c r="DK594" s="48"/>
      <c r="DL594" s="48"/>
      <c r="DM594" s="48"/>
      <c r="DN594" s="48"/>
      <c r="DO594" s="48"/>
      <c r="DP594" s="48"/>
      <c r="DQ594" s="48"/>
      <c r="DR594" s="48"/>
      <c r="DS594" s="48"/>
    </row>
    <row r="595" spans="1:123" ht="15">
      <c r="A595"/>
      <c r="B595"/>
      <c r="C595"/>
      <c r="D595"/>
      <c r="E595"/>
      <c r="F595"/>
      <c r="G595"/>
      <c r="H595"/>
      <c r="I595"/>
      <c r="J595"/>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48"/>
      <c r="BH595" s="48"/>
      <c r="BI595" s="48"/>
      <c r="BJ595" s="48"/>
      <c r="BK595" s="48"/>
      <c r="BL595" s="48"/>
      <c r="BM595" s="48"/>
      <c r="BN595" s="48"/>
      <c r="BO595" s="48"/>
      <c r="BP595" s="48"/>
      <c r="BQ595" s="48"/>
      <c r="BR595" s="48"/>
      <c r="BS595" s="48"/>
      <c r="BT595" s="48"/>
      <c r="BU595" s="48"/>
      <c r="BV595" s="48"/>
      <c r="BW595" s="48"/>
      <c r="BX595" s="48"/>
      <c r="BY595" s="48"/>
      <c r="BZ595" s="48"/>
      <c r="CA595" s="48"/>
      <c r="CB595" s="48"/>
      <c r="CC595" s="48"/>
      <c r="CD595" s="48"/>
      <c r="CE595" s="48"/>
      <c r="CF595" s="48"/>
      <c r="CG595" s="48"/>
      <c r="CH595" s="48"/>
      <c r="CI595" s="48"/>
      <c r="CJ595" s="48"/>
      <c r="CK595" s="48"/>
      <c r="CL595" s="48"/>
      <c r="CM595" s="48"/>
      <c r="CN595" s="48"/>
      <c r="CO595" s="48"/>
      <c r="CP595" s="48"/>
      <c r="CQ595" s="48"/>
      <c r="CR595" s="48"/>
      <c r="CS595" s="48"/>
      <c r="CT595" s="48"/>
      <c r="CU595" s="48"/>
      <c r="CV595" s="48"/>
      <c r="CW595" s="48"/>
      <c r="CX595" s="48"/>
      <c r="CY595" s="48"/>
      <c r="CZ595" s="48"/>
      <c r="DA595" s="48"/>
      <c r="DB595" s="48"/>
      <c r="DC595" s="48"/>
      <c r="DD595" s="48"/>
      <c r="DE595" s="48"/>
      <c r="DF595" s="48"/>
      <c r="DG595" s="48"/>
      <c r="DH595" s="48"/>
      <c r="DI595" s="48"/>
      <c r="DJ595" s="48"/>
      <c r="DK595" s="48"/>
      <c r="DL595" s="48"/>
      <c r="DM595" s="48"/>
      <c r="DN595" s="48"/>
      <c r="DO595" s="48"/>
      <c r="DP595" s="48"/>
      <c r="DQ595" s="48"/>
      <c r="DR595" s="48"/>
      <c r="DS595" s="48"/>
    </row>
    <row r="596" spans="1:123" ht="15">
      <c r="A596"/>
      <c r="B596"/>
      <c r="C596"/>
      <c r="D596"/>
      <c r="E596"/>
      <c r="F596"/>
      <c r="G596"/>
      <c r="H596"/>
      <c r="I596"/>
      <c r="J596"/>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48"/>
      <c r="BH596" s="48"/>
      <c r="BI596" s="48"/>
      <c r="BJ596" s="48"/>
      <c r="BK596" s="48"/>
      <c r="BL596" s="48"/>
      <c r="BM596" s="48"/>
      <c r="BN596" s="48"/>
      <c r="BO596" s="48"/>
      <c r="BP596" s="48"/>
      <c r="BQ596" s="48"/>
      <c r="BR596" s="48"/>
      <c r="BS596" s="48"/>
      <c r="BT596" s="48"/>
      <c r="BU596" s="48"/>
      <c r="BV596" s="48"/>
      <c r="BW596" s="48"/>
      <c r="BX596" s="48"/>
      <c r="BY596" s="48"/>
      <c r="BZ596" s="48"/>
      <c r="CA596" s="48"/>
      <c r="CB596" s="48"/>
      <c r="CC596" s="48"/>
      <c r="CD596" s="48"/>
      <c r="CE596" s="48"/>
      <c r="CF596" s="48"/>
      <c r="CG596" s="48"/>
      <c r="CH596" s="48"/>
      <c r="CI596" s="48"/>
      <c r="CJ596" s="48"/>
      <c r="CK596" s="48"/>
      <c r="CL596" s="48"/>
      <c r="CM596" s="48"/>
      <c r="CN596" s="48"/>
      <c r="CO596" s="48"/>
      <c r="CP596" s="48"/>
      <c r="CQ596" s="48"/>
      <c r="CR596" s="48"/>
      <c r="CS596" s="48"/>
      <c r="CT596" s="48"/>
      <c r="CU596" s="48"/>
      <c r="CV596" s="48"/>
      <c r="CW596" s="48"/>
      <c r="CX596" s="48"/>
      <c r="CY596" s="48"/>
      <c r="CZ596" s="48"/>
      <c r="DA596" s="48"/>
      <c r="DB596" s="48"/>
      <c r="DC596" s="48"/>
      <c r="DD596" s="48"/>
      <c r="DE596" s="48"/>
      <c r="DF596" s="48"/>
      <c r="DG596" s="48"/>
      <c r="DH596" s="48"/>
      <c r="DI596" s="48"/>
      <c r="DJ596" s="48"/>
      <c r="DK596" s="48"/>
      <c r="DL596" s="48"/>
      <c r="DM596" s="48"/>
      <c r="DN596" s="48"/>
      <c r="DO596" s="48"/>
      <c r="DP596" s="48"/>
      <c r="DQ596" s="48"/>
      <c r="DR596" s="48"/>
      <c r="DS596" s="48"/>
    </row>
    <row r="597" spans="1:123" ht="15">
      <c r="A597"/>
      <c r="B597"/>
      <c r="C597"/>
      <c r="D597"/>
      <c r="E597"/>
      <c r="F597"/>
      <c r="G597"/>
      <c r="H597"/>
      <c r="I597"/>
      <c r="J597"/>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c r="BO597" s="48"/>
      <c r="BP597" s="48"/>
      <c r="BQ597" s="48"/>
      <c r="BR597" s="48"/>
      <c r="BS597" s="48"/>
      <c r="BT597" s="48"/>
      <c r="BU597" s="48"/>
      <c r="BV597" s="48"/>
      <c r="BW597" s="48"/>
      <c r="BX597" s="48"/>
      <c r="BY597" s="48"/>
      <c r="BZ597" s="48"/>
      <c r="CA597" s="48"/>
      <c r="CB597" s="48"/>
      <c r="CC597" s="48"/>
      <c r="CD597" s="48"/>
      <c r="CE597" s="48"/>
      <c r="CF597" s="48"/>
      <c r="CG597" s="48"/>
      <c r="CH597" s="48"/>
      <c r="CI597" s="48"/>
      <c r="CJ597" s="48"/>
      <c r="CK597" s="48"/>
      <c r="CL597" s="48"/>
      <c r="CM597" s="48"/>
      <c r="CN597" s="48"/>
      <c r="CO597" s="48"/>
      <c r="CP597" s="48"/>
      <c r="CQ597" s="48"/>
      <c r="CR597" s="48"/>
      <c r="CS597" s="48"/>
      <c r="CT597" s="48"/>
      <c r="CU597" s="48"/>
      <c r="CV597" s="48"/>
      <c r="CW597" s="48"/>
      <c r="CX597" s="48"/>
      <c r="CY597" s="48"/>
      <c r="CZ597" s="48"/>
      <c r="DA597" s="48"/>
      <c r="DB597" s="48"/>
      <c r="DC597" s="48"/>
      <c r="DD597" s="48"/>
      <c r="DE597" s="48"/>
      <c r="DF597" s="48"/>
      <c r="DG597" s="48"/>
      <c r="DH597" s="48"/>
      <c r="DI597" s="48"/>
      <c r="DJ597" s="48"/>
      <c r="DK597" s="48"/>
      <c r="DL597" s="48"/>
      <c r="DM597" s="48"/>
      <c r="DN597" s="48"/>
      <c r="DO597" s="48"/>
      <c r="DP597" s="48"/>
      <c r="DQ597" s="48"/>
      <c r="DR597" s="48"/>
      <c r="DS597" s="48"/>
    </row>
    <row r="598" spans="1:123" ht="15">
      <c r="A598"/>
      <c r="B598"/>
      <c r="C598"/>
      <c r="D598"/>
      <c r="E598"/>
      <c r="F598"/>
      <c r="G598"/>
      <c r="H598"/>
      <c r="I598"/>
      <c r="J59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8"/>
      <c r="BY598" s="48"/>
      <c r="BZ598" s="48"/>
      <c r="CA598" s="48"/>
      <c r="CB598" s="48"/>
      <c r="CC598" s="48"/>
      <c r="CD598" s="48"/>
      <c r="CE598" s="48"/>
      <c r="CF598" s="48"/>
      <c r="CG598" s="48"/>
      <c r="CH598" s="48"/>
      <c r="CI598" s="48"/>
      <c r="CJ598" s="48"/>
      <c r="CK598" s="48"/>
      <c r="CL598" s="48"/>
      <c r="CM598" s="48"/>
      <c r="CN598" s="48"/>
      <c r="CO598" s="48"/>
      <c r="CP598" s="48"/>
      <c r="CQ598" s="48"/>
      <c r="CR598" s="48"/>
      <c r="CS598" s="48"/>
      <c r="CT598" s="48"/>
      <c r="CU598" s="48"/>
      <c r="CV598" s="48"/>
      <c r="CW598" s="48"/>
      <c r="CX598" s="48"/>
      <c r="CY598" s="48"/>
      <c r="CZ598" s="48"/>
      <c r="DA598" s="48"/>
      <c r="DB598" s="48"/>
      <c r="DC598" s="48"/>
      <c r="DD598" s="48"/>
      <c r="DE598" s="48"/>
      <c r="DF598" s="48"/>
      <c r="DG598" s="48"/>
      <c r="DH598" s="48"/>
      <c r="DI598" s="48"/>
      <c r="DJ598" s="48"/>
      <c r="DK598" s="48"/>
      <c r="DL598" s="48"/>
      <c r="DM598" s="48"/>
      <c r="DN598" s="48"/>
      <c r="DO598" s="48"/>
      <c r="DP598" s="48"/>
      <c r="DQ598" s="48"/>
      <c r="DR598" s="48"/>
      <c r="DS598" s="48"/>
    </row>
    <row r="599" spans="1:123" ht="15">
      <c r="A599"/>
      <c r="B599"/>
      <c r="C599"/>
      <c r="D599"/>
      <c r="E599"/>
      <c r="F599"/>
      <c r="G599"/>
      <c r="H599"/>
      <c r="I599"/>
      <c r="J599"/>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c r="BO599" s="48"/>
      <c r="BP599" s="48"/>
      <c r="BQ599" s="48"/>
      <c r="BR599" s="48"/>
      <c r="BS599" s="48"/>
      <c r="BT599" s="48"/>
      <c r="BU599" s="48"/>
      <c r="BV599" s="48"/>
      <c r="BW599" s="48"/>
      <c r="BX599" s="48"/>
      <c r="BY599" s="48"/>
      <c r="BZ599" s="48"/>
      <c r="CA599" s="48"/>
      <c r="CB599" s="48"/>
      <c r="CC599" s="48"/>
      <c r="CD599" s="48"/>
      <c r="CE599" s="48"/>
      <c r="CF599" s="48"/>
      <c r="CG599" s="48"/>
      <c r="CH599" s="48"/>
      <c r="CI599" s="48"/>
      <c r="CJ599" s="48"/>
      <c r="CK599" s="48"/>
      <c r="CL599" s="48"/>
      <c r="CM599" s="48"/>
      <c r="CN599" s="48"/>
      <c r="CO599" s="48"/>
      <c r="CP599" s="48"/>
      <c r="CQ599" s="48"/>
      <c r="CR599" s="48"/>
      <c r="CS599" s="48"/>
      <c r="CT599" s="48"/>
      <c r="CU599" s="48"/>
      <c r="CV599" s="48"/>
      <c r="CW599" s="48"/>
      <c r="CX599" s="48"/>
      <c r="CY599" s="48"/>
      <c r="CZ599" s="48"/>
      <c r="DA599" s="48"/>
      <c r="DB599" s="48"/>
      <c r="DC599" s="48"/>
      <c r="DD599" s="48"/>
      <c r="DE599" s="48"/>
      <c r="DF599" s="48"/>
      <c r="DG599" s="48"/>
      <c r="DH599" s="48"/>
      <c r="DI599" s="48"/>
      <c r="DJ599" s="48"/>
      <c r="DK599" s="48"/>
      <c r="DL599" s="48"/>
      <c r="DM599" s="48"/>
      <c r="DN599" s="48"/>
      <c r="DO599" s="48"/>
      <c r="DP599" s="48"/>
      <c r="DQ599" s="48"/>
      <c r="DR599" s="48"/>
      <c r="DS599" s="48"/>
    </row>
    <row r="600" spans="1:123" ht="15">
      <c r="A600"/>
      <c r="B600"/>
      <c r="C600"/>
      <c r="D600"/>
      <c r="E600"/>
      <c r="F600"/>
      <c r="G600"/>
      <c r="H600"/>
      <c r="I600"/>
      <c r="J600"/>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c r="BS600" s="48"/>
      <c r="BT600" s="48"/>
      <c r="BU600" s="48"/>
      <c r="BV600" s="48"/>
      <c r="BW600" s="48"/>
      <c r="BX600" s="48"/>
      <c r="BY600" s="48"/>
      <c r="BZ600" s="48"/>
      <c r="CA600" s="48"/>
      <c r="CB600" s="48"/>
      <c r="CC600" s="48"/>
      <c r="CD600" s="48"/>
      <c r="CE600" s="48"/>
      <c r="CF600" s="48"/>
      <c r="CG600" s="48"/>
      <c r="CH600" s="48"/>
      <c r="CI600" s="48"/>
      <c r="CJ600" s="48"/>
      <c r="CK600" s="48"/>
      <c r="CL600" s="48"/>
      <c r="CM600" s="48"/>
      <c r="CN600" s="48"/>
      <c r="CO600" s="48"/>
      <c r="CP600" s="48"/>
      <c r="CQ600" s="48"/>
      <c r="CR600" s="48"/>
      <c r="CS600" s="48"/>
      <c r="CT600" s="48"/>
      <c r="CU600" s="48"/>
      <c r="CV600" s="48"/>
      <c r="CW600" s="48"/>
      <c r="CX600" s="48"/>
      <c r="CY600" s="48"/>
      <c r="CZ600" s="48"/>
      <c r="DA600" s="48"/>
      <c r="DB600" s="48"/>
      <c r="DC600" s="48"/>
      <c r="DD600" s="48"/>
      <c r="DE600" s="48"/>
      <c r="DF600" s="48"/>
      <c r="DG600" s="48"/>
      <c r="DH600" s="48"/>
      <c r="DI600" s="48"/>
      <c r="DJ600" s="48"/>
      <c r="DK600" s="48"/>
      <c r="DL600" s="48"/>
      <c r="DM600" s="48"/>
      <c r="DN600" s="48"/>
      <c r="DO600" s="48"/>
      <c r="DP600" s="48"/>
      <c r="DQ600" s="48"/>
      <c r="DR600" s="48"/>
      <c r="DS600" s="48"/>
    </row>
    <row r="601" spans="1:123" ht="15">
      <c r="A601"/>
      <c r="B601"/>
      <c r="C601"/>
      <c r="D601"/>
      <c r="E601"/>
      <c r="F601"/>
      <c r="G601"/>
      <c r="H601"/>
      <c r="I601"/>
      <c r="J601"/>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48"/>
      <c r="BJ601" s="48"/>
      <c r="BK601" s="48"/>
      <c r="BL601" s="48"/>
      <c r="BM601" s="48"/>
      <c r="BN601" s="48"/>
      <c r="BO601" s="48"/>
      <c r="BP601" s="48"/>
      <c r="BQ601" s="48"/>
      <c r="BR601" s="48"/>
      <c r="BS601" s="48"/>
      <c r="BT601" s="48"/>
      <c r="BU601" s="48"/>
      <c r="BV601" s="48"/>
      <c r="BW601" s="48"/>
      <c r="BX601" s="48"/>
      <c r="BY601" s="48"/>
      <c r="BZ601" s="48"/>
      <c r="CA601" s="48"/>
      <c r="CB601" s="48"/>
      <c r="CC601" s="48"/>
      <c r="CD601" s="48"/>
      <c r="CE601" s="48"/>
      <c r="CF601" s="48"/>
      <c r="CG601" s="48"/>
      <c r="CH601" s="48"/>
      <c r="CI601" s="48"/>
      <c r="CJ601" s="48"/>
      <c r="CK601" s="48"/>
      <c r="CL601" s="48"/>
      <c r="CM601" s="48"/>
      <c r="CN601" s="48"/>
      <c r="CO601" s="48"/>
      <c r="CP601" s="48"/>
      <c r="CQ601" s="48"/>
      <c r="CR601" s="48"/>
      <c r="CS601" s="48"/>
      <c r="CT601" s="48"/>
      <c r="CU601" s="48"/>
      <c r="CV601" s="48"/>
      <c r="CW601" s="48"/>
      <c r="CX601" s="48"/>
      <c r="CY601" s="48"/>
      <c r="CZ601" s="48"/>
      <c r="DA601" s="48"/>
      <c r="DB601" s="48"/>
      <c r="DC601" s="48"/>
      <c r="DD601" s="48"/>
      <c r="DE601" s="48"/>
      <c r="DF601" s="48"/>
      <c r="DG601" s="48"/>
      <c r="DH601" s="48"/>
      <c r="DI601" s="48"/>
      <c r="DJ601" s="48"/>
      <c r="DK601" s="48"/>
      <c r="DL601" s="48"/>
      <c r="DM601" s="48"/>
      <c r="DN601" s="48"/>
      <c r="DO601" s="48"/>
      <c r="DP601" s="48"/>
      <c r="DQ601" s="48"/>
      <c r="DR601" s="48"/>
      <c r="DS601" s="48"/>
    </row>
    <row r="602" spans="1:123" ht="15">
      <c r="A602"/>
      <c r="B602"/>
      <c r="C602"/>
      <c r="D602"/>
      <c r="E602"/>
      <c r="F602"/>
      <c r="G602"/>
      <c r="H602"/>
      <c r="I602"/>
      <c r="J602"/>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48"/>
      <c r="BJ602" s="48"/>
      <c r="BK602" s="48"/>
      <c r="BL602" s="48"/>
      <c r="BM602" s="48"/>
      <c r="BN602" s="48"/>
      <c r="BO602" s="48"/>
      <c r="BP602" s="48"/>
      <c r="BQ602" s="48"/>
      <c r="BR602" s="48"/>
      <c r="BS602" s="48"/>
      <c r="BT602" s="48"/>
      <c r="BU602" s="48"/>
      <c r="BV602" s="48"/>
      <c r="BW602" s="48"/>
      <c r="BX602" s="48"/>
      <c r="BY602" s="48"/>
      <c r="BZ602" s="48"/>
      <c r="CA602" s="48"/>
      <c r="CB602" s="48"/>
      <c r="CC602" s="48"/>
      <c r="CD602" s="48"/>
      <c r="CE602" s="48"/>
      <c r="CF602" s="48"/>
      <c r="CG602" s="48"/>
      <c r="CH602" s="48"/>
      <c r="CI602" s="48"/>
      <c r="CJ602" s="48"/>
      <c r="CK602" s="48"/>
      <c r="CL602" s="48"/>
      <c r="CM602" s="48"/>
      <c r="CN602" s="48"/>
      <c r="CO602" s="48"/>
      <c r="CP602" s="48"/>
      <c r="CQ602" s="48"/>
      <c r="CR602" s="48"/>
      <c r="CS602" s="48"/>
      <c r="CT602" s="48"/>
      <c r="CU602" s="48"/>
      <c r="CV602" s="48"/>
      <c r="CW602" s="48"/>
      <c r="CX602" s="48"/>
      <c r="CY602" s="48"/>
      <c r="CZ602" s="48"/>
      <c r="DA602" s="48"/>
      <c r="DB602" s="48"/>
      <c r="DC602" s="48"/>
      <c r="DD602" s="48"/>
      <c r="DE602" s="48"/>
      <c r="DF602" s="48"/>
      <c r="DG602" s="48"/>
      <c r="DH602" s="48"/>
      <c r="DI602" s="48"/>
      <c r="DJ602" s="48"/>
      <c r="DK602" s="48"/>
      <c r="DL602" s="48"/>
      <c r="DM602" s="48"/>
      <c r="DN602" s="48"/>
      <c r="DO602" s="48"/>
      <c r="DP602" s="48"/>
      <c r="DQ602" s="48"/>
      <c r="DR602" s="48"/>
      <c r="DS602" s="48"/>
    </row>
    <row r="603" spans="1:123" ht="15">
      <c r="A603"/>
      <c r="B603"/>
      <c r="C603"/>
      <c r="D603"/>
      <c r="E603"/>
      <c r="F603"/>
      <c r="G603"/>
      <c r="H603"/>
      <c r="I603"/>
      <c r="J603"/>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c r="BS603" s="48"/>
      <c r="BT603" s="48"/>
      <c r="BU603" s="48"/>
      <c r="BV603" s="48"/>
      <c r="BW603" s="48"/>
      <c r="BX603" s="48"/>
      <c r="BY603" s="48"/>
      <c r="BZ603" s="48"/>
      <c r="CA603" s="48"/>
      <c r="CB603" s="48"/>
      <c r="CC603" s="48"/>
      <c r="CD603" s="48"/>
      <c r="CE603" s="48"/>
      <c r="CF603" s="48"/>
      <c r="CG603" s="48"/>
      <c r="CH603" s="48"/>
      <c r="CI603" s="48"/>
      <c r="CJ603" s="48"/>
      <c r="CK603" s="48"/>
      <c r="CL603" s="48"/>
      <c r="CM603" s="48"/>
      <c r="CN603" s="48"/>
      <c r="CO603" s="48"/>
      <c r="CP603" s="48"/>
      <c r="CQ603" s="48"/>
      <c r="CR603" s="48"/>
      <c r="CS603" s="48"/>
      <c r="CT603" s="48"/>
      <c r="CU603" s="48"/>
      <c r="CV603" s="48"/>
      <c r="CW603" s="48"/>
      <c r="CX603" s="48"/>
      <c r="CY603" s="48"/>
      <c r="CZ603" s="48"/>
      <c r="DA603" s="48"/>
      <c r="DB603" s="48"/>
      <c r="DC603" s="48"/>
      <c r="DD603" s="48"/>
      <c r="DE603" s="48"/>
      <c r="DF603" s="48"/>
      <c r="DG603" s="48"/>
      <c r="DH603" s="48"/>
      <c r="DI603" s="48"/>
      <c r="DJ603" s="48"/>
      <c r="DK603" s="48"/>
      <c r="DL603" s="48"/>
      <c r="DM603" s="48"/>
      <c r="DN603" s="48"/>
      <c r="DO603" s="48"/>
      <c r="DP603" s="48"/>
      <c r="DQ603" s="48"/>
      <c r="DR603" s="48"/>
      <c r="DS603" s="48"/>
    </row>
    <row r="604" spans="1:123" ht="15">
      <c r="A604"/>
      <c r="B604"/>
      <c r="C604"/>
      <c r="D604"/>
      <c r="E604"/>
      <c r="F604"/>
      <c r="G604"/>
      <c r="H604"/>
      <c r="I604"/>
      <c r="J604"/>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c r="BS604" s="48"/>
      <c r="BT604" s="48"/>
      <c r="BU604" s="48"/>
      <c r="BV604" s="48"/>
      <c r="BW604" s="48"/>
      <c r="BX604" s="48"/>
      <c r="BY604" s="48"/>
      <c r="BZ604" s="48"/>
      <c r="CA604" s="48"/>
      <c r="CB604" s="48"/>
      <c r="CC604" s="48"/>
      <c r="CD604" s="48"/>
      <c r="CE604" s="48"/>
      <c r="CF604" s="48"/>
      <c r="CG604" s="48"/>
      <c r="CH604" s="48"/>
      <c r="CI604" s="48"/>
      <c r="CJ604" s="48"/>
      <c r="CK604" s="48"/>
      <c r="CL604" s="48"/>
      <c r="CM604" s="48"/>
      <c r="CN604" s="48"/>
      <c r="CO604" s="48"/>
      <c r="CP604" s="48"/>
      <c r="CQ604" s="48"/>
      <c r="CR604" s="48"/>
      <c r="CS604" s="48"/>
      <c r="CT604" s="48"/>
      <c r="CU604" s="48"/>
      <c r="CV604" s="48"/>
      <c r="CW604" s="48"/>
      <c r="CX604" s="48"/>
      <c r="CY604" s="48"/>
      <c r="CZ604" s="48"/>
      <c r="DA604" s="48"/>
      <c r="DB604" s="48"/>
      <c r="DC604" s="48"/>
      <c r="DD604" s="48"/>
      <c r="DE604" s="48"/>
      <c r="DF604" s="48"/>
      <c r="DG604" s="48"/>
      <c r="DH604" s="48"/>
      <c r="DI604" s="48"/>
      <c r="DJ604" s="48"/>
      <c r="DK604" s="48"/>
      <c r="DL604" s="48"/>
      <c r="DM604" s="48"/>
      <c r="DN604" s="48"/>
      <c r="DO604" s="48"/>
      <c r="DP604" s="48"/>
      <c r="DQ604" s="48"/>
      <c r="DR604" s="48"/>
      <c r="DS604" s="48"/>
    </row>
    <row r="605" spans="1:123" ht="15">
      <c r="A605"/>
      <c r="B605"/>
      <c r="C605"/>
      <c r="D605"/>
      <c r="E605"/>
      <c r="F605"/>
      <c r="G605"/>
      <c r="H605"/>
      <c r="I605"/>
      <c r="J605"/>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48"/>
      <c r="BH605" s="48"/>
      <c r="BI605" s="48"/>
      <c r="BJ605" s="48"/>
      <c r="BK605" s="48"/>
      <c r="BL605" s="48"/>
      <c r="BM605" s="48"/>
      <c r="BN605" s="48"/>
      <c r="BO605" s="48"/>
      <c r="BP605" s="48"/>
      <c r="BQ605" s="48"/>
      <c r="BR605" s="48"/>
      <c r="BS605" s="48"/>
      <c r="BT605" s="48"/>
      <c r="BU605" s="48"/>
      <c r="BV605" s="48"/>
      <c r="BW605" s="48"/>
      <c r="BX605" s="48"/>
      <c r="BY605" s="48"/>
      <c r="BZ605" s="48"/>
      <c r="CA605" s="48"/>
      <c r="CB605" s="48"/>
      <c r="CC605" s="48"/>
      <c r="CD605" s="48"/>
      <c r="CE605" s="48"/>
      <c r="CF605" s="48"/>
      <c r="CG605" s="48"/>
      <c r="CH605" s="48"/>
      <c r="CI605" s="48"/>
      <c r="CJ605" s="48"/>
      <c r="CK605" s="48"/>
      <c r="CL605" s="48"/>
      <c r="CM605" s="48"/>
      <c r="CN605" s="48"/>
      <c r="CO605" s="48"/>
      <c r="CP605" s="48"/>
      <c r="CQ605" s="48"/>
      <c r="CR605" s="48"/>
      <c r="CS605" s="48"/>
      <c r="CT605" s="48"/>
      <c r="CU605" s="48"/>
      <c r="CV605" s="48"/>
      <c r="CW605" s="48"/>
      <c r="CX605" s="48"/>
      <c r="CY605" s="48"/>
      <c r="CZ605" s="48"/>
      <c r="DA605" s="48"/>
      <c r="DB605" s="48"/>
      <c r="DC605" s="48"/>
      <c r="DD605" s="48"/>
      <c r="DE605" s="48"/>
      <c r="DF605" s="48"/>
      <c r="DG605" s="48"/>
      <c r="DH605" s="48"/>
      <c r="DI605" s="48"/>
      <c r="DJ605" s="48"/>
      <c r="DK605" s="48"/>
      <c r="DL605" s="48"/>
      <c r="DM605" s="48"/>
      <c r="DN605" s="48"/>
      <c r="DO605" s="48"/>
      <c r="DP605" s="48"/>
      <c r="DQ605" s="48"/>
      <c r="DR605" s="48"/>
      <c r="DS605" s="48"/>
    </row>
    <row r="606" spans="1:123" ht="15">
      <c r="A606"/>
      <c r="B606"/>
      <c r="C606"/>
      <c r="D606"/>
      <c r="E606"/>
      <c r="F606"/>
      <c r="G606"/>
      <c r="H606"/>
      <c r="I606"/>
      <c r="J606"/>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48"/>
      <c r="BH606" s="48"/>
      <c r="BI606" s="48"/>
      <c r="BJ606" s="48"/>
      <c r="BK606" s="48"/>
      <c r="BL606" s="48"/>
      <c r="BM606" s="48"/>
      <c r="BN606" s="48"/>
      <c r="BO606" s="48"/>
      <c r="BP606" s="48"/>
      <c r="BQ606" s="48"/>
      <c r="BR606" s="48"/>
      <c r="BS606" s="48"/>
      <c r="BT606" s="48"/>
      <c r="BU606" s="48"/>
      <c r="BV606" s="48"/>
      <c r="BW606" s="48"/>
      <c r="BX606" s="48"/>
      <c r="BY606" s="48"/>
      <c r="BZ606" s="48"/>
      <c r="CA606" s="48"/>
      <c r="CB606" s="48"/>
      <c r="CC606" s="48"/>
      <c r="CD606" s="48"/>
      <c r="CE606" s="48"/>
      <c r="CF606" s="48"/>
      <c r="CG606" s="48"/>
      <c r="CH606" s="48"/>
      <c r="CI606" s="48"/>
      <c r="CJ606" s="48"/>
      <c r="CK606" s="48"/>
      <c r="CL606" s="48"/>
      <c r="CM606" s="48"/>
      <c r="CN606" s="48"/>
      <c r="CO606" s="48"/>
      <c r="CP606" s="48"/>
      <c r="CQ606" s="48"/>
      <c r="CR606" s="48"/>
      <c r="CS606" s="48"/>
      <c r="CT606" s="48"/>
      <c r="CU606" s="48"/>
      <c r="CV606" s="48"/>
      <c r="CW606" s="48"/>
      <c r="CX606" s="48"/>
      <c r="CY606" s="48"/>
      <c r="CZ606" s="48"/>
      <c r="DA606" s="48"/>
      <c r="DB606" s="48"/>
      <c r="DC606" s="48"/>
      <c r="DD606" s="48"/>
      <c r="DE606" s="48"/>
      <c r="DF606" s="48"/>
      <c r="DG606" s="48"/>
      <c r="DH606" s="48"/>
      <c r="DI606" s="48"/>
      <c r="DJ606" s="48"/>
      <c r="DK606" s="48"/>
      <c r="DL606" s="48"/>
      <c r="DM606" s="48"/>
      <c r="DN606" s="48"/>
      <c r="DO606" s="48"/>
      <c r="DP606" s="48"/>
      <c r="DQ606" s="48"/>
      <c r="DR606" s="48"/>
      <c r="DS606" s="48"/>
    </row>
    <row r="607" spans="1:123" ht="15">
      <c r="A607"/>
      <c r="B607"/>
      <c r="C607"/>
      <c r="D607"/>
      <c r="E607"/>
      <c r="F607"/>
      <c r="G607"/>
      <c r="H607"/>
      <c r="I607"/>
      <c r="J607"/>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48"/>
      <c r="BH607" s="48"/>
      <c r="BI607" s="48"/>
      <c r="BJ607" s="48"/>
      <c r="BK607" s="48"/>
      <c r="BL607" s="48"/>
      <c r="BM607" s="48"/>
      <c r="BN607" s="48"/>
      <c r="BO607" s="48"/>
      <c r="BP607" s="48"/>
      <c r="BQ607" s="48"/>
      <c r="BR607" s="48"/>
      <c r="BS607" s="48"/>
      <c r="BT607" s="48"/>
      <c r="BU607" s="48"/>
      <c r="BV607" s="48"/>
      <c r="BW607" s="48"/>
      <c r="BX607" s="48"/>
      <c r="BY607" s="48"/>
      <c r="BZ607" s="48"/>
      <c r="CA607" s="48"/>
      <c r="CB607" s="48"/>
      <c r="CC607" s="48"/>
      <c r="CD607" s="48"/>
      <c r="CE607" s="48"/>
      <c r="CF607" s="48"/>
      <c r="CG607" s="48"/>
      <c r="CH607" s="48"/>
      <c r="CI607" s="48"/>
      <c r="CJ607" s="48"/>
      <c r="CK607" s="48"/>
      <c r="CL607" s="48"/>
      <c r="CM607" s="48"/>
      <c r="CN607" s="48"/>
      <c r="CO607" s="48"/>
      <c r="CP607" s="48"/>
      <c r="CQ607" s="48"/>
      <c r="CR607" s="48"/>
      <c r="CS607" s="48"/>
      <c r="CT607" s="48"/>
      <c r="CU607" s="48"/>
      <c r="CV607" s="48"/>
      <c r="CW607" s="48"/>
      <c r="CX607" s="48"/>
      <c r="CY607" s="48"/>
      <c r="CZ607" s="48"/>
      <c r="DA607" s="48"/>
      <c r="DB607" s="48"/>
      <c r="DC607" s="48"/>
      <c r="DD607" s="48"/>
      <c r="DE607" s="48"/>
      <c r="DF607" s="48"/>
      <c r="DG607" s="48"/>
      <c r="DH607" s="48"/>
      <c r="DI607" s="48"/>
      <c r="DJ607" s="48"/>
      <c r="DK607" s="48"/>
      <c r="DL607" s="48"/>
      <c r="DM607" s="48"/>
      <c r="DN607" s="48"/>
      <c r="DO607" s="48"/>
      <c r="DP607" s="48"/>
      <c r="DQ607" s="48"/>
      <c r="DR607" s="48"/>
      <c r="DS607" s="48"/>
    </row>
    <row r="608" spans="1:123" ht="15">
      <c r="A608"/>
      <c r="B608"/>
      <c r="C608"/>
      <c r="D608"/>
      <c r="E608"/>
      <c r="F608"/>
      <c r="G608"/>
      <c r="H608"/>
      <c r="I608"/>
      <c r="J60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c r="BS608" s="48"/>
      <c r="BT608" s="48"/>
      <c r="BU608" s="48"/>
      <c r="BV608" s="48"/>
      <c r="BW608" s="48"/>
      <c r="BX608" s="48"/>
      <c r="BY608" s="48"/>
      <c r="BZ608" s="48"/>
      <c r="CA608" s="48"/>
      <c r="CB608" s="48"/>
      <c r="CC608" s="48"/>
      <c r="CD608" s="48"/>
      <c r="CE608" s="48"/>
      <c r="CF608" s="48"/>
      <c r="CG608" s="48"/>
      <c r="CH608" s="48"/>
      <c r="CI608" s="48"/>
      <c r="CJ608" s="48"/>
      <c r="CK608" s="48"/>
      <c r="CL608" s="48"/>
      <c r="CM608" s="48"/>
      <c r="CN608" s="48"/>
      <c r="CO608" s="48"/>
      <c r="CP608" s="48"/>
      <c r="CQ608" s="48"/>
      <c r="CR608" s="48"/>
      <c r="CS608" s="48"/>
      <c r="CT608" s="48"/>
      <c r="CU608" s="48"/>
      <c r="CV608" s="48"/>
      <c r="CW608" s="48"/>
      <c r="CX608" s="48"/>
      <c r="CY608" s="48"/>
      <c r="CZ608" s="48"/>
      <c r="DA608" s="48"/>
      <c r="DB608" s="48"/>
      <c r="DC608" s="48"/>
      <c r="DD608" s="48"/>
      <c r="DE608" s="48"/>
      <c r="DF608" s="48"/>
      <c r="DG608" s="48"/>
      <c r="DH608" s="48"/>
      <c r="DI608" s="48"/>
      <c r="DJ608" s="48"/>
      <c r="DK608" s="48"/>
      <c r="DL608" s="48"/>
      <c r="DM608" s="48"/>
      <c r="DN608" s="48"/>
      <c r="DO608" s="48"/>
      <c r="DP608" s="48"/>
      <c r="DQ608" s="48"/>
      <c r="DR608" s="48"/>
      <c r="DS608" s="48"/>
    </row>
    <row r="609" spans="1:123" ht="15">
      <c r="A609"/>
      <c r="B609"/>
      <c r="C609"/>
      <c r="D609"/>
      <c r="E609"/>
      <c r="F609"/>
      <c r="G609"/>
      <c r="H609"/>
      <c r="I609"/>
      <c r="J609"/>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48"/>
      <c r="BH609" s="48"/>
      <c r="BI609" s="48"/>
      <c r="BJ609" s="48"/>
      <c r="BK609" s="48"/>
      <c r="BL609" s="48"/>
      <c r="BM609" s="48"/>
      <c r="BN609" s="48"/>
      <c r="BO609" s="48"/>
      <c r="BP609" s="48"/>
      <c r="BQ609" s="48"/>
      <c r="BR609" s="48"/>
      <c r="BS609" s="48"/>
      <c r="BT609" s="48"/>
      <c r="BU609" s="48"/>
      <c r="BV609" s="48"/>
      <c r="BW609" s="48"/>
      <c r="BX609" s="48"/>
      <c r="BY609" s="48"/>
      <c r="BZ609" s="48"/>
      <c r="CA609" s="48"/>
      <c r="CB609" s="48"/>
      <c r="CC609" s="48"/>
      <c r="CD609" s="48"/>
      <c r="CE609" s="48"/>
      <c r="CF609" s="48"/>
      <c r="CG609" s="48"/>
      <c r="CH609" s="48"/>
      <c r="CI609" s="48"/>
      <c r="CJ609" s="48"/>
      <c r="CK609" s="48"/>
      <c r="CL609" s="48"/>
      <c r="CM609" s="48"/>
      <c r="CN609" s="48"/>
      <c r="CO609" s="48"/>
      <c r="CP609" s="48"/>
      <c r="CQ609" s="48"/>
      <c r="CR609" s="48"/>
      <c r="CS609" s="48"/>
      <c r="CT609" s="48"/>
      <c r="CU609" s="48"/>
      <c r="CV609" s="48"/>
      <c r="CW609" s="48"/>
      <c r="CX609" s="48"/>
      <c r="CY609" s="48"/>
      <c r="CZ609" s="48"/>
      <c r="DA609" s="48"/>
      <c r="DB609" s="48"/>
      <c r="DC609" s="48"/>
      <c r="DD609" s="48"/>
      <c r="DE609" s="48"/>
      <c r="DF609" s="48"/>
      <c r="DG609" s="48"/>
      <c r="DH609" s="48"/>
      <c r="DI609" s="48"/>
      <c r="DJ609" s="48"/>
      <c r="DK609" s="48"/>
      <c r="DL609" s="48"/>
      <c r="DM609" s="48"/>
      <c r="DN609" s="48"/>
      <c r="DO609" s="48"/>
      <c r="DP609" s="48"/>
      <c r="DQ609" s="48"/>
      <c r="DR609" s="48"/>
      <c r="DS609" s="48"/>
    </row>
    <row r="610" spans="1:123" ht="15">
      <c r="A610"/>
      <c r="B610"/>
      <c r="C610"/>
      <c r="D610"/>
      <c r="E610"/>
      <c r="F610"/>
      <c r="G610"/>
      <c r="H610"/>
      <c r="I610"/>
      <c r="J610"/>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c r="BS610" s="48"/>
      <c r="BT610" s="48"/>
      <c r="BU610" s="48"/>
      <c r="BV610" s="48"/>
      <c r="BW610" s="48"/>
      <c r="BX610" s="48"/>
      <c r="BY610" s="48"/>
      <c r="BZ610" s="48"/>
      <c r="CA610" s="48"/>
      <c r="CB610" s="48"/>
      <c r="CC610" s="48"/>
      <c r="CD610" s="48"/>
      <c r="CE610" s="48"/>
      <c r="CF610" s="48"/>
      <c r="CG610" s="48"/>
      <c r="CH610" s="48"/>
      <c r="CI610" s="48"/>
      <c r="CJ610" s="48"/>
      <c r="CK610" s="48"/>
      <c r="CL610" s="48"/>
      <c r="CM610" s="48"/>
      <c r="CN610" s="48"/>
      <c r="CO610" s="48"/>
      <c r="CP610" s="48"/>
      <c r="CQ610" s="48"/>
      <c r="CR610" s="48"/>
      <c r="CS610" s="48"/>
      <c r="CT610" s="48"/>
      <c r="CU610" s="48"/>
      <c r="CV610" s="48"/>
      <c r="CW610" s="48"/>
      <c r="CX610" s="48"/>
      <c r="CY610" s="48"/>
      <c r="CZ610" s="48"/>
      <c r="DA610" s="48"/>
      <c r="DB610" s="48"/>
      <c r="DC610" s="48"/>
      <c r="DD610" s="48"/>
      <c r="DE610" s="48"/>
      <c r="DF610" s="48"/>
      <c r="DG610" s="48"/>
      <c r="DH610" s="48"/>
      <c r="DI610" s="48"/>
      <c r="DJ610" s="48"/>
      <c r="DK610" s="48"/>
      <c r="DL610" s="48"/>
      <c r="DM610" s="48"/>
      <c r="DN610" s="48"/>
      <c r="DO610" s="48"/>
      <c r="DP610" s="48"/>
      <c r="DQ610" s="48"/>
      <c r="DR610" s="48"/>
      <c r="DS610" s="48"/>
    </row>
    <row r="611" spans="1:123" ht="15">
      <c r="A611"/>
      <c r="B611"/>
      <c r="C611"/>
      <c r="D611"/>
      <c r="E611"/>
      <c r="F611"/>
      <c r="G611"/>
      <c r="H611"/>
      <c r="I611"/>
      <c r="J611"/>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48"/>
      <c r="BH611" s="48"/>
      <c r="BI611" s="48"/>
      <c r="BJ611" s="48"/>
      <c r="BK611" s="48"/>
      <c r="BL611" s="48"/>
      <c r="BM611" s="48"/>
      <c r="BN611" s="48"/>
      <c r="BO611" s="48"/>
      <c r="BP611" s="48"/>
      <c r="BQ611" s="48"/>
      <c r="BR611" s="48"/>
      <c r="BS611" s="48"/>
      <c r="BT611" s="48"/>
      <c r="BU611" s="48"/>
      <c r="BV611" s="48"/>
      <c r="BW611" s="48"/>
      <c r="BX611" s="48"/>
      <c r="BY611" s="48"/>
      <c r="BZ611" s="48"/>
      <c r="CA611" s="48"/>
      <c r="CB611" s="48"/>
      <c r="CC611" s="48"/>
      <c r="CD611" s="48"/>
      <c r="CE611" s="48"/>
      <c r="CF611" s="48"/>
      <c r="CG611" s="48"/>
      <c r="CH611" s="48"/>
      <c r="CI611" s="48"/>
      <c r="CJ611" s="48"/>
      <c r="CK611" s="48"/>
      <c r="CL611" s="48"/>
      <c r="CM611" s="48"/>
      <c r="CN611" s="48"/>
      <c r="CO611" s="48"/>
      <c r="CP611" s="48"/>
      <c r="CQ611" s="48"/>
      <c r="CR611" s="48"/>
      <c r="CS611" s="48"/>
      <c r="CT611" s="48"/>
      <c r="CU611" s="48"/>
      <c r="CV611" s="48"/>
      <c r="CW611" s="48"/>
      <c r="CX611" s="48"/>
      <c r="CY611" s="48"/>
      <c r="CZ611" s="48"/>
      <c r="DA611" s="48"/>
      <c r="DB611" s="48"/>
      <c r="DC611" s="48"/>
      <c r="DD611" s="48"/>
      <c r="DE611" s="48"/>
      <c r="DF611" s="48"/>
      <c r="DG611" s="48"/>
      <c r="DH611" s="48"/>
      <c r="DI611" s="48"/>
      <c r="DJ611" s="48"/>
      <c r="DK611" s="48"/>
      <c r="DL611" s="48"/>
      <c r="DM611" s="48"/>
      <c r="DN611" s="48"/>
      <c r="DO611" s="48"/>
      <c r="DP611" s="48"/>
      <c r="DQ611" s="48"/>
      <c r="DR611" s="48"/>
      <c r="DS611" s="48"/>
    </row>
    <row r="612" spans="1:123" ht="15">
      <c r="A612"/>
      <c r="B612"/>
      <c r="C612"/>
      <c r="D612"/>
      <c r="E612"/>
      <c r="F612"/>
      <c r="G612"/>
      <c r="H612"/>
      <c r="I612"/>
      <c r="J612"/>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48"/>
      <c r="BH612" s="48"/>
      <c r="BI612" s="48"/>
      <c r="BJ612" s="48"/>
      <c r="BK612" s="48"/>
      <c r="BL612" s="48"/>
      <c r="BM612" s="48"/>
      <c r="BN612" s="48"/>
      <c r="BO612" s="48"/>
      <c r="BP612" s="48"/>
      <c r="BQ612" s="48"/>
      <c r="BR612" s="48"/>
      <c r="BS612" s="48"/>
      <c r="BT612" s="48"/>
      <c r="BU612" s="48"/>
      <c r="BV612" s="48"/>
      <c r="BW612" s="48"/>
      <c r="BX612" s="48"/>
      <c r="BY612" s="48"/>
      <c r="BZ612" s="48"/>
      <c r="CA612" s="48"/>
      <c r="CB612" s="48"/>
      <c r="CC612" s="48"/>
      <c r="CD612" s="48"/>
      <c r="CE612" s="48"/>
      <c r="CF612" s="48"/>
      <c r="CG612" s="48"/>
      <c r="CH612" s="48"/>
      <c r="CI612" s="48"/>
      <c r="CJ612" s="48"/>
      <c r="CK612" s="48"/>
      <c r="CL612" s="48"/>
      <c r="CM612" s="48"/>
      <c r="CN612" s="48"/>
      <c r="CO612" s="48"/>
      <c r="CP612" s="48"/>
      <c r="CQ612" s="48"/>
      <c r="CR612" s="48"/>
      <c r="CS612" s="48"/>
      <c r="CT612" s="48"/>
      <c r="CU612" s="48"/>
      <c r="CV612" s="48"/>
      <c r="CW612" s="48"/>
      <c r="CX612" s="48"/>
      <c r="CY612" s="48"/>
      <c r="CZ612" s="48"/>
      <c r="DA612" s="48"/>
      <c r="DB612" s="48"/>
      <c r="DC612" s="48"/>
      <c r="DD612" s="48"/>
      <c r="DE612" s="48"/>
      <c r="DF612" s="48"/>
      <c r="DG612" s="48"/>
      <c r="DH612" s="48"/>
      <c r="DI612" s="48"/>
      <c r="DJ612" s="48"/>
      <c r="DK612" s="48"/>
      <c r="DL612" s="48"/>
      <c r="DM612" s="48"/>
      <c r="DN612" s="48"/>
      <c r="DO612" s="48"/>
      <c r="DP612" s="48"/>
      <c r="DQ612" s="48"/>
      <c r="DR612" s="48"/>
      <c r="DS612" s="48"/>
    </row>
    <row r="613" spans="1:123" ht="15">
      <c r="A613"/>
      <c r="B613"/>
      <c r="C613"/>
      <c r="D613"/>
      <c r="E613"/>
      <c r="F613"/>
      <c r="G613"/>
      <c r="H613"/>
      <c r="I613"/>
      <c r="J613"/>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48"/>
      <c r="BH613" s="48"/>
      <c r="BI613" s="48"/>
      <c r="BJ613" s="48"/>
      <c r="BK613" s="48"/>
      <c r="BL613" s="48"/>
      <c r="BM613" s="48"/>
      <c r="BN613" s="48"/>
      <c r="BO613" s="48"/>
      <c r="BP613" s="48"/>
      <c r="BQ613" s="48"/>
      <c r="BR613" s="48"/>
      <c r="BS613" s="48"/>
      <c r="BT613" s="48"/>
      <c r="BU613" s="48"/>
      <c r="BV613" s="48"/>
      <c r="BW613" s="48"/>
      <c r="BX613" s="48"/>
      <c r="BY613" s="48"/>
      <c r="BZ613" s="48"/>
      <c r="CA613" s="48"/>
      <c r="CB613" s="48"/>
      <c r="CC613" s="48"/>
      <c r="CD613" s="48"/>
      <c r="CE613" s="48"/>
      <c r="CF613" s="48"/>
      <c r="CG613" s="48"/>
      <c r="CH613" s="48"/>
      <c r="CI613" s="48"/>
      <c r="CJ613" s="48"/>
      <c r="CK613" s="48"/>
      <c r="CL613" s="48"/>
      <c r="CM613" s="48"/>
      <c r="CN613" s="48"/>
      <c r="CO613" s="48"/>
      <c r="CP613" s="48"/>
      <c r="CQ613" s="48"/>
      <c r="CR613" s="48"/>
      <c r="CS613" s="48"/>
      <c r="CT613" s="48"/>
      <c r="CU613" s="48"/>
      <c r="CV613" s="48"/>
      <c r="CW613" s="48"/>
      <c r="CX613" s="48"/>
      <c r="CY613" s="48"/>
      <c r="CZ613" s="48"/>
      <c r="DA613" s="48"/>
      <c r="DB613" s="48"/>
      <c r="DC613" s="48"/>
      <c r="DD613" s="48"/>
      <c r="DE613" s="48"/>
      <c r="DF613" s="48"/>
      <c r="DG613" s="48"/>
      <c r="DH613" s="48"/>
      <c r="DI613" s="48"/>
      <c r="DJ613" s="48"/>
      <c r="DK613" s="48"/>
      <c r="DL613" s="48"/>
      <c r="DM613" s="48"/>
      <c r="DN613" s="48"/>
      <c r="DO613" s="48"/>
      <c r="DP613" s="48"/>
      <c r="DQ613" s="48"/>
      <c r="DR613" s="48"/>
      <c r="DS613" s="48"/>
    </row>
    <row r="614" spans="1:123" ht="15">
      <c r="A614"/>
      <c r="B614"/>
      <c r="C614"/>
      <c r="D614"/>
      <c r="E614"/>
      <c r="F614"/>
      <c r="G614"/>
      <c r="H614"/>
      <c r="I614"/>
      <c r="J614"/>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48"/>
      <c r="BH614" s="48"/>
      <c r="BI614" s="48"/>
      <c r="BJ614" s="48"/>
      <c r="BK614" s="48"/>
      <c r="BL614" s="48"/>
      <c r="BM614" s="48"/>
      <c r="BN614" s="48"/>
      <c r="BO614" s="48"/>
      <c r="BP614" s="48"/>
      <c r="BQ614" s="48"/>
      <c r="BR614" s="48"/>
      <c r="BS614" s="48"/>
      <c r="BT614" s="48"/>
      <c r="BU614" s="48"/>
      <c r="BV614" s="48"/>
      <c r="BW614" s="48"/>
      <c r="BX614" s="48"/>
      <c r="BY614" s="48"/>
      <c r="BZ614" s="48"/>
      <c r="CA614" s="48"/>
      <c r="CB614" s="48"/>
      <c r="CC614" s="48"/>
      <c r="CD614" s="48"/>
      <c r="CE614" s="48"/>
      <c r="CF614" s="48"/>
      <c r="CG614" s="48"/>
      <c r="CH614" s="48"/>
      <c r="CI614" s="48"/>
      <c r="CJ614" s="48"/>
      <c r="CK614" s="48"/>
      <c r="CL614" s="48"/>
      <c r="CM614" s="48"/>
      <c r="CN614" s="48"/>
      <c r="CO614" s="48"/>
      <c r="CP614" s="48"/>
      <c r="CQ614" s="48"/>
      <c r="CR614" s="48"/>
      <c r="CS614" s="48"/>
      <c r="CT614" s="48"/>
      <c r="CU614" s="48"/>
      <c r="CV614" s="48"/>
      <c r="CW614" s="48"/>
      <c r="CX614" s="48"/>
      <c r="CY614" s="48"/>
      <c r="CZ614" s="48"/>
      <c r="DA614" s="48"/>
      <c r="DB614" s="48"/>
      <c r="DC614" s="48"/>
      <c r="DD614" s="48"/>
      <c r="DE614" s="48"/>
      <c r="DF614" s="48"/>
      <c r="DG614" s="48"/>
      <c r="DH614" s="48"/>
      <c r="DI614" s="48"/>
      <c r="DJ614" s="48"/>
      <c r="DK614" s="48"/>
      <c r="DL614" s="48"/>
      <c r="DM614" s="48"/>
      <c r="DN614" s="48"/>
      <c r="DO614" s="48"/>
      <c r="DP614" s="48"/>
      <c r="DQ614" s="48"/>
      <c r="DR614" s="48"/>
      <c r="DS614" s="48"/>
    </row>
    <row r="615" spans="1:123" ht="15">
      <c r="A615"/>
      <c r="B615"/>
      <c r="C615"/>
      <c r="D615"/>
      <c r="E615"/>
      <c r="F615"/>
      <c r="G615"/>
      <c r="H615"/>
      <c r="I615"/>
      <c r="J615"/>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48"/>
      <c r="BH615" s="48"/>
      <c r="BI615" s="48"/>
      <c r="BJ615" s="48"/>
      <c r="BK615" s="48"/>
      <c r="BL615" s="48"/>
      <c r="BM615" s="48"/>
      <c r="BN615" s="48"/>
      <c r="BO615" s="48"/>
      <c r="BP615" s="48"/>
      <c r="BQ615" s="48"/>
      <c r="BR615" s="48"/>
      <c r="BS615" s="48"/>
      <c r="BT615" s="48"/>
      <c r="BU615" s="48"/>
      <c r="BV615" s="48"/>
      <c r="BW615" s="48"/>
      <c r="BX615" s="48"/>
      <c r="BY615" s="48"/>
      <c r="BZ615" s="48"/>
      <c r="CA615" s="48"/>
      <c r="CB615" s="48"/>
      <c r="CC615" s="48"/>
      <c r="CD615" s="48"/>
      <c r="CE615" s="48"/>
      <c r="CF615" s="48"/>
      <c r="CG615" s="48"/>
      <c r="CH615" s="48"/>
      <c r="CI615" s="48"/>
      <c r="CJ615" s="48"/>
      <c r="CK615" s="48"/>
      <c r="CL615" s="48"/>
      <c r="CM615" s="48"/>
      <c r="CN615" s="48"/>
      <c r="CO615" s="48"/>
      <c r="CP615" s="48"/>
      <c r="CQ615" s="48"/>
      <c r="CR615" s="48"/>
      <c r="CS615" s="48"/>
      <c r="CT615" s="48"/>
      <c r="CU615" s="48"/>
      <c r="CV615" s="48"/>
      <c r="CW615" s="48"/>
      <c r="CX615" s="48"/>
      <c r="CY615" s="48"/>
      <c r="CZ615" s="48"/>
      <c r="DA615" s="48"/>
      <c r="DB615" s="48"/>
      <c r="DC615" s="48"/>
      <c r="DD615" s="48"/>
      <c r="DE615" s="48"/>
      <c r="DF615" s="48"/>
      <c r="DG615" s="48"/>
      <c r="DH615" s="48"/>
      <c r="DI615" s="48"/>
      <c r="DJ615" s="48"/>
      <c r="DK615" s="48"/>
      <c r="DL615" s="48"/>
      <c r="DM615" s="48"/>
      <c r="DN615" s="48"/>
      <c r="DO615" s="48"/>
      <c r="DP615" s="48"/>
      <c r="DQ615" s="48"/>
      <c r="DR615" s="48"/>
      <c r="DS615" s="48"/>
    </row>
    <row r="616" spans="1:123" ht="15">
      <c r="A616"/>
      <c r="B616"/>
      <c r="C616"/>
      <c r="D616"/>
      <c r="E616"/>
      <c r="F616"/>
      <c r="G616"/>
      <c r="H616"/>
      <c r="I616"/>
      <c r="J616"/>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c r="BS616" s="48"/>
      <c r="BT616" s="48"/>
      <c r="BU616" s="48"/>
      <c r="BV616" s="48"/>
      <c r="BW616" s="48"/>
      <c r="BX616" s="48"/>
      <c r="BY616" s="48"/>
      <c r="BZ616" s="48"/>
      <c r="CA616" s="48"/>
      <c r="CB616" s="48"/>
      <c r="CC616" s="48"/>
      <c r="CD616" s="48"/>
      <c r="CE616" s="48"/>
      <c r="CF616" s="48"/>
      <c r="CG616" s="48"/>
      <c r="CH616" s="48"/>
      <c r="CI616" s="48"/>
      <c r="CJ616" s="48"/>
      <c r="CK616" s="48"/>
      <c r="CL616" s="48"/>
      <c r="CM616" s="48"/>
      <c r="CN616" s="48"/>
      <c r="CO616" s="48"/>
      <c r="CP616" s="48"/>
      <c r="CQ616" s="48"/>
      <c r="CR616" s="48"/>
      <c r="CS616" s="48"/>
      <c r="CT616" s="48"/>
      <c r="CU616" s="48"/>
      <c r="CV616" s="48"/>
      <c r="CW616" s="48"/>
      <c r="CX616" s="48"/>
      <c r="CY616" s="48"/>
      <c r="CZ616" s="48"/>
      <c r="DA616" s="48"/>
      <c r="DB616" s="48"/>
      <c r="DC616" s="48"/>
      <c r="DD616" s="48"/>
      <c r="DE616" s="48"/>
      <c r="DF616" s="48"/>
      <c r="DG616" s="48"/>
      <c r="DH616" s="48"/>
      <c r="DI616" s="48"/>
      <c r="DJ616" s="48"/>
      <c r="DK616" s="48"/>
      <c r="DL616" s="48"/>
      <c r="DM616" s="48"/>
      <c r="DN616" s="48"/>
      <c r="DO616" s="48"/>
      <c r="DP616" s="48"/>
      <c r="DQ616" s="48"/>
      <c r="DR616" s="48"/>
      <c r="DS616" s="48"/>
    </row>
    <row r="617" spans="1:123" ht="15">
      <c r="A617"/>
      <c r="B617"/>
      <c r="C617"/>
      <c r="D617"/>
      <c r="E617"/>
      <c r="F617"/>
      <c r="G617"/>
      <c r="H617"/>
      <c r="I617"/>
      <c r="J617"/>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48"/>
      <c r="BH617" s="48"/>
      <c r="BI617" s="48"/>
      <c r="BJ617" s="48"/>
      <c r="BK617" s="48"/>
      <c r="BL617" s="48"/>
      <c r="BM617" s="48"/>
      <c r="BN617" s="48"/>
      <c r="BO617" s="48"/>
      <c r="BP617" s="48"/>
      <c r="BQ617" s="48"/>
      <c r="BR617" s="48"/>
      <c r="BS617" s="48"/>
      <c r="BT617" s="48"/>
      <c r="BU617" s="48"/>
      <c r="BV617" s="48"/>
      <c r="BW617" s="48"/>
      <c r="BX617" s="48"/>
      <c r="BY617" s="48"/>
      <c r="BZ617" s="48"/>
      <c r="CA617" s="48"/>
      <c r="CB617" s="48"/>
      <c r="CC617" s="48"/>
      <c r="CD617" s="48"/>
      <c r="CE617" s="48"/>
      <c r="CF617" s="48"/>
      <c r="CG617" s="48"/>
      <c r="CH617" s="48"/>
      <c r="CI617" s="48"/>
      <c r="CJ617" s="48"/>
      <c r="CK617" s="48"/>
      <c r="CL617" s="48"/>
      <c r="CM617" s="48"/>
      <c r="CN617" s="48"/>
      <c r="CO617" s="48"/>
      <c r="CP617" s="48"/>
      <c r="CQ617" s="48"/>
      <c r="CR617" s="48"/>
      <c r="CS617" s="48"/>
      <c r="CT617" s="48"/>
      <c r="CU617" s="48"/>
      <c r="CV617" s="48"/>
      <c r="CW617" s="48"/>
      <c r="CX617" s="48"/>
      <c r="CY617" s="48"/>
      <c r="CZ617" s="48"/>
      <c r="DA617" s="48"/>
      <c r="DB617" s="48"/>
      <c r="DC617" s="48"/>
      <c r="DD617" s="48"/>
      <c r="DE617" s="48"/>
      <c r="DF617" s="48"/>
      <c r="DG617" s="48"/>
      <c r="DH617" s="48"/>
      <c r="DI617" s="48"/>
      <c r="DJ617" s="48"/>
      <c r="DK617" s="48"/>
      <c r="DL617" s="48"/>
      <c r="DM617" s="48"/>
      <c r="DN617" s="48"/>
      <c r="DO617" s="48"/>
      <c r="DP617" s="48"/>
      <c r="DQ617" s="48"/>
      <c r="DR617" s="48"/>
      <c r="DS617" s="48"/>
    </row>
    <row r="618" spans="1:123" ht="15">
      <c r="A618"/>
      <c r="B618"/>
      <c r="C618"/>
      <c r="D618"/>
      <c r="E618"/>
      <c r="F618"/>
      <c r="G618"/>
      <c r="H618"/>
      <c r="I618"/>
      <c r="J61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48"/>
      <c r="BH618" s="48"/>
      <c r="BI618" s="48"/>
      <c r="BJ618" s="48"/>
      <c r="BK618" s="48"/>
      <c r="BL618" s="48"/>
      <c r="BM618" s="48"/>
      <c r="BN618" s="48"/>
      <c r="BO618" s="48"/>
      <c r="BP618" s="48"/>
      <c r="BQ618" s="48"/>
      <c r="BR618" s="48"/>
      <c r="BS618" s="48"/>
      <c r="BT618" s="48"/>
      <c r="BU618" s="48"/>
      <c r="BV618" s="48"/>
      <c r="BW618" s="48"/>
      <c r="BX618" s="48"/>
      <c r="BY618" s="48"/>
      <c r="BZ618" s="48"/>
      <c r="CA618" s="48"/>
      <c r="CB618" s="48"/>
      <c r="CC618" s="48"/>
      <c r="CD618" s="48"/>
      <c r="CE618" s="48"/>
      <c r="CF618" s="48"/>
      <c r="CG618" s="48"/>
      <c r="CH618" s="48"/>
      <c r="CI618" s="48"/>
      <c r="CJ618" s="48"/>
      <c r="CK618" s="48"/>
      <c r="CL618" s="48"/>
      <c r="CM618" s="48"/>
      <c r="CN618" s="48"/>
      <c r="CO618" s="48"/>
      <c r="CP618" s="48"/>
      <c r="CQ618" s="48"/>
      <c r="CR618" s="48"/>
      <c r="CS618" s="48"/>
      <c r="CT618" s="48"/>
      <c r="CU618" s="48"/>
      <c r="CV618" s="48"/>
      <c r="CW618" s="48"/>
      <c r="CX618" s="48"/>
      <c r="CY618" s="48"/>
      <c r="CZ618" s="48"/>
      <c r="DA618" s="48"/>
      <c r="DB618" s="48"/>
      <c r="DC618" s="48"/>
      <c r="DD618" s="48"/>
      <c r="DE618" s="48"/>
      <c r="DF618" s="48"/>
      <c r="DG618" s="48"/>
      <c r="DH618" s="48"/>
      <c r="DI618" s="48"/>
      <c r="DJ618" s="48"/>
      <c r="DK618" s="48"/>
      <c r="DL618" s="48"/>
      <c r="DM618" s="48"/>
      <c r="DN618" s="48"/>
      <c r="DO618" s="48"/>
      <c r="DP618" s="48"/>
      <c r="DQ618" s="48"/>
      <c r="DR618" s="48"/>
      <c r="DS618" s="48"/>
    </row>
    <row r="619" spans="1:123" ht="15">
      <c r="A619"/>
      <c r="B619"/>
      <c r="C619"/>
      <c r="D619"/>
      <c r="E619"/>
      <c r="F619"/>
      <c r="G619"/>
      <c r="H619"/>
      <c r="I619"/>
      <c r="J619"/>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48"/>
      <c r="BH619" s="48"/>
      <c r="BI619" s="48"/>
      <c r="BJ619" s="48"/>
      <c r="BK619" s="48"/>
      <c r="BL619" s="48"/>
      <c r="BM619" s="48"/>
      <c r="BN619" s="48"/>
      <c r="BO619" s="48"/>
      <c r="BP619" s="48"/>
      <c r="BQ619" s="48"/>
      <c r="BR619" s="48"/>
      <c r="BS619" s="48"/>
      <c r="BT619" s="48"/>
      <c r="BU619" s="48"/>
      <c r="BV619" s="48"/>
      <c r="BW619" s="48"/>
      <c r="BX619" s="48"/>
      <c r="BY619" s="48"/>
      <c r="BZ619" s="48"/>
      <c r="CA619" s="48"/>
      <c r="CB619" s="48"/>
      <c r="CC619" s="48"/>
      <c r="CD619" s="48"/>
      <c r="CE619" s="48"/>
      <c r="CF619" s="48"/>
      <c r="CG619" s="48"/>
      <c r="CH619" s="48"/>
      <c r="CI619" s="48"/>
      <c r="CJ619" s="48"/>
      <c r="CK619" s="48"/>
      <c r="CL619" s="48"/>
      <c r="CM619" s="48"/>
      <c r="CN619" s="48"/>
      <c r="CO619" s="48"/>
      <c r="CP619" s="48"/>
      <c r="CQ619" s="48"/>
      <c r="CR619" s="48"/>
      <c r="CS619" s="48"/>
      <c r="CT619" s="48"/>
      <c r="CU619" s="48"/>
      <c r="CV619" s="48"/>
      <c r="CW619" s="48"/>
      <c r="CX619" s="48"/>
      <c r="CY619" s="48"/>
      <c r="CZ619" s="48"/>
      <c r="DA619" s="48"/>
      <c r="DB619" s="48"/>
      <c r="DC619" s="48"/>
      <c r="DD619" s="48"/>
      <c r="DE619" s="48"/>
      <c r="DF619" s="48"/>
      <c r="DG619" s="48"/>
      <c r="DH619" s="48"/>
      <c r="DI619" s="48"/>
      <c r="DJ619" s="48"/>
      <c r="DK619" s="48"/>
      <c r="DL619" s="48"/>
      <c r="DM619" s="48"/>
      <c r="DN619" s="48"/>
      <c r="DO619" s="48"/>
      <c r="DP619" s="48"/>
      <c r="DQ619" s="48"/>
      <c r="DR619" s="48"/>
      <c r="DS619" s="48"/>
    </row>
    <row r="620" spans="1:123" ht="15">
      <c r="A620"/>
      <c r="B620"/>
      <c r="C620"/>
      <c r="D620"/>
      <c r="E620"/>
      <c r="F620"/>
      <c r="G620"/>
      <c r="H620"/>
      <c r="I620"/>
      <c r="J620"/>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48"/>
      <c r="BH620" s="48"/>
      <c r="BI620" s="48"/>
      <c r="BJ620" s="48"/>
      <c r="BK620" s="48"/>
      <c r="BL620" s="48"/>
      <c r="BM620" s="48"/>
      <c r="BN620" s="48"/>
      <c r="BO620" s="48"/>
      <c r="BP620" s="48"/>
      <c r="BQ620" s="48"/>
      <c r="BR620" s="48"/>
      <c r="BS620" s="48"/>
      <c r="BT620" s="48"/>
      <c r="BU620" s="48"/>
      <c r="BV620" s="48"/>
      <c r="BW620" s="48"/>
      <c r="BX620" s="48"/>
      <c r="BY620" s="48"/>
      <c r="BZ620" s="48"/>
      <c r="CA620" s="48"/>
      <c r="CB620" s="48"/>
      <c r="CC620" s="48"/>
      <c r="CD620" s="48"/>
      <c r="CE620" s="48"/>
      <c r="CF620" s="48"/>
      <c r="CG620" s="48"/>
      <c r="CH620" s="48"/>
      <c r="CI620" s="48"/>
      <c r="CJ620" s="48"/>
      <c r="CK620" s="48"/>
      <c r="CL620" s="48"/>
      <c r="CM620" s="48"/>
      <c r="CN620" s="48"/>
      <c r="CO620" s="48"/>
      <c r="CP620" s="48"/>
      <c r="CQ620" s="48"/>
      <c r="CR620" s="48"/>
      <c r="CS620" s="48"/>
      <c r="CT620" s="48"/>
      <c r="CU620" s="48"/>
      <c r="CV620" s="48"/>
      <c r="CW620" s="48"/>
      <c r="CX620" s="48"/>
      <c r="CY620" s="48"/>
      <c r="CZ620" s="48"/>
      <c r="DA620" s="48"/>
      <c r="DB620" s="48"/>
      <c r="DC620" s="48"/>
      <c r="DD620" s="48"/>
      <c r="DE620" s="48"/>
      <c r="DF620" s="48"/>
      <c r="DG620" s="48"/>
      <c r="DH620" s="48"/>
      <c r="DI620" s="48"/>
      <c r="DJ620" s="48"/>
      <c r="DK620" s="48"/>
      <c r="DL620" s="48"/>
      <c r="DM620" s="48"/>
      <c r="DN620" s="48"/>
      <c r="DO620" s="48"/>
      <c r="DP620" s="48"/>
      <c r="DQ620" s="48"/>
      <c r="DR620" s="48"/>
      <c r="DS620" s="48"/>
    </row>
    <row r="621" spans="1:123" ht="15">
      <c r="A621"/>
      <c r="B621"/>
      <c r="C621"/>
      <c r="D621"/>
      <c r="E621"/>
      <c r="F621"/>
      <c r="G621"/>
      <c r="H621"/>
      <c r="I621"/>
      <c r="J621"/>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48"/>
      <c r="BH621" s="48"/>
      <c r="BI621" s="48"/>
      <c r="BJ621" s="48"/>
      <c r="BK621" s="48"/>
      <c r="BL621" s="48"/>
      <c r="BM621" s="48"/>
      <c r="BN621" s="48"/>
      <c r="BO621" s="48"/>
      <c r="BP621" s="48"/>
      <c r="BQ621" s="48"/>
      <c r="BR621" s="48"/>
      <c r="BS621" s="48"/>
      <c r="BT621" s="48"/>
      <c r="BU621" s="48"/>
      <c r="BV621" s="48"/>
      <c r="BW621" s="48"/>
      <c r="BX621" s="48"/>
      <c r="BY621" s="48"/>
      <c r="BZ621" s="48"/>
      <c r="CA621" s="48"/>
      <c r="CB621" s="48"/>
      <c r="CC621" s="48"/>
      <c r="CD621" s="48"/>
      <c r="CE621" s="48"/>
      <c r="CF621" s="48"/>
      <c r="CG621" s="48"/>
      <c r="CH621" s="48"/>
      <c r="CI621" s="48"/>
      <c r="CJ621" s="48"/>
      <c r="CK621" s="48"/>
      <c r="CL621" s="48"/>
      <c r="CM621" s="48"/>
      <c r="CN621" s="48"/>
      <c r="CO621" s="48"/>
      <c r="CP621" s="48"/>
      <c r="CQ621" s="48"/>
      <c r="CR621" s="48"/>
      <c r="CS621" s="48"/>
      <c r="CT621" s="48"/>
      <c r="CU621" s="48"/>
      <c r="CV621" s="48"/>
      <c r="CW621" s="48"/>
      <c r="CX621" s="48"/>
      <c r="CY621" s="48"/>
      <c r="CZ621" s="48"/>
      <c r="DA621" s="48"/>
      <c r="DB621" s="48"/>
      <c r="DC621" s="48"/>
      <c r="DD621" s="48"/>
      <c r="DE621" s="48"/>
      <c r="DF621" s="48"/>
      <c r="DG621" s="48"/>
      <c r="DH621" s="48"/>
      <c r="DI621" s="48"/>
      <c r="DJ621" s="48"/>
      <c r="DK621" s="48"/>
      <c r="DL621" s="48"/>
      <c r="DM621" s="48"/>
      <c r="DN621" s="48"/>
      <c r="DO621" s="48"/>
      <c r="DP621" s="48"/>
      <c r="DQ621" s="48"/>
      <c r="DR621" s="48"/>
      <c r="DS621" s="48"/>
    </row>
    <row r="622" spans="1:123" ht="15">
      <c r="A622"/>
      <c r="B622"/>
      <c r="C622"/>
      <c r="D622"/>
      <c r="E622"/>
      <c r="F622"/>
      <c r="G622"/>
      <c r="H622"/>
      <c r="I622"/>
      <c r="J622"/>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48"/>
      <c r="BH622" s="48"/>
      <c r="BI622" s="48"/>
      <c r="BJ622" s="48"/>
      <c r="BK622" s="48"/>
      <c r="BL622" s="48"/>
      <c r="BM622" s="48"/>
      <c r="BN622" s="48"/>
      <c r="BO622" s="48"/>
      <c r="BP622" s="48"/>
      <c r="BQ622" s="48"/>
      <c r="BR622" s="48"/>
      <c r="BS622" s="48"/>
      <c r="BT622" s="48"/>
      <c r="BU622" s="48"/>
      <c r="BV622" s="48"/>
      <c r="BW622" s="48"/>
      <c r="BX622" s="48"/>
      <c r="BY622" s="48"/>
      <c r="BZ622" s="48"/>
      <c r="CA622" s="48"/>
      <c r="CB622" s="48"/>
      <c r="CC622" s="48"/>
      <c r="CD622" s="48"/>
      <c r="CE622" s="48"/>
      <c r="CF622" s="48"/>
      <c r="CG622" s="48"/>
      <c r="CH622" s="48"/>
      <c r="CI622" s="48"/>
      <c r="CJ622" s="48"/>
      <c r="CK622" s="48"/>
      <c r="CL622" s="48"/>
      <c r="CM622" s="48"/>
      <c r="CN622" s="48"/>
      <c r="CO622" s="48"/>
      <c r="CP622" s="48"/>
      <c r="CQ622" s="48"/>
      <c r="CR622" s="48"/>
      <c r="CS622" s="48"/>
      <c r="CT622" s="48"/>
      <c r="CU622" s="48"/>
      <c r="CV622" s="48"/>
      <c r="CW622" s="48"/>
      <c r="CX622" s="48"/>
      <c r="CY622" s="48"/>
      <c r="CZ622" s="48"/>
      <c r="DA622" s="48"/>
      <c r="DB622" s="48"/>
      <c r="DC622" s="48"/>
      <c r="DD622" s="48"/>
      <c r="DE622" s="48"/>
      <c r="DF622" s="48"/>
      <c r="DG622" s="48"/>
      <c r="DH622" s="48"/>
      <c r="DI622" s="48"/>
      <c r="DJ622" s="48"/>
      <c r="DK622" s="48"/>
      <c r="DL622" s="48"/>
      <c r="DM622" s="48"/>
      <c r="DN622" s="48"/>
      <c r="DO622" s="48"/>
      <c r="DP622" s="48"/>
      <c r="DQ622" s="48"/>
      <c r="DR622" s="48"/>
      <c r="DS622" s="48"/>
    </row>
    <row r="623" spans="1:123" ht="15">
      <c r="A623"/>
      <c r="B623"/>
      <c r="C623"/>
      <c r="D623"/>
      <c r="E623"/>
      <c r="F623"/>
      <c r="G623"/>
      <c r="H623"/>
      <c r="I623"/>
      <c r="J623"/>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48"/>
      <c r="BH623" s="48"/>
      <c r="BI623" s="48"/>
      <c r="BJ623" s="48"/>
      <c r="BK623" s="48"/>
      <c r="BL623" s="48"/>
      <c r="BM623" s="48"/>
      <c r="BN623" s="48"/>
      <c r="BO623" s="48"/>
      <c r="BP623" s="48"/>
      <c r="BQ623" s="48"/>
      <c r="BR623" s="48"/>
      <c r="BS623" s="48"/>
      <c r="BT623" s="48"/>
      <c r="BU623" s="48"/>
      <c r="BV623" s="48"/>
      <c r="BW623" s="48"/>
      <c r="BX623" s="48"/>
      <c r="BY623" s="48"/>
      <c r="BZ623" s="48"/>
      <c r="CA623" s="48"/>
      <c r="CB623" s="48"/>
      <c r="CC623" s="48"/>
      <c r="CD623" s="48"/>
      <c r="CE623" s="48"/>
      <c r="CF623" s="48"/>
      <c r="CG623" s="48"/>
      <c r="CH623" s="48"/>
      <c r="CI623" s="48"/>
      <c r="CJ623" s="48"/>
      <c r="CK623" s="48"/>
      <c r="CL623" s="48"/>
      <c r="CM623" s="48"/>
      <c r="CN623" s="48"/>
      <c r="CO623" s="48"/>
      <c r="CP623" s="48"/>
      <c r="CQ623" s="48"/>
      <c r="CR623" s="48"/>
      <c r="CS623" s="48"/>
      <c r="CT623" s="48"/>
      <c r="CU623" s="48"/>
      <c r="CV623" s="48"/>
      <c r="CW623" s="48"/>
      <c r="CX623" s="48"/>
      <c r="CY623" s="48"/>
      <c r="CZ623" s="48"/>
      <c r="DA623" s="48"/>
      <c r="DB623" s="48"/>
      <c r="DC623" s="48"/>
      <c r="DD623" s="48"/>
      <c r="DE623" s="48"/>
      <c r="DF623" s="48"/>
      <c r="DG623" s="48"/>
      <c r="DH623" s="48"/>
      <c r="DI623" s="48"/>
      <c r="DJ623" s="48"/>
      <c r="DK623" s="48"/>
      <c r="DL623" s="48"/>
      <c r="DM623" s="48"/>
      <c r="DN623" s="48"/>
      <c r="DO623" s="48"/>
      <c r="DP623" s="48"/>
      <c r="DQ623" s="48"/>
      <c r="DR623" s="48"/>
      <c r="DS623" s="48"/>
    </row>
    <row r="624" spans="1:123" ht="15">
      <c r="A624"/>
      <c r="B624"/>
      <c r="C624"/>
      <c r="D624"/>
      <c r="E624"/>
      <c r="F624"/>
      <c r="G624"/>
      <c r="H624"/>
      <c r="I624"/>
      <c r="J624"/>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48"/>
      <c r="BH624" s="48"/>
      <c r="BI624" s="48"/>
      <c r="BJ624" s="48"/>
      <c r="BK624" s="48"/>
      <c r="BL624" s="48"/>
      <c r="BM624" s="48"/>
      <c r="BN624" s="48"/>
      <c r="BO624" s="48"/>
      <c r="BP624" s="48"/>
      <c r="BQ624" s="48"/>
      <c r="BR624" s="48"/>
      <c r="BS624" s="48"/>
      <c r="BT624" s="48"/>
      <c r="BU624" s="48"/>
      <c r="BV624" s="48"/>
      <c r="BW624" s="48"/>
      <c r="BX624" s="48"/>
      <c r="BY624" s="48"/>
      <c r="BZ624" s="48"/>
      <c r="CA624" s="48"/>
      <c r="CB624" s="48"/>
      <c r="CC624" s="48"/>
      <c r="CD624" s="48"/>
      <c r="CE624" s="48"/>
      <c r="CF624" s="48"/>
      <c r="CG624" s="48"/>
      <c r="CH624" s="48"/>
      <c r="CI624" s="48"/>
      <c r="CJ624" s="48"/>
      <c r="CK624" s="48"/>
      <c r="CL624" s="48"/>
      <c r="CM624" s="48"/>
      <c r="CN624" s="48"/>
      <c r="CO624" s="48"/>
      <c r="CP624" s="48"/>
      <c r="CQ624" s="48"/>
      <c r="CR624" s="48"/>
      <c r="CS624" s="48"/>
      <c r="CT624" s="48"/>
      <c r="CU624" s="48"/>
      <c r="CV624" s="48"/>
      <c r="CW624" s="48"/>
      <c r="CX624" s="48"/>
      <c r="CY624" s="48"/>
      <c r="CZ624" s="48"/>
      <c r="DA624" s="48"/>
      <c r="DB624" s="48"/>
      <c r="DC624" s="48"/>
      <c r="DD624" s="48"/>
      <c r="DE624" s="48"/>
      <c r="DF624" s="48"/>
      <c r="DG624" s="48"/>
      <c r="DH624" s="48"/>
      <c r="DI624" s="48"/>
      <c r="DJ624" s="48"/>
      <c r="DK624" s="48"/>
      <c r="DL624" s="48"/>
      <c r="DM624" s="48"/>
      <c r="DN624" s="48"/>
      <c r="DO624" s="48"/>
      <c r="DP624" s="48"/>
      <c r="DQ624" s="48"/>
      <c r="DR624" s="48"/>
      <c r="DS624" s="48"/>
    </row>
    <row r="625" spans="1:123" ht="15">
      <c r="A625"/>
      <c r="B625"/>
      <c r="C625"/>
      <c r="D625"/>
      <c r="E625"/>
      <c r="F625"/>
      <c r="G625"/>
      <c r="H625"/>
      <c r="I625"/>
      <c r="J625"/>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c r="BS625" s="48"/>
      <c r="BT625" s="48"/>
      <c r="BU625" s="48"/>
      <c r="BV625" s="48"/>
      <c r="BW625" s="48"/>
      <c r="BX625" s="48"/>
      <c r="BY625" s="48"/>
      <c r="BZ625" s="48"/>
      <c r="CA625" s="48"/>
      <c r="CB625" s="48"/>
      <c r="CC625" s="48"/>
      <c r="CD625" s="48"/>
      <c r="CE625" s="48"/>
      <c r="CF625" s="48"/>
      <c r="CG625" s="48"/>
      <c r="CH625" s="48"/>
      <c r="CI625" s="48"/>
      <c r="CJ625" s="48"/>
      <c r="CK625" s="48"/>
      <c r="CL625" s="48"/>
      <c r="CM625" s="48"/>
      <c r="CN625" s="48"/>
      <c r="CO625" s="48"/>
      <c r="CP625" s="48"/>
      <c r="CQ625" s="48"/>
      <c r="CR625" s="48"/>
      <c r="CS625" s="48"/>
      <c r="CT625" s="48"/>
      <c r="CU625" s="48"/>
      <c r="CV625" s="48"/>
      <c r="CW625" s="48"/>
      <c r="CX625" s="48"/>
      <c r="CY625" s="48"/>
      <c r="CZ625" s="48"/>
      <c r="DA625" s="48"/>
      <c r="DB625" s="48"/>
      <c r="DC625" s="48"/>
      <c r="DD625" s="48"/>
      <c r="DE625" s="48"/>
      <c r="DF625" s="48"/>
      <c r="DG625" s="48"/>
      <c r="DH625" s="48"/>
      <c r="DI625" s="48"/>
      <c r="DJ625" s="48"/>
      <c r="DK625" s="48"/>
      <c r="DL625" s="48"/>
      <c r="DM625" s="48"/>
      <c r="DN625" s="48"/>
      <c r="DO625" s="48"/>
      <c r="DP625" s="48"/>
      <c r="DQ625" s="48"/>
      <c r="DR625" s="48"/>
      <c r="DS625" s="48"/>
    </row>
    <row r="626" spans="1:123" ht="15">
      <c r="A626"/>
      <c r="B626"/>
      <c r="C626"/>
      <c r="D626"/>
      <c r="E626"/>
      <c r="F626"/>
      <c r="G626"/>
      <c r="H626"/>
      <c r="I626"/>
      <c r="J626"/>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48"/>
      <c r="BH626" s="48"/>
      <c r="BI626" s="48"/>
      <c r="BJ626" s="48"/>
      <c r="BK626" s="48"/>
      <c r="BL626" s="48"/>
      <c r="BM626" s="48"/>
      <c r="BN626" s="48"/>
      <c r="BO626" s="48"/>
      <c r="BP626" s="48"/>
      <c r="BQ626" s="48"/>
      <c r="BR626" s="48"/>
      <c r="BS626" s="48"/>
      <c r="BT626" s="48"/>
      <c r="BU626" s="48"/>
      <c r="BV626" s="48"/>
      <c r="BW626" s="48"/>
      <c r="BX626" s="48"/>
      <c r="BY626" s="48"/>
      <c r="BZ626" s="48"/>
      <c r="CA626" s="48"/>
      <c r="CB626" s="48"/>
      <c r="CC626" s="48"/>
      <c r="CD626" s="48"/>
      <c r="CE626" s="48"/>
      <c r="CF626" s="48"/>
      <c r="CG626" s="48"/>
      <c r="CH626" s="48"/>
      <c r="CI626" s="48"/>
      <c r="CJ626" s="48"/>
      <c r="CK626" s="48"/>
      <c r="CL626" s="48"/>
      <c r="CM626" s="48"/>
      <c r="CN626" s="48"/>
      <c r="CO626" s="48"/>
      <c r="CP626" s="48"/>
      <c r="CQ626" s="48"/>
      <c r="CR626" s="48"/>
      <c r="CS626" s="48"/>
      <c r="CT626" s="48"/>
      <c r="CU626" s="48"/>
      <c r="CV626" s="48"/>
      <c r="CW626" s="48"/>
      <c r="CX626" s="48"/>
      <c r="CY626" s="48"/>
      <c r="CZ626" s="48"/>
      <c r="DA626" s="48"/>
      <c r="DB626" s="48"/>
      <c r="DC626" s="48"/>
      <c r="DD626" s="48"/>
      <c r="DE626" s="48"/>
      <c r="DF626" s="48"/>
      <c r="DG626" s="48"/>
      <c r="DH626" s="48"/>
      <c r="DI626" s="48"/>
      <c r="DJ626" s="48"/>
      <c r="DK626" s="48"/>
      <c r="DL626" s="48"/>
      <c r="DM626" s="48"/>
      <c r="DN626" s="48"/>
      <c r="DO626" s="48"/>
      <c r="DP626" s="48"/>
      <c r="DQ626" s="48"/>
      <c r="DR626" s="48"/>
      <c r="DS626" s="48"/>
    </row>
    <row r="627" spans="1:123" ht="15">
      <c r="A627"/>
      <c r="B627"/>
      <c r="C627"/>
      <c r="D627"/>
      <c r="E627"/>
      <c r="F627"/>
      <c r="G627"/>
      <c r="H627"/>
      <c r="I627"/>
      <c r="J627"/>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c r="BS627" s="48"/>
      <c r="BT627" s="48"/>
      <c r="BU627" s="48"/>
      <c r="BV627" s="48"/>
      <c r="BW627" s="48"/>
      <c r="BX627" s="48"/>
      <c r="BY627" s="48"/>
      <c r="BZ627" s="48"/>
      <c r="CA627" s="48"/>
      <c r="CB627" s="48"/>
      <c r="CC627" s="48"/>
      <c r="CD627" s="48"/>
      <c r="CE627" s="48"/>
      <c r="CF627" s="48"/>
      <c r="CG627" s="48"/>
      <c r="CH627" s="48"/>
      <c r="CI627" s="48"/>
      <c r="CJ627" s="48"/>
      <c r="CK627" s="48"/>
      <c r="CL627" s="48"/>
      <c r="CM627" s="48"/>
      <c r="CN627" s="48"/>
      <c r="CO627" s="48"/>
      <c r="CP627" s="48"/>
      <c r="CQ627" s="48"/>
      <c r="CR627" s="48"/>
      <c r="CS627" s="48"/>
      <c r="CT627" s="48"/>
      <c r="CU627" s="48"/>
      <c r="CV627" s="48"/>
      <c r="CW627" s="48"/>
      <c r="CX627" s="48"/>
      <c r="CY627" s="48"/>
      <c r="CZ627" s="48"/>
      <c r="DA627" s="48"/>
      <c r="DB627" s="48"/>
      <c r="DC627" s="48"/>
      <c r="DD627" s="48"/>
      <c r="DE627" s="48"/>
      <c r="DF627" s="48"/>
      <c r="DG627" s="48"/>
      <c r="DH627" s="48"/>
      <c r="DI627" s="48"/>
      <c r="DJ627" s="48"/>
      <c r="DK627" s="48"/>
      <c r="DL627" s="48"/>
      <c r="DM627" s="48"/>
      <c r="DN627" s="48"/>
      <c r="DO627" s="48"/>
      <c r="DP627" s="48"/>
      <c r="DQ627" s="48"/>
      <c r="DR627" s="48"/>
      <c r="DS627" s="48"/>
    </row>
    <row r="628" spans="1:123" ht="15">
      <c r="A628"/>
      <c r="B628"/>
      <c r="C628"/>
      <c r="D628"/>
      <c r="E628"/>
      <c r="F628"/>
      <c r="G628"/>
      <c r="H628"/>
      <c r="I628"/>
      <c r="J62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48"/>
      <c r="BH628" s="48"/>
      <c r="BI628" s="48"/>
      <c r="BJ628" s="48"/>
      <c r="BK628" s="48"/>
      <c r="BL628" s="48"/>
      <c r="BM628" s="48"/>
      <c r="BN628" s="48"/>
      <c r="BO628" s="48"/>
      <c r="BP628" s="48"/>
      <c r="BQ628" s="48"/>
      <c r="BR628" s="48"/>
      <c r="BS628" s="48"/>
      <c r="BT628" s="48"/>
      <c r="BU628" s="48"/>
      <c r="BV628" s="48"/>
      <c r="BW628" s="48"/>
      <c r="BX628" s="48"/>
      <c r="BY628" s="48"/>
      <c r="BZ628" s="48"/>
      <c r="CA628" s="48"/>
      <c r="CB628" s="48"/>
      <c r="CC628" s="48"/>
      <c r="CD628" s="48"/>
      <c r="CE628" s="48"/>
      <c r="CF628" s="48"/>
      <c r="CG628" s="48"/>
      <c r="CH628" s="48"/>
      <c r="CI628" s="48"/>
      <c r="CJ628" s="48"/>
      <c r="CK628" s="48"/>
      <c r="CL628" s="48"/>
      <c r="CM628" s="48"/>
      <c r="CN628" s="48"/>
      <c r="CO628" s="48"/>
      <c r="CP628" s="48"/>
      <c r="CQ628" s="48"/>
      <c r="CR628" s="48"/>
      <c r="CS628" s="48"/>
      <c r="CT628" s="48"/>
      <c r="CU628" s="48"/>
      <c r="CV628" s="48"/>
      <c r="CW628" s="48"/>
      <c r="CX628" s="48"/>
      <c r="CY628" s="48"/>
      <c r="CZ628" s="48"/>
      <c r="DA628" s="48"/>
      <c r="DB628" s="48"/>
      <c r="DC628" s="48"/>
      <c r="DD628" s="48"/>
      <c r="DE628" s="48"/>
      <c r="DF628" s="48"/>
      <c r="DG628" s="48"/>
      <c r="DH628" s="48"/>
      <c r="DI628" s="48"/>
      <c r="DJ628" s="48"/>
      <c r="DK628" s="48"/>
      <c r="DL628" s="48"/>
      <c r="DM628" s="48"/>
      <c r="DN628" s="48"/>
      <c r="DO628" s="48"/>
      <c r="DP628" s="48"/>
      <c r="DQ628" s="48"/>
      <c r="DR628" s="48"/>
      <c r="DS628" s="48"/>
    </row>
    <row r="629" spans="1:123" ht="15">
      <c r="A629"/>
      <c r="B629"/>
      <c r="C629"/>
      <c r="D629"/>
      <c r="E629"/>
      <c r="F629"/>
      <c r="G629"/>
      <c r="H629"/>
      <c r="I629"/>
      <c r="J629"/>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48"/>
      <c r="BH629" s="48"/>
      <c r="BI629" s="48"/>
      <c r="BJ629" s="48"/>
      <c r="BK629" s="48"/>
      <c r="BL629" s="48"/>
      <c r="BM629" s="48"/>
      <c r="BN629" s="48"/>
      <c r="BO629" s="48"/>
      <c r="BP629" s="48"/>
      <c r="BQ629" s="48"/>
      <c r="BR629" s="48"/>
      <c r="BS629" s="48"/>
      <c r="BT629" s="48"/>
      <c r="BU629" s="48"/>
      <c r="BV629" s="48"/>
      <c r="BW629" s="48"/>
      <c r="BX629" s="48"/>
      <c r="BY629" s="48"/>
      <c r="BZ629" s="48"/>
      <c r="CA629" s="48"/>
      <c r="CB629" s="48"/>
      <c r="CC629" s="48"/>
      <c r="CD629" s="48"/>
      <c r="CE629" s="48"/>
      <c r="CF629" s="48"/>
      <c r="CG629" s="48"/>
      <c r="CH629" s="48"/>
      <c r="CI629" s="48"/>
      <c r="CJ629" s="48"/>
      <c r="CK629" s="48"/>
      <c r="CL629" s="48"/>
      <c r="CM629" s="48"/>
      <c r="CN629" s="48"/>
      <c r="CO629" s="48"/>
      <c r="CP629" s="48"/>
      <c r="CQ629" s="48"/>
      <c r="CR629" s="48"/>
      <c r="CS629" s="48"/>
      <c r="CT629" s="48"/>
      <c r="CU629" s="48"/>
      <c r="CV629" s="48"/>
      <c r="CW629" s="48"/>
      <c r="CX629" s="48"/>
      <c r="CY629" s="48"/>
      <c r="CZ629" s="48"/>
      <c r="DA629" s="48"/>
      <c r="DB629" s="48"/>
      <c r="DC629" s="48"/>
      <c r="DD629" s="48"/>
      <c r="DE629" s="48"/>
      <c r="DF629" s="48"/>
      <c r="DG629" s="48"/>
      <c r="DH629" s="48"/>
      <c r="DI629" s="48"/>
      <c r="DJ629" s="48"/>
      <c r="DK629" s="48"/>
      <c r="DL629" s="48"/>
      <c r="DM629" s="48"/>
      <c r="DN629" s="48"/>
      <c r="DO629" s="48"/>
      <c r="DP629" s="48"/>
      <c r="DQ629" s="48"/>
      <c r="DR629" s="48"/>
      <c r="DS629" s="48"/>
    </row>
    <row r="630" spans="1:123" ht="15">
      <c r="A630"/>
      <c r="B630"/>
      <c r="C630"/>
      <c r="D630"/>
      <c r="E630"/>
      <c r="F630"/>
      <c r="G630"/>
      <c r="H630"/>
      <c r="I630"/>
      <c r="J630"/>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48"/>
      <c r="BW630" s="48"/>
      <c r="BX630" s="48"/>
      <c r="BY630" s="48"/>
      <c r="BZ630" s="48"/>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c r="CW630" s="48"/>
      <c r="CX630" s="48"/>
      <c r="CY630" s="48"/>
      <c r="CZ630" s="48"/>
      <c r="DA630" s="48"/>
      <c r="DB630" s="48"/>
      <c r="DC630" s="48"/>
      <c r="DD630" s="48"/>
      <c r="DE630" s="48"/>
      <c r="DF630" s="48"/>
      <c r="DG630" s="48"/>
      <c r="DH630" s="48"/>
      <c r="DI630" s="48"/>
      <c r="DJ630" s="48"/>
      <c r="DK630" s="48"/>
      <c r="DL630" s="48"/>
      <c r="DM630" s="48"/>
      <c r="DN630" s="48"/>
      <c r="DO630" s="48"/>
      <c r="DP630" s="48"/>
      <c r="DQ630" s="48"/>
      <c r="DR630" s="48"/>
      <c r="DS630" s="48"/>
    </row>
    <row r="631" spans="1:123" ht="15">
      <c r="A631"/>
      <c r="B631"/>
      <c r="C631"/>
      <c r="D631"/>
      <c r="E631"/>
      <c r="F631"/>
      <c r="G631"/>
      <c r="H631"/>
      <c r="I631"/>
      <c r="J631"/>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48"/>
      <c r="BH631" s="48"/>
      <c r="BI631" s="48"/>
      <c r="BJ631" s="48"/>
      <c r="BK631" s="48"/>
      <c r="BL631" s="48"/>
      <c r="BM631" s="48"/>
      <c r="BN631" s="48"/>
      <c r="BO631" s="48"/>
      <c r="BP631" s="48"/>
      <c r="BQ631" s="48"/>
      <c r="BR631" s="48"/>
      <c r="BS631" s="48"/>
      <c r="BT631" s="48"/>
      <c r="BU631" s="48"/>
      <c r="BV631" s="48"/>
      <c r="BW631" s="48"/>
      <c r="BX631" s="48"/>
      <c r="BY631" s="48"/>
      <c r="BZ631" s="48"/>
      <c r="CA631" s="48"/>
      <c r="CB631" s="48"/>
      <c r="CC631" s="48"/>
      <c r="CD631" s="48"/>
      <c r="CE631" s="48"/>
      <c r="CF631" s="48"/>
      <c r="CG631" s="48"/>
      <c r="CH631" s="48"/>
      <c r="CI631" s="48"/>
      <c r="CJ631" s="48"/>
      <c r="CK631" s="48"/>
      <c r="CL631" s="48"/>
      <c r="CM631" s="48"/>
      <c r="CN631" s="48"/>
      <c r="CO631" s="48"/>
      <c r="CP631" s="48"/>
      <c r="CQ631" s="48"/>
      <c r="CR631" s="48"/>
      <c r="CS631" s="48"/>
      <c r="CT631" s="48"/>
      <c r="CU631" s="48"/>
      <c r="CV631" s="48"/>
      <c r="CW631" s="48"/>
      <c r="CX631" s="48"/>
      <c r="CY631" s="48"/>
      <c r="CZ631" s="48"/>
      <c r="DA631" s="48"/>
      <c r="DB631" s="48"/>
      <c r="DC631" s="48"/>
      <c r="DD631" s="48"/>
      <c r="DE631" s="48"/>
      <c r="DF631" s="48"/>
      <c r="DG631" s="48"/>
      <c r="DH631" s="48"/>
      <c r="DI631" s="48"/>
      <c r="DJ631" s="48"/>
      <c r="DK631" s="48"/>
      <c r="DL631" s="48"/>
      <c r="DM631" s="48"/>
      <c r="DN631" s="48"/>
      <c r="DO631" s="48"/>
      <c r="DP631" s="48"/>
      <c r="DQ631" s="48"/>
      <c r="DR631" s="48"/>
      <c r="DS631" s="48"/>
    </row>
    <row r="632" spans="1:123" ht="15">
      <c r="A632"/>
      <c r="B632"/>
      <c r="C632"/>
      <c r="D632"/>
      <c r="E632"/>
      <c r="F632"/>
      <c r="G632"/>
      <c r="H632"/>
      <c r="I632"/>
      <c r="J632"/>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48"/>
      <c r="BH632" s="48"/>
      <c r="BI632" s="48"/>
      <c r="BJ632" s="48"/>
      <c r="BK632" s="48"/>
      <c r="BL632" s="48"/>
      <c r="BM632" s="48"/>
      <c r="BN632" s="48"/>
      <c r="BO632" s="48"/>
      <c r="BP632" s="48"/>
      <c r="BQ632" s="48"/>
      <c r="BR632" s="48"/>
      <c r="BS632" s="48"/>
      <c r="BT632" s="48"/>
      <c r="BU632" s="48"/>
      <c r="BV632" s="48"/>
      <c r="BW632" s="48"/>
      <c r="BX632" s="48"/>
      <c r="BY632" s="48"/>
      <c r="BZ632" s="48"/>
      <c r="CA632" s="48"/>
      <c r="CB632" s="48"/>
      <c r="CC632" s="48"/>
      <c r="CD632" s="48"/>
      <c r="CE632" s="48"/>
      <c r="CF632" s="48"/>
      <c r="CG632" s="48"/>
      <c r="CH632" s="48"/>
      <c r="CI632" s="48"/>
      <c r="CJ632" s="48"/>
      <c r="CK632" s="48"/>
      <c r="CL632" s="48"/>
      <c r="CM632" s="48"/>
      <c r="CN632" s="48"/>
      <c r="CO632" s="48"/>
      <c r="CP632" s="48"/>
      <c r="CQ632" s="48"/>
      <c r="CR632" s="48"/>
      <c r="CS632" s="48"/>
      <c r="CT632" s="48"/>
      <c r="CU632" s="48"/>
      <c r="CV632" s="48"/>
      <c r="CW632" s="48"/>
      <c r="CX632" s="48"/>
      <c r="CY632" s="48"/>
      <c r="CZ632" s="48"/>
      <c r="DA632" s="48"/>
      <c r="DB632" s="48"/>
      <c r="DC632" s="48"/>
      <c r="DD632" s="48"/>
      <c r="DE632" s="48"/>
      <c r="DF632" s="48"/>
      <c r="DG632" s="48"/>
      <c r="DH632" s="48"/>
      <c r="DI632" s="48"/>
      <c r="DJ632" s="48"/>
      <c r="DK632" s="48"/>
      <c r="DL632" s="48"/>
      <c r="DM632" s="48"/>
      <c r="DN632" s="48"/>
      <c r="DO632" s="48"/>
      <c r="DP632" s="48"/>
      <c r="DQ632" s="48"/>
      <c r="DR632" s="48"/>
      <c r="DS632" s="48"/>
    </row>
    <row r="633" spans="1:123" ht="15">
      <c r="A633"/>
      <c r="B633"/>
      <c r="C633"/>
      <c r="D633"/>
      <c r="E633"/>
      <c r="F633"/>
      <c r="G633"/>
      <c r="H633"/>
      <c r="I633"/>
      <c r="J633"/>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48"/>
      <c r="BW633" s="48"/>
      <c r="BX633" s="48"/>
      <c r="BY633" s="48"/>
      <c r="BZ633" s="48"/>
      <c r="CA633" s="48"/>
      <c r="CB633" s="48"/>
      <c r="CC633" s="48"/>
      <c r="CD633" s="48"/>
      <c r="CE633" s="48"/>
      <c r="CF633" s="48"/>
      <c r="CG633" s="48"/>
      <c r="CH633" s="48"/>
      <c r="CI633" s="48"/>
      <c r="CJ633" s="48"/>
      <c r="CK633" s="48"/>
      <c r="CL633" s="48"/>
      <c r="CM633" s="48"/>
      <c r="CN633" s="48"/>
      <c r="CO633" s="48"/>
      <c r="CP633" s="48"/>
      <c r="CQ633" s="48"/>
      <c r="CR633" s="48"/>
      <c r="CS633" s="48"/>
      <c r="CT633" s="48"/>
      <c r="CU633" s="48"/>
      <c r="CV633" s="48"/>
      <c r="CW633" s="48"/>
      <c r="CX633" s="48"/>
      <c r="CY633" s="48"/>
      <c r="CZ633" s="48"/>
      <c r="DA633" s="48"/>
      <c r="DB633" s="48"/>
      <c r="DC633" s="48"/>
      <c r="DD633" s="48"/>
      <c r="DE633" s="48"/>
      <c r="DF633" s="48"/>
      <c r="DG633" s="48"/>
      <c r="DH633" s="48"/>
      <c r="DI633" s="48"/>
      <c r="DJ633" s="48"/>
      <c r="DK633" s="48"/>
      <c r="DL633" s="48"/>
      <c r="DM633" s="48"/>
      <c r="DN633" s="48"/>
      <c r="DO633" s="48"/>
      <c r="DP633" s="48"/>
      <c r="DQ633" s="48"/>
      <c r="DR633" s="48"/>
      <c r="DS633" s="48"/>
    </row>
    <row r="634" spans="1:123" ht="15">
      <c r="A634"/>
      <c r="B634"/>
      <c r="C634"/>
      <c r="D634"/>
      <c r="E634"/>
      <c r="F634"/>
      <c r="G634"/>
      <c r="H634"/>
      <c r="I634"/>
      <c r="J634"/>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c r="BS634" s="48"/>
      <c r="BT634" s="48"/>
      <c r="BU634" s="48"/>
      <c r="BV634" s="48"/>
      <c r="BW634" s="48"/>
      <c r="BX634" s="48"/>
      <c r="BY634" s="48"/>
      <c r="BZ634" s="48"/>
      <c r="CA634" s="48"/>
      <c r="CB634" s="48"/>
      <c r="CC634" s="48"/>
      <c r="CD634" s="48"/>
      <c r="CE634" s="48"/>
      <c r="CF634" s="48"/>
      <c r="CG634" s="48"/>
      <c r="CH634" s="48"/>
      <c r="CI634" s="48"/>
      <c r="CJ634" s="48"/>
      <c r="CK634" s="48"/>
      <c r="CL634" s="48"/>
      <c r="CM634" s="48"/>
      <c r="CN634" s="48"/>
      <c r="CO634" s="48"/>
      <c r="CP634" s="48"/>
      <c r="CQ634" s="48"/>
      <c r="CR634" s="48"/>
      <c r="CS634" s="48"/>
      <c r="CT634" s="48"/>
      <c r="CU634" s="48"/>
      <c r="CV634" s="48"/>
      <c r="CW634" s="48"/>
      <c r="CX634" s="48"/>
      <c r="CY634" s="48"/>
      <c r="CZ634" s="48"/>
      <c r="DA634" s="48"/>
      <c r="DB634" s="48"/>
      <c r="DC634" s="48"/>
      <c r="DD634" s="48"/>
      <c r="DE634" s="48"/>
      <c r="DF634" s="48"/>
      <c r="DG634" s="48"/>
      <c r="DH634" s="48"/>
      <c r="DI634" s="48"/>
      <c r="DJ634" s="48"/>
      <c r="DK634" s="48"/>
      <c r="DL634" s="48"/>
      <c r="DM634" s="48"/>
      <c r="DN634" s="48"/>
      <c r="DO634" s="48"/>
      <c r="DP634" s="48"/>
      <c r="DQ634" s="48"/>
      <c r="DR634" s="48"/>
      <c r="DS634" s="48"/>
    </row>
    <row r="635" spans="1:123" ht="15">
      <c r="A635"/>
      <c r="B635"/>
      <c r="C635"/>
      <c r="D635"/>
      <c r="E635"/>
      <c r="F635"/>
      <c r="G635"/>
      <c r="H635"/>
      <c r="I635"/>
      <c r="J635"/>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48"/>
      <c r="BH635" s="48"/>
      <c r="BI635" s="48"/>
      <c r="BJ635" s="48"/>
      <c r="BK635" s="48"/>
      <c r="BL635" s="48"/>
      <c r="BM635" s="48"/>
      <c r="BN635" s="48"/>
      <c r="BO635" s="48"/>
      <c r="BP635" s="48"/>
      <c r="BQ635" s="48"/>
      <c r="BR635" s="48"/>
      <c r="BS635" s="48"/>
      <c r="BT635" s="48"/>
      <c r="BU635" s="48"/>
      <c r="BV635" s="48"/>
      <c r="BW635" s="48"/>
      <c r="BX635" s="48"/>
      <c r="BY635" s="48"/>
      <c r="BZ635" s="48"/>
      <c r="CA635" s="48"/>
      <c r="CB635" s="48"/>
      <c r="CC635" s="48"/>
      <c r="CD635" s="48"/>
      <c r="CE635" s="48"/>
      <c r="CF635" s="48"/>
      <c r="CG635" s="48"/>
      <c r="CH635" s="48"/>
      <c r="CI635" s="48"/>
      <c r="CJ635" s="48"/>
      <c r="CK635" s="48"/>
      <c r="CL635" s="48"/>
      <c r="CM635" s="48"/>
      <c r="CN635" s="48"/>
      <c r="CO635" s="48"/>
      <c r="CP635" s="48"/>
      <c r="CQ635" s="48"/>
      <c r="CR635" s="48"/>
      <c r="CS635" s="48"/>
      <c r="CT635" s="48"/>
      <c r="CU635" s="48"/>
      <c r="CV635" s="48"/>
      <c r="CW635" s="48"/>
      <c r="CX635" s="48"/>
      <c r="CY635" s="48"/>
      <c r="CZ635" s="48"/>
      <c r="DA635" s="48"/>
      <c r="DB635" s="48"/>
      <c r="DC635" s="48"/>
      <c r="DD635" s="48"/>
      <c r="DE635" s="48"/>
      <c r="DF635" s="48"/>
      <c r="DG635" s="48"/>
      <c r="DH635" s="48"/>
      <c r="DI635" s="48"/>
      <c r="DJ635" s="48"/>
      <c r="DK635" s="48"/>
      <c r="DL635" s="48"/>
      <c r="DM635" s="48"/>
      <c r="DN635" s="48"/>
      <c r="DO635" s="48"/>
      <c r="DP635" s="48"/>
      <c r="DQ635" s="48"/>
      <c r="DR635" s="48"/>
      <c r="DS635" s="48"/>
    </row>
    <row r="636" spans="1:123" ht="15">
      <c r="A636"/>
      <c r="B636"/>
      <c r="C636"/>
      <c r="D636"/>
      <c r="E636"/>
      <c r="F636"/>
      <c r="G636"/>
      <c r="H636"/>
      <c r="I636"/>
      <c r="J636"/>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48"/>
      <c r="BH636" s="48"/>
      <c r="BI636" s="48"/>
      <c r="BJ636" s="48"/>
      <c r="BK636" s="48"/>
      <c r="BL636" s="48"/>
      <c r="BM636" s="48"/>
      <c r="BN636" s="48"/>
      <c r="BO636" s="48"/>
      <c r="BP636" s="48"/>
      <c r="BQ636" s="48"/>
      <c r="BR636" s="48"/>
      <c r="BS636" s="48"/>
      <c r="BT636" s="48"/>
      <c r="BU636" s="48"/>
      <c r="BV636" s="48"/>
      <c r="BW636" s="48"/>
      <c r="BX636" s="48"/>
      <c r="BY636" s="48"/>
      <c r="BZ636" s="48"/>
      <c r="CA636" s="48"/>
      <c r="CB636" s="48"/>
      <c r="CC636" s="48"/>
      <c r="CD636" s="48"/>
      <c r="CE636" s="48"/>
      <c r="CF636" s="48"/>
      <c r="CG636" s="48"/>
      <c r="CH636" s="48"/>
      <c r="CI636" s="48"/>
      <c r="CJ636" s="48"/>
      <c r="CK636" s="48"/>
      <c r="CL636" s="48"/>
      <c r="CM636" s="48"/>
      <c r="CN636" s="48"/>
      <c r="CO636" s="48"/>
      <c r="CP636" s="48"/>
      <c r="CQ636" s="48"/>
      <c r="CR636" s="48"/>
      <c r="CS636" s="48"/>
      <c r="CT636" s="48"/>
      <c r="CU636" s="48"/>
      <c r="CV636" s="48"/>
      <c r="CW636" s="48"/>
      <c r="CX636" s="48"/>
      <c r="CY636" s="48"/>
      <c r="CZ636" s="48"/>
      <c r="DA636" s="48"/>
      <c r="DB636" s="48"/>
      <c r="DC636" s="48"/>
      <c r="DD636" s="48"/>
      <c r="DE636" s="48"/>
      <c r="DF636" s="48"/>
      <c r="DG636" s="48"/>
      <c r="DH636" s="48"/>
      <c r="DI636" s="48"/>
      <c r="DJ636" s="48"/>
      <c r="DK636" s="48"/>
      <c r="DL636" s="48"/>
      <c r="DM636" s="48"/>
      <c r="DN636" s="48"/>
      <c r="DO636" s="48"/>
      <c r="DP636" s="48"/>
      <c r="DQ636" s="48"/>
      <c r="DR636" s="48"/>
      <c r="DS636" s="48"/>
    </row>
    <row r="637" spans="1:123" ht="15">
      <c r="A637"/>
      <c r="B637"/>
      <c r="C637"/>
      <c r="D637"/>
      <c r="E637"/>
      <c r="F637"/>
      <c r="G637"/>
      <c r="H637"/>
      <c r="I637"/>
      <c r="J637"/>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48"/>
      <c r="BH637" s="48"/>
      <c r="BI637" s="48"/>
      <c r="BJ637" s="48"/>
      <c r="BK637" s="48"/>
      <c r="BL637" s="48"/>
      <c r="BM637" s="48"/>
      <c r="BN637" s="48"/>
      <c r="BO637" s="48"/>
      <c r="BP637" s="48"/>
      <c r="BQ637" s="48"/>
      <c r="BR637" s="48"/>
      <c r="BS637" s="48"/>
      <c r="BT637" s="48"/>
      <c r="BU637" s="48"/>
      <c r="BV637" s="48"/>
      <c r="BW637" s="48"/>
      <c r="BX637" s="48"/>
      <c r="BY637" s="48"/>
      <c r="BZ637" s="48"/>
      <c r="CA637" s="48"/>
      <c r="CB637" s="48"/>
      <c r="CC637" s="48"/>
      <c r="CD637" s="48"/>
      <c r="CE637" s="48"/>
      <c r="CF637" s="48"/>
      <c r="CG637" s="48"/>
      <c r="CH637" s="48"/>
      <c r="CI637" s="48"/>
      <c r="CJ637" s="48"/>
      <c r="CK637" s="48"/>
      <c r="CL637" s="48"/>
      <c r="CM637" s="48"/>
      <c r="CN637" s="48"/>
      <c r="CO637" s="48"/>
      <c r="CP637" s="48"/>
      <c r="CQ637" s="48"/>
      <c r="CR637" s="48"/>
      <c r="CS637" s="48"/>
      <c r="CT637" s="48"/>
      <c r="CU637" s="48"/>
      <c r="CV637" s="48"/>
      <c r="CW637" s="48"/>
      <c r="CX637" s="48"/>
      <c r="CY637" s="48"/>
      <c r="CZ637" s="48"/>
      <c r="DA637" s="48"/>
      <c r="DB637" s="48"/>
      <c r="DC637" s="48"/>
      <c r="DD637" s="48"/>
      <c r="DE637" s="48"/>
      <c r="DF637" s="48"/>
      <c r="DG637" s="48"/>
      <c r="DH637" s="48"/>
      <c r="DI637" s="48"/>
      <c r="DJ637" s="48"/>
      <c r="DK637" s="48"/>
      <c r="DL637" s="48"/>
      <c r="DM637" s="48"/>
      <c r="DN637" s="48"/>
      <c r="DO637" s="48"/>
      <c r="DP637" s="48"/>
      <c r="DQ637" s="48"/>
      <c r="DR637" s="48"/>
      <c r="DS637" s="48"/>
    </row>
    <row r="638" spans="1:123" ht="15">
      <c r="A638"/>
      <c r="B638"/>
      <c r="C638"/>
      <c r="D638"/>
      <c r="E638"/>
      <c r="F638"/>
      <c r="G638"/>
      <c r="H638"/>
      <c r="I638"/>
      <c r="J63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48"/>
      <c r="BJ638" s="48"/>
      <c r="BK638" s="48"/>
      <c r="BL638" s="48"/>
      <c r="BM638" s="48"/>
      <c r="BN638" s="48"/>
      <c r="BO638" s="48"/>
      <c r="BP638" s="48"/>
      <c r="BQ638" s="48"/>
      <c r="BR638" s="48"/>
      <c r="BS638" s="48"/>
      <c r="BT638" s="48"/>
      <c r="BU638" s="48"/>
      <c r="BV638" s="48"/>
      <c r="BW638" s="48"/>
      <c r="BX638" s="48"/>
      <c r="BY638" s="48"/>
      <c r="BZ638" s="48"/>
      <c r="CA638" s="48"/>
      <c r="CB638" s="48"/>
      <c r="CC638" s="48"/>
      <c r="CD638" s="48"/>
      <c r="CE638" s="48"/>
      <c r="CF638" s="48"/>
      <c r="CG638" s="48"/>
      <c r="CH638" s="48"/>
      <c r="CI638" s="48"/>
      <c r="CJ638" s="48"/>
      <c r="CK638" s="48"/>
      <c r="CL638" s="48"/>
      <c r="CM638" s="48"/>
      <c r="CN638" s="48"/>
      <c r="CO638" s="48"/>
      <c r="CP638" s="48"/>
      <c r="CQ638" s="48"/>
      <c r="CR638" s="48"/>
      <c r="CS638" s="48"/>
      <c r="CT638" s="48"/>
      <c r="CU638" s="48"/>
      <c r="CV638" s="48"/>
      <c r="CW638" s="48"/>
      <c r="CX638" s="48"/>
      <c r="CY638" s="48"/>
      <c r="CZ638" s="48"/>
      <c r="DA638" s="48"/>
      <c r="DB638" s="48"/>
      <c r="DC638" s="48"/>
      <c r="DD638" s="48"/>
      <c r="DE638" s="48"/>
      <c r="DF638" s="48"/>
      <c r="DG638" s="48"/>
      <c r="DH638" s="48"/>
      <c r="DI638" s="48"/>
      <c r="DJ638" s="48"/>
      <c r="DK638" s="48"/>
      <c r="DL638" s="48"/>
      <c r="DM638" s="48"/>
      <c r="DN638" s="48"/>
      <c r="DO638" s="48"/>
      <c r="DP638" s="48"/>
      <c r="DQ638" s="48"/>
      <c r="DR638" s="48"/>
      <c r="DS638" s="48"/>
    </row>
    <row r="639" spans="1:123" ht="15">
      <c r="A639"/>
      <c r="B639"/>
      <c r="C639"/>
      <c r="D639"/>
      <c r="E639"/>
      <c r="F639"/>
      <c r="G639"/>
      <c r="H639"/>
      <c r="I639"/>
      <c r="J639"/>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48"/>
      <c r="BW639" s="48"/>
      <c r="BX639" s="48"/>
      <c r="BY639" s="48"/>
      <c r="BZ639" s="48"/>
      <c r="CA639" s="48"/>
      <c r="CB639" s="48"/>
      <c r="CC639" s="48"/>
      <c r="CD639" s="48"/>
      <c r="CE639" s="48"/>
      <c r="CF639" s="48"/>
      <c r="CG639" s="48"/>
      <c r="CH639" s="48"/>
      <c r="CI639" s="48"/>
      <c r="CJ639" s="48"/>
      <c r="CK639" s="48"/>
      <c r="CL639" s="48"/>
      <c r="CM639" s="48"/>
      <c r="CN639" s="48"/>
      <c r="CO639" s="48"/>
      <c r="CP639" s="48"/>
      <c r="CQ639" s="48"/>
      <c r="CR639" s="48"/>
      <c r="CS639" s="48"/>
      <c r="CT639" s="48"/>
      <c r="CU639" s="48"/>
      <c r="CV639" s="48"/>
      <c r="CW639" s="48"/>
      <c r="CX639" s="48"/>
      <c r="CY639" s="48"/>
      <c r="CZ639" s="48"/>
      <c r="DA639" s="48"/>
      <c r="DB639" s="48"/>
      <c r="DC639" s="48"/>
      <c r="DD639" s="48"/>
      <c r="DE639" s="48"/>
      <c r="DF639" s="48"/>
      <c r="DG639" s="48"/>
      <c r="DH639" s="48"/>
      <c r="DI639" s="48"/>
      <c r="DJ639" s="48"/>
      <c r="DK639" s="48"/>
      <c r="DL639" s="48"/>
      <c r="DM639" s="48"/>
      <c r="DN639" s="48"/>
      <c r="DO639" s="48"/>
      <c r="DP639" s="48"/>
      <c r="DQ639" s="48"/>
      <c r="DR639" s="48"/>
      <c r="DS639" s="48"/>
    </row>
    <row r="640" spans="1:123" ht="15">
      <c r="A640"/>
      <c r="B640"/>
      <c r="C640"/>
      <c r="D640"/>
      <c r="E640"/>
      <c r="F640"/>
      <c r="G640"/>
      <c r="H640"/>
      <c r="I640"/>
      <c r="J640"/>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48"/>
      <c r="BH640" s="48"/>
      <c r="BI640" s="48"/>
      <c r="BJ640" s="48"/>
      <c r="BK640" s="48"/>
      <c r="BL640" s="48"/>
      <c r="BM640" s="48"/>
      <c r="BN640" s="48"/>
      <c r="BO640" s="48"/>
      <c r="BP640" s="48"/>
      <c r="BQ640" s="48"/>
      <c r="BR640" s="48"/>
      <c r="BS640" s="48"/>
      <c r="BT640" s="48"/>
      <c r="BU640" s="48"/>
      <c r="BV640" s="48"/>
      <c r="BW640" s="48"/>
      <c r="BX640" s="48"/>
      <c r="BY640" s="48"/>
      <c r="BZ640" s="48"/>
      <c r="CA640" s="48"/>
      <c r="CB640" s="48"/>
      <c r="CC640" s="48"/>
      <c r="CD640" s="48"/>
      <c r="CE640" s="48"/>
      <c r="CF640" s="48"/>
      <c r="CG640" s="48"/>
      <c r="CH640" s="48"/>
      <c r="CI640" s="48"/>
      <c r="CJ640" s="48"/>
      <c r="CK640" s="48"/>
      <c r="CL640" s="48"/>
      <c r="CM640" s="48"/>
      <c r="CN640" s="48"/>
      <c r="CO640" s="48"/>
      <c r="CP640" s="48"/>
      <c r="CQ640" s="48"/>
      <c r="CR640" s="48"/>
      <c r="CS640" s="48"/>
      <c r="CT640" s="48"/>
      <c r="CU640" s="48"/>
      <c r="CV640" s="48"/>
      <c r="CW640" s="48"/>
      <c r="CX640" s="48"/>
      <c r="CY640" s="48"/>
      <c r="CZ640" s="48"/>
      <c r="DA640" s="48"/>
      <c r="DB640" s="48"/>
      <c r="DC640" s="48"/>
      <c r="DD640" s="48"/>
      <c r="DE640" s="48"/>
      <c r="DF640" s="48"/>
      <c r="DG640" s="48"/>
      <c r="DH640" s="48"/>
      <c r="DI640" s="48"/>
      <c r="DJ640" s="48"/>
      <c r="DK640" s="48"/>
      <c r="DL640" s="48"/>
      <c r="DM640" s="48"/>
      <c r="DN640" s="48"/>
      <c r="DO640" s="48"/>
      <c r="DP640" s="48"/>
      <c r="DQ640" s="48"/>
      <c r="DR640" s="48"/>
      <c r="DS640" s="48"/>
    </row>
    <row r="641" spans="1:123" ht="15">
      <c r="A641"/>
      <c r="B641"/>
      <c r="C641"/>
      <c r="D641"/>
      <c r="E641"/>
      <c r="F641"/>
      <c r="G641"/>
      <c r="H641"/>
      <c r="I641"/>
      <c r="J641"/>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48"/>
      <c r="BH641" s="48"/>
      <c r="BI641" s="48"/>
      <c r="BJ641" s="48"/>
      <c r="BK641" s="48"/>
      <c r="BL641" s="48"/>
      <c r="BM641" s="48"/>
      <c r="BN641" s="48"/>
      <c r="BO641" s="48"/>
      <c r="BP641" s="48"/>
      <c r="BQ641" s="48"/>
      <c r="BR641" s="48"/>
      <c r="BS641" s="48"/>
      <c r="BT641" s="48"/>
      <c r="BU641" s="48"/>
      <c r="BV641" s="48"/>
      <c r="BW641" s="48"/>
      <c r="BX641" s="48"/>
      <c r="BY641" s="48"/>
      <c r="BZ641" s="48"/>
      <c r="CA641" s="48"/>
      <c r="CB641" s="48"/>
      <c r="CC641" s="48"/>
      <c r="CD641" s="48"/>
      <c r="CE641" s="48"/>
      <c r="CF641" s="48"/>
      <c r="CG641" s="48"/>
      <c r="CH641" s="48"/>
      <c r="CI641" s="48"/>
      <c r="CJ641" s="48"/>
      <c r="CK641" s="48"/>
      <c r="CL641" s="48"/>
      <c r="CM641" s="48"/>
      <c r="CN641" s="48"/>
      <c r="CO641" s="48"/>
      <c r="CP641" s="48"/>
      <c r="CQ641" s="48"/>
      <c r="CR641" s="48"/>
      <c r="CS641" s="48"/>
      <c r="CT641" s="48"/>
      <c r="CU641" s="48"/>
      <c r="CV641" s="48"/>
      <c r="CW641" s="48"/>
      <c r="CX641" s="48"/>
      <c r="CY641" s="48"/>
      <c r="CZ641" s="48"/>
      <c r="DA641" s="48"/>
      <c r="DB641" s="48"/>
      <c r="DC641" s="48"/>
      <c r="DD641" s="48"/>
      <c r="DE641" s="48"/>
      <c r="DF641" s="48"/>
      <c r="DG641" s="48"/>
      <c r="DH641" s="48"/>
      <c r="DI641" s="48"/>
      <c r="DJ641" s="48"/>
      <c r="DK641" s="48"/>
      <c r="DL641" s="48"/>
      <c r="DM641" s="48"/>
      <c r="DN641" s="48"/>
      <c r="DO641" s="48"/>
      <c r="DP641" s="48"/>
      <c r="DQ641" s="48"/>
      <c r="DR641" s="48"/>
      <c r="DS641" s="48"/>
    </row>
    <row r="642" spans="1:123" ht="15">
      <c r="A642"/>
      <c r="B642"/>
      <c r="C642"/>
      <c r="D642"/>
      <c r="E642"/>
      <c r="F642"/>
      <c r="G642"/>
      <c r="H642"/>
      <c r="I642"/>
      <c r="J642"/>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48"/>
      <c r="BH642" s="48"/>
      <c r="BI642" s="48"/>
      <c r="BJ642" s="48"/>
      <c r="BK642" s="48"/>
      <c r="BL642" s="48"/>
      <c r="BM642" s="48"/>
      <c r="BN642" s="48"/>
      <c r="BO642" s="48"/>
      <c r="BP642" s="48"/>
      <c r="BQ642" s="48"/>
      <c r="BR642" s="48"/>
      <c r="BS642" s="48"/>
      <c r="BT642" s="48"/>
      <c r="BU642" s="48"/>
      <c r="BV642" s="48"/>
      <c r="BW642" s="48"/>
      <c r="BX642" s="48"/>
      <c r="BY642" s="48"/>
      <c r="BZ642" s="48"/>
      <c r="CA642" s="48"/>
      <c r="CB642" s="48"/>
      <c r="CC642" s="48"/>
      <c r="CD642" s="48"/>
      <c r="CE642" s="48"/>
      <c r="CF642" s="48"/>
      <c r="CG642" s="48"/>
      <c r="CH642" s="48"/>
      <c r="CI642" s="48"/>
      <c r="CJ642" s="48"/>
      <c r="CK642" s="48"/>
      <c r="CL642" s="48"/>
      <c r="CM642" s="48"/>
      <c r="CN642" s="48"/>
      <c r="CO642" s="48"/>
      <c r="CP642" s="48"/>
      <c r="CQ642" s="48"/>
      <c r="CR642" s="48"/>
      <c r="CS642" s="48"/>
      <c r="CT642" s="48"/>
      <c r="CU642" s="48"/>
      <c r="CV642" s="48"/>
      <c r="CW642" s="48"/>
      <c r="CX642" s="48"/>
      <c r="CY642" s="48"/>
      <c r="CZ642" s="48"/>
      <c r="DA642" s="48"/>
      <c r="DB642" s="48"/>
      <c r="DC642" s="48"/>
      <c r="DD642" s="48"/>
      <c r="DE642" s="48"/>
      <c r="DF642" s="48"/>
      <c r="DG642" s="48"/>
      <c r="DH642" s="48"/>
      <c r="DI642" s="48"/>
      <c r="DJ642" s="48"/>
      <c r="DK642" s="48"/>
      <c r="DL642" s="48"/>
      <c r="DM642" s="48"/>
      <c r="DN642" s="48"/>
      <c r="DO642" s="48"/>
      <c r="DP642" s="48"/>
      <c r="DQ642" s="48"/>
      <c r="DR642" s="48"/>
      <c r="DS642" s="48"/>
    </row>
    <row r="643" spans="1:123" ht="15">
      <c r="A643"/>
      <c r="B643"/>
      <c r="C643"/>
      <c r="D643"/>
      <c r="E643"/>
      <c r="F643"/>
      <c r="G643"/>
      <c r="H643"/>
      <c r="I643"/>
      <c r="J643"/>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48"/>
      <c r="BH643" s="48"/>
      <c r="BI643" s="48"/>
      <c r="BJ643" s="48"/>
      <c r="BK643" s="48"/>
      <c r="BL643" s="48"/>
      <c r="BM643" s="48"/>
      <c r="BN643" s="48"/>
      <c r="BO643" s="48"/>
      <c r="BP643" s="48"/>
      <c r="BQ643" s="48"/>
      <c r="BR643" s="48"/>
      <c r="BS643" s="48"/>
      <c r="BT643" s="48"/>
      <c r="BU643" s="48"/>
      <c r="BV643" s="48"/>
      <c r="BW643" s="48"/>
      <c r="BX643" s="48"/>
      <c r="BY643" s="48"/>
      <c r="BZ643" s="48"/>
      <c r="CA643" s="48"/>
      <c r="CB643" s="48"/>
      <c r="CC643" s="48"/>
      <c r="CD643" s="48"/>
      <c r="CE643" s="48"/>
      <c r="CF643" s="48"/>
      <c r="CG643" s="48"/>
      <c r="CH643" s="48"/>
      <c r="CI643" s="48"/>
      <c r="CJ643" s="48"/>
      <c r="CK643" s="48"/>
      <c r="CL643" s="48"/>
      <c r="CM643" s="48"/>
      <c r="CN643" s="48"/>
      <c r="CO643" s="48"/>
      <c r="CP643" s="48"/>
      <c r="CQ643" s="48"/>
      <c r="CR643" s="48"/>
      <c r="CS643" s="48"/>
      <c r="CT643" s="48"/>
      <c r="CU643" s="48"/>
      <c r="CV643" s="48"/>
      <c r="CW643" s="48"/>
      <c r="CX643" s="48"/>
      <c r="CY643" s="48"/>
      <c r="CZ643" s="48"/>
      <c r="DA643" s="48"/>
      <c r="DB643" s="48"/>
      <c r="DC643" s="48"/>
      <c r="DD643" s="48"/>
      <c r="DE643" s="48"/>
      <c r="DF643" s="48"/>
      <c r="DG643" s="48"/>
      <c r="DH643" s="48"/>
      <c r="DI643" s="48"/>
      <c r="DJ643" s="48"/>
      <c r="DK643" s="48"/>
      <c r="DL643" s="48"/>
      <c r="DM643" s="48"/>
      <c r="DN643" s="48"/>
      <c r="DO643" s="48"/>
      <c r="DP643" s="48"/>
      <c r="DQ643" s="48"/>
      <c r="DR643" s="48"/>
      <c r="DS643" s="48"/>
    </row>
    <row r="644" spans="1:123" ht="15">
      <c r="A644"/>
      <c r="B644"/>
      <c r="C644"/>
      <c r="D644"/>
      <c r="E644"/>
      <c r="F644"/>
      <c r="G644"/>
      <c r="H644"/>
      <c r="I644"/>
      <c r="J644"/>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c r="BS644" s="48"/>
      <c r="BT644" s="48"/>
      <c r="BU644" s="48"/>
      <c r="BV644" s="48"/>
      <c r="BW644" s="48"/>
      <c r="BX644" s="48"/>
      <c r="BY644" s="48"/>
      <c r="BZ644" s="48"/>
      <c r="CA644" s="48"/>
      <c r="CB644" s="48"/>
      <c r="CC644" s="48"/>
      <c r="CD644" s="48"/>
      <c r="CE644" s="48"/>
      <c r="CF644" s="48"/>
      <c r="CG644" s="48"/>
      <c r="CH644" s="48"/>
      <c r="CI644" s="48"/>
      <c r="CJ644" s="48"/>
      <c r="CK644" s="48"/>
      <c r="CL644" s="48"/>
      <c r="CM644" s="48"/>
      <c r="CN644" s="48"/>
      <c r="CO644" s="48"/>
      <c r="CP644" s="48"/>
      <c r="CQ644" s="48"/>
      <c r="CR644" s="48"/>
      <c r="CS644" s="48"/>
      <c r="CT644" s="48"/>
      <c r="CU644" s="48"/>
      <c r="CV644" s="48"/>
      <c r="CW644" s="48"/>
      <c r="CX644" s="48"/>
      <c r="CY644" s="48"/>
      <c r="CZ644" s="48"/>
      <c r="DA644" s="48"/>
      <c r="DB644" s="48"/>
      <c r="DC644" s="48"/>
      <c r="DD644" s="48"/>
      <c r="DE644" s="48"/>
      <c r="DF644" s="48"/>
      <c r="DG644" s="48"/>
      <c r="DH644" s="48"/>
      <c r="DI644" s="48"/>
      <c r="DJ644" s="48"/>
      <c r="DK644" s="48"/>
      <c r="DL644" s="48"/>
      <c r="DM644" s="48"/>
      <c r="DN644" s="48"/>
      <c r="DO644" s="48"/>
      <c r="DP644" s="48"/>
      <c r="DQ644" s="48"/>
      <c r="DR644" s="48"/>
      <c r="DS644" s="48"/>
    </row>
    <row r="645" spans="1:123" ht="15">
      <c r="A645"/>
      <c r="B645"/>
      <c r="C645"/>
      <c r="D645"/>
      <c r="E645"/>
      <c r="F645"/>
      <c r="G645"/>
      <c r="H645"/>
      <c r="I645"/>
      <c r="J645"/>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48"/>
      <c r="BH645" s="48"/>
      <c r="BI645" s="48"/>
      <c r="BJ645" s="48"/>
      <c r="BK645" s="48"/>
      <c r="BL645" s="48"/>
      <c r="BM645" s="48"/>
      <c r="BN645" s="48"/>
      <c r="BO645" s="48"/>
      <c r="BP645" s="48"/>
      <c r="BQ645" s="48"/>
      <c r="BR645" s="48"/>
      <c r="BS645" s="48"/>
      <c r="BT645" s="48"/>
      <c r="BU645" s="48"/>
      <c r="BV645" s="48"/>
      <c r="BW645" s="48"/>
      <c r="BX645" s="48"/>
      <c r="BY645" s="48"/>
      <c r="BZ645" s="48"/>
      <c r="CA645" s="48"/>
      <c r="CB645" s="48"/>
      <c r="CC645" s="48"/>
      <c r="CD645" s="48"/>
      <c r="CE645" s="48"/>
      <c r="CF645" s="48"/>
      <c r="CG645" s="48"/>
      <c r="CH645" s="48"/>
      <c r="CI645" s="48"/>
      <c r="CJ645" s="48"/>
      <c r="CK645" s="48"/>
      <c r="CL645" s="48"/>
      <c r="CM645" s="48"/>
      <c r="CN645" s="48"/>
      <c r="CO645" s="48"/>
      <c r="CP645" s="48"/>
      <c r="CQ645" s="48"/>
      <c r="CR645" s="48"/>
      <c r="CS645" s="48"/>
      <c r="CT645" s="48"/>
      <c r="CU645" s="48"/>
      <c r="CV645" s="48"/>
      <c r="CW645" s="48"/>
      <c r="CX645" s="48"/>
      <c r="CY645" s="48"/>
      <c r="CZ645" s="48"/>
      <c r="DA645" s="48"/>
      <c r="DB645" s="48"/>
      <c r="DC645" s="48"/>
      <c r="DD645" s="48"/>
      <c r="DE645" s="48"/>
      <c r="DF645" s="48"/>
      <c r="DG645" s="48"/>
      <c r="DH645" s="48"/>
      <c r="DI645" s="48"/>
      <c r="DJ645" s="48"/>
      <c r="DK645" s="48"/>
      <c r="DL645" s="48"/>
      <c r="DM645" s="48"/>
      <c r="DN645" s="48"/>
      <c r="DO645" s="48"/>
      <c r="DP645" s="48"/>
      <c r="DQ645" s="48"/>
      <c r="DR645" s="48"/>
      <c r="DS645" s="48"/>
    </row>
    <row r="646" spans="1:123" ht="15">
      <c r="A646"/>
      <c r="B646"/>
      <c r="C646"/>
      <c r="D646"/>
      <c r="E646"/>
      <c r="F646"/>
      <c r="G646"/>
      <c r="H646"/>
      <c r="I646"/>
      <c r="J646"/>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48"/>
      <c r="BH646" s="48"/>
      <c r="BI646" s="48"/>
      <c r="BJ646" s="48"/>
      <c r="BK646" s="48"/>
      <c r="BL646" s="48"/>
      <c r="BM646" s="48"/>
      <c r="BN646" s="48"/>
      <c r="BO646" s="48"/>
      <c r="BP646" s="48"/>
      <c r="BQ646" s="48"/>
      <c r="BR646" s="48"/>
      <c r="BS646" s="48"/>
      <c r="BT646" s="48"/>
      <c r="BU646" s="48"/>
      <c r="BV646" s="48"/>
      <c r="BW646" s="48"/>
      <c r="BX646" s="48"/>
      <c r="BY646" s="48"/>
      <c r="BZ646" s="48"/>
      <c r="CA646" s="48"/>
      <c r="CB646" s="48"/>
      <c r="CC646" s="48"/>
      <c r="CD646" s="48"/>
      <c r="CE646" s="48"/>
      <c r="CF646" s="48"/>
      <c r="CG646" s="48"/>
      <c r="CH646" s="48"/>
      <c r="CI646" s="48"/>
      <c r="CJ646" s="48"/>
      <c r="CK646" s="48"/>
      <c r="CL646" s="48"/>
      <c r="CM646" s="48"/>
      <c r="CN646" s="48"/>
      <c r="CO646" s="48"/>
      <c r="CP646" s="48"/>
      <c r="CQ646" s="48"/>
      <c r="CR646" s="48"/>
      <c r="CS646" s="48"/>
      <c r="CT646" s="48"/>
      <c r="CU646" s="48"/>
      <c r="CV646" s="48"/>
      <c r="CW646" s="48"/>
      <c r="CX646" s="48"/>
      <c r="CY646" s="48"/>
      <c r="CZ646" s="48"/>
      <c r="DA646" s="48"/>
      <c r="DB646" s="48"/>
      <c r="DC646" s="48"/>
      <c r="DD646" s="48"/>
      <c r="DE646" s="48"/>
      <c r="DF646" s="48"/>
      <c r="DG646" s="48"/>
      <c r="DH646" s="48"/>
      <c r="DI646" s="48"/>
      <c r="DJ646" s="48"/>
      <c r="DK646" s="48"/>
      <c r="DL646" s="48"/>
      <c r="DM646" s="48"/>
      <c r="DN646" s="48"/>
      <c r="DO646" s="48"/>
      <c r="DP646" s="48"/>
      <c r="DQ646" s="48"/>
      <c r="DR646" s="48"/>
      <c r="DS646" s="48"/>
    </row>
    <row r="647" spans="1:123" ht="15">
      <c r="A647"/>
      <c r="B647"/>
      <c r="C647"/>
      <c r="D647"/>
      <c r="E647"/>
      <c r="F647"/>
      <c r="G647"/>
      <c r="H647"/>
      <c r="I647"/>
      <c r="J647"/>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48"/>
      <c r="BH647" s="48"/>
      <c r="BI647" s="48"/>
      <c r="BJ647" s="48"/>
      <c r="BK647" s="48"/>
      <c r="BL647" s="48"/>
      <c r="BM647" s="48"/>
      <c r="BN647" s="48"/>
      <c r="BO647" s="48"/>
      <c r="BP647" s="48"/>
      <c r="BQ647" s="48"/>
      <c r="BR647" s="48"/>
      <c r="BS647" s="48"/>
      <c r="BT647" s="48"/>
      <c r="BU647" s="48"/>
      <c r="BV647" s="48"/>
      <c r="BW647" s="48"/>
      <c r="BX647" s="48"/>
      <c r="BY647" s="48"/>
      <c r="BZ647" s="48"/>
      <c r="CA647" s="48"/>
      <c r="CB647" s="48"/>
      <c r="CC647" s="48"/>
      <c r="CD647" s="48"/>
      <c r="CE647" s="48"/>
      <c r="CF647" s="48"/>
      <c r="CG647" s="48"/>
      <c r="CH647" s="48"/>
      <c r="CI647" s="48"/>
      <c r="CJ647" s="48"/>
      <c r="CK647" s="48"/>
      <c r="CL647" s="48"/>
      <c r="CM647" s="48"/>
      <c r="CN647" s="48"/>
      <c r="CO647" s="48"/>
      <c r="CP647" s="48"/>
      <c r="CQ647" s="48"/>
      <c r="CR647" s="48"/>
      <c r="CS647" s="48"/>
      <c r="CT647" s="48"/>
      <c r="CU647" s="48"/>
      <c r="CV647" s="48"/>
      <c r="CW647" s="48"/>
      <c r="CX647" s="48"/>
      <c r="CY647" s="48"/>
      <c r="CZ647" s="48"/>
      <c r="DA647" s="48"/>
      <c r="DB647" s="48"/>
      <c r="DC647" s="48"/>
      <c r="DD647" s="48"/>
      <c r="DE647" s="48"/>
      <c r="DF647" s="48"/>
      <c r="DG647" s="48"/>
      <c r="DH647" s="48"/>
      <c r="DI647" s="48"/>
      <c r="DJ647" s="48"/>
      <c r="DK647" s="48"/>
      <c r="DL647" s="48"/>
      <c r="DM647" s="48"/>
      <c r="DN647" s="48"/>
      <c r="DO647" s="48"/>
      <c r="DP647" s="48"/>
      <c r="DQ647" s="48"/>
      <c r="DR647" s="48"/>
      <c r="DS647" s="48"/>
    </row>
    <row r="648" spans="1:123" ht="15">
      <c r="A648"/>
      <c r="B648"/>
      <c r="C648"/>
      <c r="D648"/>
      <c r="E648"/>
      <c r="F648"/>
      <c r="G648"/>
      <c r="H648"/>
      <c r="I648"/>
      <c r="J6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48"/>
      <c r="BH648" s="48"/>
      <c r="BI648" s="48"/>
      <c r="BJ648" s="48"/>
      <c r="BK648" s="48"/>
      <c r="BL648" s="48"/>
      <c r="BM648" s="48"/>
      <c r="BN648" s="48"/>
      <c r="BO648" s="48"/>
      <c r="BP648" s="48"/>
      <c r="BQ648" s="48"/>
      <c r="BR648" s="48"/>
      <c r="BS648" s="48"/>
      <c r="BT648" s="48"/>
      <c r="BU648" s="48"/>
      <c r="BV648" s="48"/>
      <c r="BW648" s="48"/>
      <c r="BX648" s="48"/>
      <c r="BY648" s="48"/>
      <c r="BZ648" s="48"/>
      <c r="CA648" s="48"/>
      <c r="CB648" s="48"/>
      <c r="CC648" s="48"/>
      <c r="CD648" s="48"/>
      <c r="CE648" s="48"/>
      <c r="CF648" s="48"/>
      <c r="CG648" s="48"/>
      <c r="CH648" s="48"/>
      <c r="CI648" s="48"/>
      <c r="CJ648" s="48"/>
      <c r="CK648" s="48"/>
      <c r="CL648" s="48"/>
      <c r="CM648" s="48"/>
      <c r="CN648" s="48"/>
      <c r="CO648" s="48"/>
      <c r="CP648" s="48"/>
      <c r="CQ648" s="48"/>
      <c r="CR648" s="48"/>
      <c r="CS648" s="48"/>
      <c r="CT648" s="48"/>
      <c r="CU648" s="48"/>
      <c r="CV648" s="48"/>
      <c r="CW648" s="48"/>
      <c r="CX648" s="48"/>
      <c r="CY648" s="48"/>
      <c r="CZ648" s="48"/>
      <c r="DA648" s="48"/>
      <c r="DB648" s="48"/>
      <c r="DC648" s="48"/>
      <c r="DD648" s="48"/>
      <c r="DE648" s="48"/>
      <c r="DF648" s="48"/>
      <c r="DG648" s="48"/>
      <c r="DH648" s="48"/>
      <c r="DI648" s="48"/>
      <c r="DJ648" s="48"/>
      <c r="DK648" s="48"/>
      <c r="DL648" s="48"/>
      <c r="DM648" s="48"/>
      <c r="DN648" s="48"/>
      <c r="DO648" s="48"/>
      <c r="DP648" s="48"/>
      <c r="DQ648" s="48"/>
      <c r="DR648" s="48"/>
      <c r="DS648" s="48"/>
    </row>
    <row r="649" spans="1:123" ht="15">
      <c r="A649"/>
      <c r="B649"/>
      <c r="C649"/>
      <c r="D649"/>
      <c r="E649"/>
      <c r="F649"/>
      <c r="G649"/>
      <c r="H649"/>
      <c r="I649"/>
      <c r="J649"/>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48"/>
      <c r="BJ649" s="48"/>
      <c r="BK649" s="48"/>
      <c r="BL649" s="48"/>
      <c r="BM649" s="48"/>
      <c r="BN649" s="48"/>
      <c r="BO649" s="48"/>
      <c r="BP649" s="48"/>
      <c r="BQ649" s="48"/>
      <c r="BR649" s="48"/>
      <c r="BS649" s="48"/>
      <c r="BT649" s="48"/>
      <c r="BU649" s="48"/>
      <c r="BV649" s="48"/>
      <c r="BW649" s="48"/>
      <c r="BX649" s="48"/>
      <c r="BY649" s="48"/>
      <c r="BZ649" s="48"/>
      <c r="CA649" s="48"/>
      <c r="CB649" s="48"/>
      <c r="CC649" s="48"/>
      <c r="CD649" s="48"/>
      <c r="CE649" s="48"/>
      <c r="CF649" s="48"/>
      <c r="CG649" s="48"/>
      <c r="CH649" s="48"/>
      <c r="CI649" s="48"/>
      <c r="CJ649" s="48"/>
      <c r="CK649" s="48"/>
      <c r="CL649" s="48"/>
      <c r="CM649" s="48"/>
      <c r="CN649" s="48"/>
      <c r="CO649" s="48"/>
      <c r="CP649" s="48"/>
      <c r="CQ649" s="48"/>
      <c r="CR649" s="48"/>
      <c r="CS649" s="48"/>
      <c r="CT649" s="48"/>
      <c r="CU649" s="48"/>
      <c r="CV649" s="48"/>
      <c r="CW649" s="48"/>
      <c r="CX649" s="48"/>
      <c r="CY649" s="48"/>
      <c r="CZ649" s="48"/>
      <c r="DA649" s="48"/>
      <c r="DB649" s="48"/>
      <c r="DC649" s="48"/>
      <c r="DD649" s="48"/>
      <c r="DE649" s="48"/>
      <c r="DF649" s="48"/>
      <c r="DG649" s="48"/>
      <c r="DH649" s="48"/>
      <c r="DI649" s="48"/>
      <c r="DJ649" s="48"/>
      <c r="DK649" s="48"/>
      <c r="DL649" s="48"/>
      <c r="DM649" s="48"/>
      <c r="DN649" s="48"/>
      <c r="DO649" s="48"/>
      <c r="DP649" s="48"/>
      <c r="DQ649" s="48"/>
      <c r="DR649" s="48"/>
      <c r="DS649" s="48"/>
    </row>
    <row r="650" spans="1:123" ht="15">
      <c r="A650"/>
      <c r="B650"/>
      <c r="C650"/>
      <c r="D650"/>
      <c r="E650"/>
      <c r="F650"/>
      <c r="G650"/>
      <c r="H650"/>
      <c r="I650"/>
      <c r="J650"/>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c r="BS650" s="48"/>
      <c r="BT650" s="48"/>
      <c r="BU650" s="48"/>
      <c r="BV650" s="48"/>
      <c r="BW650" s="48"/>
      <c r="BX650" s="48"/>
      <c r="BY650" s="48"/>
      <c r="BZ650" s="48"/>
      <c r="CA650" s="48"/>
      <c r="CB650" s="48"/>
      <c r="CC650" s="48"/>
      <c r="CD650" s="48"/>
      <c r="CE650" s="48"/>
      <c r="CF650" s="48"/>
      <c r="CG650" s="48"/>
      <c r="CH650" s="48"/>
      <c r="CI650" s="48"/>
      <c r="CJ650" s="48"/>
      <c r="CK650" s="48"/>
      <c r="CL650" s="48"/>
      <c r="CM650" s="48"/>
      <c r="CN650" s="48"/>
      <c r="CO650" s="48"/>
      <c r="CP650" s="48"/>
      <c r="CQ650" s="48"/>
      <c r="CR650" s="48"/>
      <c r="CS650" s="48"/>
      <c r="CT650" s="48"/>
      <c r="CU650" s="48"/>
      <c r="CV650" s="48"/>
      <c r="CW650" s="48"/>
      <c r="CX650" s="48"/>
      <c r="CY650" s="48"/>
      <c r="CZ650" s="48"/>
      <c r="DA650" s="48"/>
      <c r="DB650" s="48"/>
      <c r="DC650" s="48"/>
      <c r="DD650" s="48"/>
      <c r="DE650" s="48"/>
      <c r="DF650" s="48"/>
      <c r="DG650" s="48"/>
      <c r="DH650" s="48"/>
      <c r="DI650" s="48"/>
      <c r="DJ650" s="48"/>
      <c r="DK650" s="48"/>
      <c r="DL650" s="48"/>
      <c r="DM650" s="48"/>
      <c r="DN650" s="48"/>
      <c r="DO650" s="48"/>
      <c r="DP650" s="48"/>
      <c r="DQ650" s="48"/>
      <c r="DR650" s="48"/>
      <c r="DS650" s="48"/>
    </row>
    <row r="651" spans="1:123" ht="15">
      <c r="A651"/>
      <c r="B651"/>
      <c r="C651"/>
      <c r="D651"/>
      <c r="E651"/>
      <c r="F651"/>
      <c r="G651"/>
      <c r="H651"/>
      <c r="I651"/>
      <c r="J651"/>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48"/>
      <c r="BH651" s="48"/>
      <c r="BI651" s="48"/>
      <c r="BJ651" s="48"/>
      <c r="BK651" s="48"/>
      <c r="BL651" s="48"/>
      <c r="BM651" s="48"/>
      <c r="BN651" s="48"/>
      <c r="BO651" s="48"/>
      <c r="BP651" s="48"/>
      <c r="BQ651" s="48"/>
      <c r="BR651" s="48"/>
      <c r="BS651" s="48"/>
      <c r="BT651" s="48"/>
      <c r="BU651" s="48"/>
      <c r="BV651" s="48"/>
      <c r="BW651" s="48"/>
      <c r="BX651" s="48"/>
      <c r="BY651" s="48"/>
      <c r="BZ651" s="48"/>
      <c r="CA651" s="48"/>
      <c r="CB651" s="48"/>
      <c r="CC651" s="48"/>
      <c r="CD651" s="48"/>
      <c r="CE651" s="48"/>
      <c r="CF651" s="48"/>
      <c r="CG651" s="48"/>
      <c r="CH651" s="48"/>
      <c r="CI651" s="48"/>
      <c r="CJ651" s="48"/>
      <c r="CK651" s="48"/>
      <c r="CL651" s="48"/>
      <c r="CM651" s="48"/>
      <c r="CN651" s="48"/>
      <c r="CO651" s="48"/>
      <c r="CP651" s="48"/>
      <c r="CQ651" s="48"/>
      <c r="CR651" s="48"/>
      <c r="CS651" s="48"/>
      <c r="CT651" s="48"/>
      <c r="CU651" s="48"/>
      <c r="CV651" s="48"/>
      <c r="CW651" s="48"/>
      <c r="CX651" s="48"/>
      <c r="CY651" s="48"/>
      <c r="CZ651" s="48"/>
      <c r="DA651" s="48"/>
      <c r="DB651" s="48"/>
      <c r="DC651" s="48"/>
      <c r="DD651" s="48"/>
      <c r="DE651" s="48"/>
      <c r="DF651" s="48"/>
      <c r="DG651" s="48"/>
      <c r="DH651" s="48"/>
      <c r="DI651" s="48"/>
      <c r="DJ651" s="48"/>
      <c r="DK651" s="48"/>
      <c r="DL651" s="48"/>
      <c r="DM651" s="48"/>
      <c r="DN651" s="48"/>
      <c r="DO651" s="48"/>
      <c r="DP651" s="48"/>
      <c r="DQ651" s="48"/>
      <c r="DR651" s="48"/>
      <c r="DS651" s="48"/>
    </row>
    <row r="652" spans="1:123" ht="15">
      <c r="A652"/>
      <c r="B652"/>
      <c r="C652"/>
      <c r="D652"/>
      <c r="E652"/>
      <c r="F652"/>
      <c r="G652"/>
      <c r="H652"/>
      <c r="I652"/>
      <c r="J652"/>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c r="BO652" s="48"/>
      <c r="BP652" s="48"/>
      <c r="BQ652" s="48"/>
      <c r="BR652" s="48"/>
      <c r="BS652" s="48"/>
      <c r="BT652" s="48"/>
      <c r="BU652" s="48"/>
      <c r="BV652" s="48"/>
      <c r="BW652" s="48"/>
      <c r="BX652" s="48"/>
      <c r="BY652" s="48"/>
      <c r="BZ652" s="48"/>
      <c r="CA652" s="48"/>
      <c r="CB652" s="48"/>
      <c r="CC652" s="48"/>
      <c r="CD652" s="48"/>
      <c r="CE652" s="48"/>
      <c r="CF652" s="48"/>
      <c r="CG652" s="48"/>
      <c r="CH652" s="48"/>
      <c r="CI652" s="48"/>
      <c r="CJ652" s="48"/>
      <c r="CK652" s="48"/>
      <c r="CL652" s="48"/>
      <c r="CM652" s="48"/>
      <c r="CN652" s="48"/>
      <c r="CO652" s="48"/>
      <c r="CP652" s="48"/>
      <c r="CQ652" s="48"/>
      <c r="CR652" s="48"/>
      <c r="CS652" s="48"/>
      <c r="CT652" s="48"/>
      <c r="CU652" s="48"/>
      <c r="CV652" s="48"/>
      <c r="CW652" s="48"/>
      <c r="CX652" s="48"/>
      <c r="CY652" s="48"/>
      <c r="CZ652" s="48"/>
      <c r="DA652" s="48"/>
      <c r="DB652" s="48"/>
      <c r="DC652" s="48"/>
      <c r="DD652" s="48"/>
      <c r="DE652" s="48"/>
      <c r="DF652" s="48"/>
      <c r="DG652" s="48"/>
      <c r="DH652" s="48"/>
      <c r="DI652" s="48"/>
      <c r="DJ652" s="48"/>
      <c r="DK652" s="48"/>
      <c r="DL652" s="48"/>
      <c r="DM652" s="48"/>
      <c r="DN652" s="48"/>
      <c r="DO652" s="48"/>
      <c r="DP652" s="48"/>
      <c r="DQ652" s="48"/>
      <c r="DR652" s="48"/>
      <c r="DS652" s="48"/>
    </row>
    <row r="653" spans="1:123" ht="15">
      <c r="A653"/>
      <c r="B653"/>
      <c r="C653"/>
      <c r="D653"/>
      <c r="E653"/>
      <c r="F653"/>
      <c r="G653"/>
      <c r="H653"/>
      <c r="I653"/>
      <c r="J653"/>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c r="BO653" s="48"/>
      <c r="BP653" s="48"/>
      <c r="BQ653" s="48"/>
      <c r="BR653" s="48"/>
      <c r="BS653" s="48"/>
      <c r="BT653" s="48"/>
      <c r="BU653" s="48"/>
      <c r="BV653" s="48"/>
      <c r="BW653" s="48"/>
      <c r="BX653" s="48"/>
      <c r="BY653" s="48"/>
      <c r="BZ653" s="48"/>
      <c r="CA653" s="48"/>
      <c r="CB653" s="48"/>
      <c r="CC653" s="48"/>
      <c r="CD653" s="48"/>
      <c r="CE653" s="48"/>
      <c r="CF653" s="48"/>
      <c r="CG653" s="48"/>
      <c r="CH653" s="48"/>
      <c r="CI653" s="48"/>
      <c r="CJ653" s="48"/>
      <c r="CK653" s="48"/>
      <c r="CL653" s="48"/>
      <c r="CM653" s="48"/>
      <c r="CN653" s="48"/>
      <c r="CO653" s="48"/>
      <c r="CP653" s="48"/>
      <c r="CQ653" s="48"/>
      <c r="CR653" s="48"/>
      <c r="CS653" s="48"/>
      <c r="CT653" s="48"/>
      <c r="CU653" s="48"/>
      <c r="CV653" s="48"/>
      <c r="CW653" s="48"/>
      <c r="CX653" s="48"/>
      <c r="CY653" s="48"/>
      <c r="CZ653" s="48"/>
      <c r="DA653" s="48"/>
      <c r="DB653" s="48"/>
      <c r="DC653" s="48"/>
      <c r="DD653" s="48"/>
      <c r="DE653" s="48"/>
      <c r="DF653" s="48"/>
      <c r="DG653" s="48"/>
      <c r="DH653" s="48"/>
      <c r="DI653" s="48"/>
      <c r="DJ653" s="48"/>
      <c r="DK653" s="48"/>
      <c r="DL653" s="48"/>
      <c r="DM653" s="48"/>
      <c r="DN653" s="48"/>
      <c r="DO653" s="48"/>
      <c r="DP653" s="48"/>
      <c r="DQ653" s="48"/>
      <c r="DR653" s="48"/>
      <c r="DS653" s="48"/>
    </row>
    <row r="654" spans="1:123" ht="15">
      <c r="A654"/>
      <c r="B654"/>
      <c r="C654"/>
      <c r="D654"/>
      <c r="E654"/>
      <c r="F654"/>
      <c r="G654"/>
      <c r="H654"/>
      <c r="I654"/>
      <c r="J654"/>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c r="BO654" s="48"/>
      <c r="BP654" s="48"/>
      <c r="BQ654" s="48"/>
      <c r="BR654" s="48"/>
      <c r="BS654" s="48"/>
      <c r="BT654" s="48"/>
      <c r="BU654" s="48"/>
      <c r="BV654" s="48"/>
      <c r="BW654" s="48"/>
      <c r="BX654" s="48"/>
      <c r="BY654" s="48"/>
      <c r="BZ654" s="48"/>
      <c r="CA654" s="48"/>
      <c r="CB654" s="48"/>
      <c r="CC654" s="48"/>
      <c r="CD654" s="48"/>
      <c r="CE654" s="48"/>
      <c r="CF654" s="48"/>
      <c r="CG654" s="48"/>
      <c r="CH654" s="48"/>
      <c r="CI654" s="48"/>
      <c r="CJ654" s="48"/>
      <c r="CK654" s="48"/>
      <c r="CL654" s="48"/>
      <c r="CM654" s="48"/>
      <c r="CN654" s="48"/>
      <c r="CO654" s="48"/>
      <c r="CP654" s="48"/>
      <c r="CQ654" s="48"/>
      <c r="CR654" s="48"/>
      <c r="CS654" s="48"/>
      <c r="CT654" s="48"/>
      <c r="CU654" s="48"/>
      <c r="CV654" s="48"/>
      <c r="CW654" s="48"/>
      <c r="CX654" s="48"/>
      <c r="CY654" s="48"/>
      <c r="CZ654" s="48"/>
      <c r="DA654" s="48"/>
      <c r="DB654" s="48"/>
      <c r="DC654" s="48"/>
      <c r="DD654" s="48"/>
      <c r="DE654" s="48"/>
      <c r="DF654" s="48"/>
      <c r="DG654" s="48"/>
      <c r="DH654" s="48"/>
      <c r="DI654" s="48"/>
      <c r="DJ654" s="48"/>
      <c r="DK654" s="48"/>
      <c r="DL654" s="48"/>
      <c r="DM654" s="48"/>
      <c r="DN654" s="48"/>
      <c r="DO654" s="48"/>
      <c r="DP654" s="48"/>
      <c r="DQ654" s="48"/>
      <c r="DR654" s="48"/>
      <c r="DS654" s="48"/>
    </row>
    <row r="655" spans="1:123" ht="15">
      <c r="A655"/>
      <c r="B655"/>
      <c r="C655"/>
      <c r="D655"/>
      <c r="E655"/>
      <c r="F655"/>
      <c r="G655"/>
      <c r="H655"/>
      <c r="I655"/>
      <c r="J655"/>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c r="BS655" s="48"/>
      <c r="BT655" s="48"/>
      <c r="BU655" s="48"/>
      <c r="BV655" s="48"/>
      <c r="BW655" s="48"/>
      <c r="BX655" s="48"/>
      <c r="BY655" s="48"/>
      <c r="BZ655" s="48"/>
      <c r="CA655" s="48"/>
      <c r="CB655" s="48"/>
      <c r="CC655" s="48"/>
      <c r="CD655" s="48"/>
      <c r="CE655" s="48"/>
      <c r="CF655" s="48"/>
      <c r="CG655" s="48"/>
      <c r="CH655" s="48"/>
      <c r="CI655" s="48"/>
      <c r="CJ655" s="48"/>
      <c r="CK655" s="48"/>
      <c r="CL655" s="48"/>
      <c r="CM655" s="48"/>
      <c r="CN655" s="48"/>
      <c r="CO655" s="48"/>
      <c r="CP655" s="48"/>
      <c r="CQ655" s="48"/>
      <c r="CR655" s="48"/>
      <c r="CS655" s="48"/>
      <c r="CT655" s="48"/>
      <c r="CU655" s="48"/>
      <c r="CV655" s="48"/>
      <c r="CW655" s="48"/>
      <c r="CX655" s="48"/>
      <c r="CY655" s="48"/>
      <c r="CZ655" s="48"/>
      <c r="DA655" s="48"/>
      <c r="DB655" s="48"/>
      <c r="DC655" s="48"/>
      <c r="DD655" s="48"/>
      <c r="DE655" s="48"/>
      <c r="DF655" s="48"/>
      <c r="DG655" s="48"/>
      <c r="DH655" s="48"/>
      <c r="DI655" s="48"/>
      <c r="DJ655" s="48"/>
      <c r="DK655" s="48"/>
      <c r="DL655" s="48"/>
      <c r="DM655" s="48"/>
      <c r="DN655" s="48"/>
      <c r="DO655" s="48"/>
      <c r="DP655" s="48"/>
      <c r="DQ655" s="48"/>
      <c r="DR655" s="48"/>
      <c r="DS655" s="48"/>
    </row>
    <row r="656" spans="1:123" ht="15">
      <c r="A656"/>
      <c r="B656"/>
      <c r="C656"/>
      <c r="D656"/>
      <c r="E656"/>
      <c r="F656"/>
      <c r="G656"/>
      <c r="H656"/>
      <c r="I656"/>
      <c r="J656"/>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48"/>
      <c r="BH656" s="48"/>
      <c r="BI656" s="48"/>
      <c r="BJ656" s="48"/>
      <c r="BK656" s="48"/>
      <c r="BL656" s="48"/>
      <c r="BM656" s="48"/>
      <c r="BN656" s="48"/>
      <c r="BO656" s="48"/>
      <c r="BP656" s="48"/>
      <c r="BQ656" s="48"/>
      <c r="BR656" s="48"/>
      <c r="BS656" s="48"/>
      <c r="BT656" s="48"/>
      <c r="BU656" s="48"/>
      <c r="BV656" s="48"/>
      <c r="BW656" s="48"/>
      <c r="BX656" s="48"/>
      <c r="BY656" s="48"/>
      <c r="BZ656" s="48"/>
      <c r="CA656" s="48"/>
      <c r="CB656" s="48"/>
      <c r="CC656" s="48"/>
      <c r="CD656" s="48"/>
      <c r="CE656" s="48"/>
      <c r="CF656" s="48"/>
      <c r="CG656" s="48"/>
      <c r="CH656" s="48"/>
      <c r="CI656" s="48"/>
      <c r="CJ656" s="48"/>
      <c r="CK656" s="48"/>
      <c r="CL656" s="48"/>
      <c r="CM656" s="48"/>
      <c r="CN656" s="48"/>
      <c r="CO656" s="48"/>
      <c r="CP656" s="48"/>
      <c r="CQ656" s="48"/>
      <c r="CR656" s="48"/>
      <c r="CS656" s="48"/>
      <c r="CT656" s="48"/>
      <c r="CU656" s="48"/>
      <c r="CV656" s="48"/>
      <c r="CW656" s="48"/>
      <c r="CX656" s="48"/>
      <c r="CY656" s="48"/>
      <c r="CZ656" s="48"/>
      <c r="DA656" s="48"/>
      <c r="DB656" s="48"/>
      <c r="DC656" s="48"/>
      <c r="DD656" s="48"/>
      <c r="DE656" s="48"/>
      <c r="DF656" s="48"/>
      <c r="DG656" s="48"/>
      <c r="DH656" s="48"/>
      <c r="DI656" s="48"/>
      <c r="DJ656" s="48"/>
      <c r="DK656" s="48"/>
      <c r="DL656" s="48"/>
      <c r="DM656" s="48"/>
      <c r="DN656" s="48"/>
      <c r="DO656" s="48"/>
      <c r="DP656" s="48"/>
      <c r="DQ656" s="48"/>
      <c r="DR656" s="48"/>
      <c r="DS656" s="48"/>
    </row>
    <row r="657" spans="1:123" ht="15">
      <c r="A657"/>
      <c r="B657"/>
      <c r="C657"/>
      <c r="D657"/>
      <c r="E657"/>
      <c r="F657"/>
      <c r="G657"/>
      <c r="H657"/>
      <c r="I657"/>
      <c r="J657"/>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48"/>
      <c r="BH657" s="48"/>
      <c r="BI657" s="48"/>
      <c r="BJ657" s="48"/>
      <c r="BK657" s="48"/>
      <c r="BL657" s="48"/>
      <c r="BM657" s="48"/>
      <c r="BN657" s="48"/>
      <c r="BO657" s="48"/>
      <c r="BP657" s="48"/>
      <c r="BQ657" s="48"/>
      <c r="BR657" s="48"/>
      <c r="BS657" s="48"/>
      <c r="BT657" s="48"/>
      <c r="BU657" s="48"/>
      <c r="BV657" s="48"/>
      <c r="BW657" s="48"/>
      <c r="BX657" s="48"/>
      <c r="BY657" s="48"/>
      <c r="BZ657" s="48"/>
      <c r="CA657" s="48"/>
      <c r="CB657" s="48"/>
      <c r="CC657" s="48"/>
      <c r="CD657" s="48"/>
      <c r="CE657" s="48"/>
      <c r="CF657" s="48"/>
      <c r="CG657" s="48"/>
      <c r="CH657" s="48"/>
      <c r="CI657" s="48"/>
      <c r="CJ657" s="48"/>
      <c r="CK657" s="48"/>
      <c r="CL657" s="48"/>
      <c r="CM657" s="48"/>
      <c r="CN657" s="48"/>
      <c r="CO657" s="48"/>
      <c r="CP657" s="48"/>
      <c r="CQ657" s="48"/>
      <c r="CR657" s="48"/>
      <c r="CS657" s="48"/>
      <c r="CT657" s="48"/>
      <c r="CU657" s="48"/>
      <c r="CV657" s="48"/>
      <c r="CW657" s="48"/>
      <c r="CX657" s="48"/>
      <c r="CY657" s="48"/>
      <c r="CZ657" s="48"/>
      <c r="DA657" s="48"/>
      <c r="DB657" s="48"/>
      <c r="DC657" s="48"/>
      <c r="DD657" s="48"/>
      <c r="DE657" s="48"/>
      <c r="DF657" s="48"/>
      <c r="DG657" s="48"/>
      <c r="DH657" s="48"/>
      <c r="DI657" s="48"/>
      <c r="DJ657" s="48"/>
      <c r="DK657" s="48"/>
      <c r="DL657" s="48"/>
      <c r="DM657" s="48"/>
      <c r="DN657" s="48"/>
      <c r="DO657" s="48"/>
      <c r="DP657" s="48"/>
      <c r="DQ657" s="48"/>
      <c r="DR657" s="48"/>
      <c r="DS657" s="48"/>
    </row>
    <row r="658" spans="1:123" ht="15">
      <c r="A658"/>
      <c r="B658"/>
      <c r="C658"/>
      <c r="D658"/>
      <c r="E658"/>
      <c r="F658"/>
      <c r="G658"/>
      <c r="H658"/>
      <c r="I658"/>
      <c r="J65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48"/>
      <c r="BJ658" s="48"/>
      <c r="BK658" s="48"/>
      <c r="BL658" s="48"/>
      <c r="BM658" s="48"/>
      <c r="BN658" s="48"/>
      <c r="BO658" s="48"/>
      <c r="BP658" s="48"/>
      <c r="BQ658" s="48"/>
      <c r="BR658" s="48"/>
      <c r="BS658" s="48"/>
      <c r="BT658" s="48"/>
      <c r="BU658" s="48"/>
      <c r="BV658" s="48"/>
      <c r="BW658" s="48"/>
      <c r="BX658" s="48"/>
      <c r="BY658" s="48"/>
      <c r="BZ658" s="48"/>
      <c r="CA658" s="48"/>
      <c r="CB658" s="48"/>
      <c r="CC658" s="48"/>
      <c r="CD658" s="48"/>
      <c r="CE658" s="48"/>
      <c r="CF658" s="48"/>
      <c r="CG658" s="48"/>
      <c r="CH658" s="48"/>
      <c r="CI658" s="48"/>
      <c r="CJ658" s="48"/>
      <c r="CK658" s="48"/>
      <c r="CL658" s="48"/>
      <c r="CM658" s="48"/>
      <c r="CN658" s="48"/>
      <c r="CO658" s="48"/>
      <c r="CP658" s="48"/>
      <c r="CQ658" s="48"/>
      <c r="CR658" s="48"/>
      <c r="CS658" s="48"/>
      <c r="CT658" s="48"/>
      <c r="CU658" s="48"/>
      <c r="CV658" s="48"/>
      <c r="CW658" s="48"/>
      <c r="CX658" s="48"/>
      <c r="CY658" s="48"/>
      <c r="CZ658" s="48"/>
      <c r="DA658" s="48"/>
      <c r="DB658" s="48"/>
      <c r="DC658" s="48"/>
      <c r="DD658" s="48"/>
      <c r="DE658" s="48"/>
      <c r="DF658" s="48"/>
      <c r="DG658" s="48"/>
      <c r="DH658" s="48"/>
      <c r="DI658" s="48"/>
      <c r="DJ658" s="48"/>
      <c r="DK658" s="48"/>
      <c r="DL658" s="48"/>
      <c r="DM658" s="48"/>
      <c r="DN658" s="48"/>
      <c r="DO658" s="48"/>
      <c r="DP658" s="48"/>
      <c r="DQ658" s="48"/>
      <c r="DR658" s="48"/>
      <c r="DS658" s="48"/>
    </row>
    <row r="659" spans="1:123" ht="15">
      <c r="A659"/>
      <c r="B659"/>
      <c r="C659"/>
      <c r="D659"/>
      <c r="E659"/>
      <c r="F659"/>
      <c r="G659"/>
      <c r="H659"/>
      <c r="I659"/>
      <c r="J659"/>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c r="BS659" s="48"/>
      <c r="BT659" s="48"/>
      <c r="BU659" s="48"/>
      <c r="BV659" s="48"/>
      <c r="BW659" s="48"/>
      <c r="BX659" s="48"/>
      <c r="BY659" s="48"/>
      <c r="BZ659" s="48"/>
      <c r="CA659" s="48"/>
      <c r="CB659" s="48"/>
      <c r="CC659" s="48"/>
      <c r="CD659" s="48"/>
      <c r="CE659" s="48"/>
      <c r="CF659" s="48"/>
      <c r="CG659" s="48"/>
      <c r="CH659" s="48"/>
      <c r="CI659" s="48"/>
      <c r="CJ659" s="48"/>
      <c r="CK659" s="48"/>
      <c r="CL659" s="48"/>
      <c r="CM659" s="48"/>
      <c r="CN659" s="48"/>
      <c r="CO659" s="48"/>
      <c r="CP659" s="48"/>
      <c r="CQ659" s="48"/>
      <c r="CR659" s="48"/>
      <c r="CS659" s="48"/>
      <c r="CT659" s="48"/>
      <c r="CU659" s="48"/>
      <c r="CV659" s="48"/>
      <c r="CW659" s="48"/>
      <c r="CX659" s="48"/>
      <c r="CY659" s="48"/>
      <c r="CZ659" s="48"/>
      <c r="DA659" s="48"/>
      <c r="DB659" s="48"/>
      <c r="DC659" s="48"/>
      <c r="DD659" s="48"/>
      <c r="DE659" s="48"/>
      <c r="DF659" s="48"/>
      <c r="DG659" s="48"/>
      <c r="DH659" s="48"/>
      <c r="DI659" s="48"/>
      <c r="DJ659" s="48"/>
      <c r="DK659" s="48"/>
      <c r="DL659" s="48"/>
      <c r="DM659" s="48"/>
      <c r="DN659" s="48"/>
      <c r="DO659" s="48"/>
      <c r="DP659" s="48"/>
      <c r="DQ659" s="48"/>
      <c r="DR659" s="48"/>
      <c r="DS659" s="48"/>
    </row>
    <row r="660" spans="1:123" ht="15">
      <c r="A660"/>
      <c r="B660"/>
      <c r="C660"/>
      <c r="D660"/>
      <c r="E660"/>
      <c r="F660"/>
      <c r="G660"/>
      <c r="H660"/>
      <c r="I660"/>
      <c r="J660"/>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48"/>
      <c r="BH660" s="48"/>
      <c r="BI660" s="48"/>
      <c r="BJ660" s="48"/>
      <c r="BK660" s="48"/>
      <c r="BL660" s="48"/>
      <c r="BM660" s="48"/>
      <c r="BN660" s="48"/>
      <c r="BO660" s="48"/>
      <c r="BP660" s="48"/>
      <c r="BQ660" s="48"/>
      <c r="BR660" s="48"/>
      <c r="BS660" s="48"/>
      <c r="BT660" s="48"/>
      <c r="BU660" s="48"/>
      <c r="BV660" s="48"/>
      <c r="BW660" s="48"/>
      <c r="BX660" s="48"/>
      <c r="BY660" s="48"/>
      <c r="BZ660" s="48"/>
      <c r="CA660" s="48"/>
      <c r="CB660" s="48"/>
      <c r="CC660" s="48"/>
      <c r="CD660" s="48"/>
      <c r="CE660" s="48"/>
      <c r="CF660" s="48"/>
      <c r="CG660" s="48"/>
      <c r="CH660" s="48"/>
      <c r="CI660" s="48"/>
      <c r="CJ660" s="48"/>
      <c r="CK660" s="48"/>
      <c r="CL660" s="48"/>
      <c r="CM660" s="48"/>
      <c r="CN660" s="48"/>
      <c r="CO660" s="48"/>
      <c r="CP660" s="48"/>
      <c r="CQ660" s="48"/>
      <c r="CR660" s="48"/>
      <c r="CS660" s="48"/>
      <c r="CT660" s="48"/>
      <c r="CU660" s="48"/>
      <c r="CV660" s="48"/>
      <c r="CW660" s="48"/>
      <c r="CX660" s="48"/>
      <c r="CY660" s="48"/>
      <c r="CZ660" s="48"/>
      <c r="DA660" s="48"/>
      <c r="DB660" s="48"/>
      <c r="DC660" s="48"/>
      <c r="DD660" s="48"/>
      <c r="DE660" s="48"/>
      <c r="DF660" s="48"/>
      <c r="DG660" s="48"/>
      <c r="DH660" s="48"/>
      <c r="DI660" s="48"/>
      <c r="DJ660" s="48"/>
      <c r="DK660" s="48"/>
      <c r="DL660" s="48"/>
      <c r="DM660" s="48"/>
      <c r="DN660" s="48"/>
      <c r="DO660" s="48"/>
      <c r="DP660" s="48"/>
      <c r="DQ660" s="48"/>
      <c r="DR660" s="48"/>
      <c r="DS660" s="48"/>
    </row>
    <row r="661" spans="1:123" ht="15">
      <c r="A661"/>
      <c r="B661"/>
      <c r="C661"/>
      <c r="D661"/>
      <c r="E661"/>
      <c r="F661"/>
      <c r="G661"/>
      <c r="H661"/>
      <c r="I661"/>
      <c r="J661"/>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48"/>
      <c r="BH661" s="48"/>
      <c r="BI661" s="48"/>
      <c r="BJ661" s="48"/>
      <c r="BK661" s="48"/>
      <c r="BL661" s="48"/>
      <c r="BM661" s="48"/>
      <c r="BN661" s="48"/>
      <c r="BO661" s="48"/>
      <c r="BP661" s="48"/>
      <c r="BQ661" s="48"/>
      <c r="BR661" s="48"/>
      <c r="BS661" s="48"/>
      <c r="BT661" s="48"/>
      <c r="BU661" s="48"/>
      <c r="BV661" s="48"/>
      <c r="BW661" s="48"/>
      <c r="BX661" s="48"/>
      <c r="BY661" s="48"/>
      <c r="BZ661" s="48"/>
      <c r="CA661" s="48"/>
      <c r="CB661" s="48"/>
      <c r="CC661" s="48"/>
      <c r="CD661" s="48"/>
      <c r="CE661" s="48"/>
      <c r="CF661" s="48"/>
      <c r="CG661" s="48"/>
      <c r="CH661" s="48"/>
      <c r="CI661" s="48"/>
      <c r="CJ661" s="48"/>
      <c r="CK661" s="48"/>
      <c r="CL661" s="48"/>
      <c r="CM661" s="48"/>
      <c r="CN661" s="48"/>
      <c r="CO661" s="48"/>
      <c r="CP661" s="48"/>
      <c r="CQ661" s="48"/>
      <c r="CR661" s="48"/>
      <c r="CS661" s="48"/>
      <c r="CT661" s="48"/>
      <c r="CU661" s="48"/>
      <c r="CV661" s="48"/>
      <c r="CW661" s="48"/>
      <c r="CX661" s="48"/>
      <c r="CY661" s="48"/>
      <c r="CZ661" s="48"/>
      <c r="DA661" s="48"/>
      <c r="DB661" s="48"/>
      <c r="DC661" s="48"/>
      <c r="DD661" s="48"/>
      <c r="DE661" s="48"/>
      <c r="DF661" s="48"/>
      <c r="DG661" s="48"/>
      <c r="DH661" s="48"/>
      <c r="DI661" s="48"/>
      <c r="DJ661" s="48"/>
      <c r="DK661" s="48"/>
      <c r="DL661" s="48"/>
      <c r="DM661" s="48"/>
      <c r="DN661" s="48"/>
      <c r="DO661" s="48"/>
      <c r="DP661" s="48"/>
      <c r="DQ661" s="48"/>
      <c r="DR661" s="48"/>
      <c r="DS661" s="48"/>
    </row>
    <row r="662" spans="1:123" ht="15">
      <c r="A662"/>
      <c r="B662"/>
      <c r="C662"/>
      <c r="D662"/>
      <c r="E662"/>
      <c r="F662"/>
      <c r="G662"/>
      <c r="H662"/>
      <c r="I662"/>
      <c r="J662"/>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48"/>
      <c r="BH662" s="48"/>
      <c r="BI662" s="48"/>
      <c r="BJ662" s="48"/>
      <c r="BK662" s="48"/>
      <c r="BL662" s="48"/>
      <c r="BM662" s="48"/>
      <c r="BN662" s="48"/>
      <c r="BO662" s="48"/>
      <c r="BP662" s="48"/>
      <c r="BQ662" s="48"/>
      <c r="BR662" s="48"/>
      <c r="BS662" s="48"/>
      <c r="BT662" s="48"/>
      <c r="BU662" s="48"/>
      <c r="BV662" s="48"/>
      <c r="BW662" s="48"/>
      <c r="BX662" s="48"/>
      <c r="BY662" s="48"/>
      <c r="BZ662" s="48"/>
      <c r="CA662" s="48"/>
      <c r="CB662" s="48"/>
      <c r="CC662" s="48"/>
      <c r="CD662" s="48"/>
      <c r="CE662" s="48"/>
      <c r="CF662" s="48"/>
      <c r="CG662" s="48"/>
      <c r="CH662" s="48"/>
      <c r="CI662" s="48"/>
      <c r="CJ662" s="48"/>
      <c r="CK662" s="48"/>
      <c r="CL662" s="48"/>
      <c r="CM662" s="48"/>
      <c r="CN662" s="48"/>
      <c r="CO662" s="48"/>
      <c r="CP662" s="48"/>
      <c r="CQ662" s="48"/>
      <c r="CR662" s="48"/>
      <c r="CS662" s="48"/>
      <c r="CT662" s="48"/>
      <c r="CU662" s="48"/>
      <c r="CV662" s="48"/>
      <c r="CW662" s="48"/>
      <c r="CX662" s="48"/>
      <c r="CY662" s="48"/>
      <c r="CZ662" s="48"/>
      <c r="DA662" s="48"/>
      <c r="DB662" s="48"/>
      <c r="DC662" s="48"/>
      <c r="DD662" s="48"/>
      <c r="DE662" s="48"/>
      <c r="DF662" s="48"/>
      <c r="DG662" s="48"/>
      <c r="DH662" s="48"/>
      <c r="DI662" s="48"/>
      <c r="DJ662" s="48"/>
      <c r="DK662" s="48"/>
      <c r="DL662" s="48"/>
      <c r="DM662" s="48"/>
      <c r="DN662" s="48"/>
      <c r="DO662" s="48"/>
      <c r="DP662" s="48"/>
      <c r="DQ662" s="48"/>
      <c r="DR662" s="48"/>
      <c r="DS662" s="48"/>
    </row>
    <row r="663" spans="1:123" ht="15">
      <c r="A663"/>
      <c r="B663"/>
      <c r="C663"/>
      <c r="D663"/>
      <c r="E663"/>
      <c r="F663"/>
      <c r="G663"/>
      <c r="H663"/>
      <c r="I663"/>
      <c r="J663"/>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c r="BS663" s="48"/>
      <c r="BT663" s="48"/>
      <c r="BU663" s="48"/>
      <c r="BV663" s="48"/>
      <c r="BW663" s="48"/>
      <c r="BX663" s="48"/>
      <c r="BY663" s="48"/>
      <c r="BZ663" s="48"/>
      <c r="CA663" s="48"/>
      <c r="CB663" s="48"/>
      <c r="CC663" s="48"/>
      <c r="CD663" s="48"/>
      <c r="CE663" s="48"/>
      <c r="CF663" s="48"/>
      <c r="CG663" s="48"/>
      <c r="CH663" s="48"/>
      <c r="CI663" s="48"/>
      <c r="CJ663" s="48"/>
      <c r="CK663" s="48"/>
      <c r="CL663" s="48"/>
      <c r="CM663" s="48"/>
      <c r="CN663" s="48"/>
      <c r="CO663" s="48"/>
      <c r="CP663" s="48"/>
      <c r="CQ663" s="48"/>
      <c r="CR663" s="48"/>
      <c r="CS663" s="48"/>
      <c r="CT663" s="48"/>
      <c r="CU663" s="48"/>
      <c r="CV663" s="48"/>
      <c r="CW663" s="48"/>
      <c r="CX663" s="48"/>
      <c r="CY663" s="48"/>
      <c r="CZ663" s="48"/>
      <c r="DA663" s="48"/>
      <c r="DB663" s="48"/>
      <c r="DC663" s="48"/>
      <c r="DD663" s="48"/>
      <c r="DE663" s="48"/>
      <c r="DF663" s="48"/>
      <c r="DG663" s="48"/>
      <c r="DH663" s="48"/>
      <c r="DI663" s="48"/>
      <c r="DJ663" s="48"/>
      <c r="DK663" s="48"/>
      <c r="DL663" s="48"/>
      <c r="DM663" s="48"/>
      <c r="DN663" s="48"/>
      <c r="DO663" s="48"/>
      <c r="DP663" s="48"/>
      <c r="DQ663" s="48"/>
      <c r="DR663" s="48"/>
      <c r="DS663" s="48"/>
    </row>
    <row r="664" spans="1:123" ht="15">
      <c r="A664"/>
      <c r="B664"/>
      <c r="C664"/>
      <c r="D664"/>
      <c r="E664"/>
      <c r="F664"/>
      <c r="G664"/>
      <c r="H664"/>
      <c r="I664"/>
      <c r="J664"/>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c r="BS664" s="48"/>
      <c r="BT664" s="48"/>
      <c r="BU664" s="48"/>
      <c r="BV664" s="48"/>
      <c r="BW664" s="48"/>
      <c r="BX664" s="48"/>
      <c r="BY664" s="48"/>
      <c r="BZ664" s="48"/>
      <c r="CA664" s="48"/>
      <c r="CB664" s="48"/>
      <c r="CC664" s="48"/>
      <c r="CD664" s="48"/>
      <c r="CE664" s="48"/>
      <c r="CF664" s="48"/>
      <c r="CG664" s="48"/>
      <c r="CH664" s="48"/>
      <c r="CI664" s="48"/>
      <c r="CJ664" s="48"/>
      <c r="CK664" s="48"/>
      <c r="CL664" s="48"/>
      <c r="CM664" s="48"/>
      <c r="CN664" s="48"/>
      <c r="CO664" s="48"/>
      <c r="CP664" s="48"/>
      <c r="CQ664" s="48"/>
      <c r="CR664" s="48"/>
      <c r="CS664" s="48"/>
      <c r="CT664" s="48"/>
      <c r="CU664" s="48"/>
      <c r="CV664" s="48"/>
      <c r="CW664" s="48"/>
      <c r="CX664" s="48"/>
      <c r="CY664" s="48"/>
      <c r="CZ664" s="48"/>
      <c r="DA664" s="48"/>
      <c r="DB664" s="48"/>
      <c r="DC664" s="48"/>
      <c r="DD664" s="48"/>
      <c r="DE664" s="48"/>
      <c r="DF664" s="48"/>
      <c r="DG664" s="48"/>
      <c r="DH664" s="48"/>
      <c r="DI664" s="48"/>
      <c r="DJ664" s="48"/>
      <c r="DK664" s="48"/>
      <c r="DL664" s="48"/>
      <c r="DM664" s="48"/>
      <c r="DN664" s="48"/>
      <c r="DO664" s="48"/>
      <c r="DP664" s="48"/>
      <c r="DQ664" s="48"/>
      <c r="DR664" s="48"/>
      <c r="DS664" s="48"/>
    </row>
    <row r="665" spans="1:123" ht="15">
      <c r="A665"/>
      <c r="B665"/>
      <c r="C665"/>
      <c r="D665"/>
      <c r="E665"/>
      <c r="F665"/>
      <c r="G665"/>
      <c r="H665"/>
      <c r="I665"/>
      <c r="J665"/>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c r="BS665" s="48"/>
      <c r="BT665" s="48"/>
      <c r="BU665" s="48"/>
      <c r="BV665" s="48"/>
      <c r="BW665" s="48"/>
      <c r="BX665" s="48"/>
      <c r="BY665" s="48"/>
      <c r="BZ665" s="48"/>
      <c r="CA665" s="48"/>
      <c r="CB665" s="48"/>
      <c r="CC665" s="48"/>
      <c r="CD665" s="48"/>
      <c r="CE665" s="48"/>
      <c r="CF665" s="48"/>
      <c r="CG665" s="48"/>
      <c r="CH665" s="48"/>
      <c r="CI665" s="48"/>
      <c r="CJ665" s="48"/>
      <c r="CK665" s="48"/>
      <c r="CL665" s="48"/>
      <c r="CM665" s="48"/>
      <c r="CN665" s="48"/>
      <c r="CO665" s="48"/>
      <c r="CP665" s="48"/>
      <c r="CQ665" s="48"/>
      <c r="CR665" s="48"/>
      <c r="CS665" s="48"/>
      <c r="CT665" s="48"/>
      <c r="CU665" s="48"/>
      <c r="CV665" s="48"/>
      <c r="CW665" s="48"/>
      <c r="CX665" s="48"/>
      <c r="CY665" s="48"/>
      <c r="CZ665" s="48"/>
      <c r="DA665" s="48"/>
      <c r="DB665" s="48"/>
      <c r="DC665" s="48"/>
      <c r="DD665" s="48"/>
      <c r="DE665" s="48"/>
      <c r="DF665" s="48"/>
      <c r="DG665" s="48"/>
      <c r="DH665" s="48"/>
      <c r="DI665" s="48"/>
      <c r="DJ665" s="48"/>
      <c r="DK665" s="48"/>
      <c r="DL665" s="48"/>
      <c r="DM665" s="48"/>
      <c r="DN665" s="48"/>
      <c r="DO665" s="48"/>
      <c r="DP665" s="48"/>
      <c r="DQ665" s="48"/>
      <c r="DR665" s="48"/>
      <c r="DS665" s="48"/>
    </row>
    <row r="666" spans="1:123" ht="15">
      <c r="A666"/>
      <c r="B666"/>
      <c r="C666"/>
      <c r="D666"/>
      <c r="E666"/>
      <c r="F666"/>
      <c r="G666"/>
      <c r="H666"/>
      <c r="I666"/>
      <c r="J666"/>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48"/>
      <c r="BH666" s="48"/>
      <c r="BI666" s="48"/>
      <c r="BJ666" s="48"/>
      <c r="BK666" s="48"/>
      <c r="BL666" s="48"/>
      <c r="BM666" s="48"/>
      <c r="BN666" s="48"/>
      <c r="BO666" s="48"/>
      <c r="BP666" s="48"/>
      <c r="BQ666" s="48"/>
      <c r="BR666" s="48"/>
      <c r="BS666" s="48"/>
      <c r="BT666" s="48"/>
      <c r="BU666" s="48"/>
      <c r="BV666" s="48"/>
      <c r="BW666" s="48"/>
      <c r="BX666" s="48"/>
      <c r="BY666" s="48"/>
      <c r="BZ666" s="48"/>
      <c r="CA666" s="48"/>
      <c r="CB666" s="48"/>
      <c r="CC666" s="48"/>
      <c r="CD666" s="48"/>
      <c r="CE666" s="48"/>
      <c r="CF666" s="48"/>
      <c r="CG666" s="48"/>
      <c r="CH666" s="48"/>
      <c r="CI666" s="48"/>
      <c r="CJ666" s="48"/>
      <c r="CK666" s="48"/>
      <c r="CL666" s="48"/>
      <c r="CM666" s="48"/>
      <c r="CN666" s="48"/>
      <c r="CO666" s="48"/>
      <c r="CP666" s="48"/>
      <c r="CQ666" s="48"/>
      <c r="CR666" s="48"/>
      <c r="CS666" s="48"/>
      <c r="CT666" s="48"/>
      <c r="CU666" s="48"/>
      <c r="CV666" s="48"/>
      <c r="CW666" s="48"/>
      <c r="CX666" s="48"/>
      <c r="CY666" s="48"/>
      <c r="CZ666" s="48"/>
      <c r="DA666" s="48"/>
      <c r="DB666" s="48"/>
      <c r="DC666" s="48"/>
      <c r="DD666" s="48"/>
      <c r="DE666" s="48"/>
      <c r="DF666" s="48"/>
      <c r="DG666" s="48"/>
      <c r="DH666" s="48"/>
      <c r="DI666" s="48"/>
      <c r="DJ666" s="48"/>
      <c r="DK666" s="48"/>
      <c r="DL666" s="48"/>
      <c r="DM666" s="48"/>
      <c r="DN666" s="48"/>
      <c r="DO666" s="48"/>
      <c r="DP666" s="48"/>
      <c r="DQ666" s="48"/>
      <c r="DR666" s="48"/>
      <c r="DS666" s="48"/>
    </row>
    <row r="667" spans="1:123" ht="15">
      <c r="A667"/>
      <c r="B667"/>
      <c r="C667"/>
      <c r="D667"/>
      <c r="E667"/>
      <c r="F667"/>
      <c r="G667"/>
      <c r="H667"/>
      <c r="I667"/>
      <c r="J667"/>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48"/>
      <c r="BH667" s="48"/>
      <c r="BI667" s="48"/>
      <c r="BJ667" s="48"/>
      <c r="BK667" s="48"/>
      <c r="BL667" s="48"/>
      <c r="BM667" s="48"/>
      <c r="BN667" s="48"/>
      <c r="BO667" s="48"/>
      <c r="BP667" s="48"/>
      <c r="BQ667" s="48"/>
      <c r="BR667" s="48"/>
      <c r="BS667" s="48"/>
      <c r="BT667" s="48"/>
      <c r="BU667" s="48"/>
      <c r="BV667" s="48"/>
      <c r="BW667" s="48"/>
      <c r="BX667" s="48"/>
      <c r="BY667" s="48"/>
      <c r="BZ667" s="48"/>
      <c r="CA667" s="48"/>
      <c r="CB667" s="48"/>
      <c r="CC667" s="48"/>
      <c r="CD667" s="48"/>
      <c r="CE667" s="48"/>
      <c r="CF667" s="48"/>
      <c r="CG667" s="48"/>
      <c r="CH667" s="48"/>
      <c r="CI667" s="48"/>
      <c r="CJ667" s="48"/>
      <c r="CK667" s="48"/>
      <c r="CL667" s="48"/>
      <c r="CM667" s="48"/>
      <c r="CN667" s="48"/>
      <c r="CO667" s="48"/>
      <c r="CP667" s="48"/>
      <c r="CQ667" s="48"/>
      <c r="CR667" s="48"/>
      <c r="CS667" s="48"/>
      <c r="CT667" s="48"/>
      <c r="CU667" s="48"/>
      <c r="CV667" s="48"/>
      <c r="CW667" s="48"/>
      <c r="CX667" s="48"/>
      <c r="CY667" s="48"/>
      <c r="CZ667" s="48"/>
      <c r="DA667" s="48"/>
      <c r="DB667" s="48"/>
      <c r="DC667" s="48"/>
      <c r="DD667" s="48"/>
      <c r="DE667" s="48"/>
      <c r="DF667" s="48"/>
      <c r="DG667" s="48"/>
      <c r="DH667" s="48"/>
      <c r="DI667" s="48"/>
      <c r="DJ667" s="48"/>
      <c r="DK667" s="48"/>
      <c r="DL667" s="48"/>
      <c r="DM667" s="48"/>
      <c r="DN667" s="48"/>
      <c r="DO667" s="48"/>
      <c r="DP667" s="48"/>
      <c r="DQ667" s="48"/>
      <c r="DR667" s="48"/>
      <c r="DS667" s="48"/>
    </row>
    <row r="668" spans="1:123" ht="15">
      <c r="A668"/>
      <c r="B668"/>
      <c r="C668"/>
      <c r="D668"/>
      <c r="E668"/>
      <c r="F668"/>
      <c r="G668"/>
      <c r="H668"/>
      <c r="I668"/>
      <c r="J66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48"/>
      <c r="BH668" s="48"/>
      <c r="BI668" s="48"/>
      <c r="BJ668" s="48"/>
      <c r="BK668" s="48"/>
      <c r="BL668" s="48"/>
      <c r="BM668" s="48"/>
      <c r="BN668" s="48"/>
      <c r="BO668" s="48"/>
      <c r="BP668" s="48"/>
      <c r="BQ668" s="48"/>
      <c r="BR668" s="48"/>
      <c r="BS668" s="48"/>
      <c r="BT668" s="48"/>
      <c r="BU668" s="48"/>
      <c r="BV668" s="48"/>
      <c r="BW668" s="48"/>
      <c r="BX668" s="48"/>
      <c r="BY668" s="48"/>
      <c r="BZ668" s="48"/>
      <c r="CA668" s="48"/>
      <c r="CB668" s="48"/>
      <c r="CC668" s="48"/>
      <c r="CD668" s="48"/>
      <c r="CE668" s="48"/>
      <c r="CF668" s="48"/>
      <c r="CG668" s="48"/>
      <c r="CH668" s="48"/>
      <c r="CI668" s="48"/>
      <c r="CJ668" s="48"/>
      <c r="CK668" s="48"/>
      <c r="CL668" s="48"/>
      <c r="CM668" s="48"/>
      <c r="CN668" s="48"/>
      <c r="CO668" s="48"/>
      <c r="CP668" s="48"/>
      <c r="CQ668" s="48"/>
      <c r="CR668" s="48"/>
      <c r="CS668" s="48"/>
      <c r="CT668" s="48"/>
      <c r="CU668" s="48"/>
      <c r="CV668" s="48"/>
      <c r="CW668" s="48"/>
      <c r="CX668" s="48"/>
      <c r="CY668" s="48"/>
      <c r="CZ668" s="48"/>
      <c r="DA668" s="48"/>
      <c r="DB668" s="48"/>
      <c r="DC668" s="48"/>
      <c r="DD668" s="48"/>
      <c r="DE668" s="48"/>
      <c r="DF668" s="48"/>
      <c r="DG668" s="48"/>
      <c r="DH668" s="48"/>
      <c r="DI668" s="48"/>
      <c r="DJ668" s="48"/>
      <c r="DK668" s="48"/>
      <c r="DL668" s="48"/>
      <c r="DM668" s="48"/>
      <c r="DN668" s="48"/>
      <c r="DO668" s="48"/>
      <c r="DP668" s="48"/>
      <c r="DQ668" s="48"/>
      <c r="DR668" s="48"/>
      <c r="DS668" s="48"/>
    </row>
    <row r="669" spans="1:123" ht="15">
      <c r="A669"/>
      <c r="B669"/>
      <c r="C669"/>
      <c r="D669"/>
      <c r="E669"/>
      <c r="F669"/>
      <c r="G669"/>
      <c r="H669"/>
      <c r="I669"/>
      <c r="J669"/>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48"/>
      <c r="BW669" s="48"/>
      <c r="BX669" s="48"/>
      <c r="BY669" s="48"/>
      <c r="BZ669" s="48"/>
      <c r="CA669" s="48"/>
      <c r="CB669" s="48"/>
      <c r="CC669" s="48"/>
      <c r="CD669" s="48"/>
      <c r="CE669" s="48"/>
      <c r="CF669" s="48"/>
      <c r="CG669" s="48"/>
      <c r="CH669" s="48"/>
      <c r="CI669" s="48"/>
      <c r="CJ669" s="48"/>
      <c r="CK669" s="48"/>
      <c r="CL669" s="48"/>
      <c r="CM669" s="48"/>
      <c r="CN669" s="48"/>
      <c r="CO669" s="48"/>
      <c r="CP669" s="48"/>
      <c r="CQ669" s="48"/>
      <c r="CR669" s="48"/>
      <c r="CS669" s="48"/>
      <c r="CT669" s="48"/>
      <c r="CU669" s="48"/>
      <c r="CV669" s="48"/>
      <c r="CW669" s="48"/>
      <c r="CX669" s="48"/>
      <c r="CY669" s="48"/>
      <c r="CZ669" s="48"/>
      <c r="DA669" s="48"/>
      <c r="DB669" s="48"/>
      <c r="DC669" s="48"/>
      <c r="DD669" s="48"/>
      <c r="DE669" s="48"/>
      <c r="DF669" s="48"/>
      <c r="DG669" s="48"/>
      <c r="DH669" s="48"/>
      <c r="DI669" s="48"/>
      <c r="DJ669" s="48"/>
      <c r="DK669" s="48"/>
      <c r="DL669" s="48"/>
      <c r="DM669" s="48"/>
      <c r="DN669" s="48"/>
      <c r="DO669" s="48"/>
      <c r="DP669" s="48"/>
      <c r="DQ669" s="48"/>
      <c r="DR669" s="48"/>
      <c r="DS669" s="48"/>
    </row>
    <row r="670" spans="1:123" ht="15">
      <c r="A670"/>
      <c r="B670"/>
      <c r="C670"/>
      <c r="D670"/>
      <c r="E670"/>
      <c r="F670"/>
      <c r="G670"/>
      <c r="H670"/>
      <c r="I670"/>
      <c r="J670"/>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48"/>
      <c r="BH670" s="48"/>
      <c r="BI670" s="48"/>
      <c r="BJ670" s="48"/>
      <c r="BK670" s="48"/>
      <c r="BL670" s="48"/>
      <c r="BM670" s="48"/>
      <c r="BN670" s="48"/>
      <c r="BO670" s="48"/>
      <c r="BP670" s="48"/>
      <c r="BQ670" s="48"/>
      <c r="BR670" s="48"/>
      <c r="BS670" s="48"/>
      <c r="BT670" s="48"/>
      <c r="BU670" s="48"/>
      <c r="BV670" s="48"/>
      <c r="BW670" s="48"/>
      <c r="BX670" s="48"/>
      <c r="BY670" s="48"/>
      <c r="BZ670" s="48"/>
      <c r="CA670" s="48"/>
      <c r="CB670" s="48"/>
      <c r="CC670" s="48"/>
      <c r="CD670" s="48"/>
      <c r="CE670" s="48"/>
      <c r="CF670" s="48"/>
      <c r="CG670" s="48"/>
      <c r="CH670" s="48"/>
      <c r="CI670" s="48"/>
      <c r="CJ670" s="48"/>
      <c r="CK670" s="48"/>
      <c r="CL670" s="48"/>
      <c r="CM670" s="48"/>
      <c r="CN670" s="48"/>
      <c r="CO670" s="48"/>
      <c r="CP670" s="48"/>
      <c r="CQ670" s="48"/>
      <c r="CR670" s="48"/>
      <c r="CS670" s="48"/>
      <c r="CT670" s="48"/>
      <c r="CU670" s="48"/>
      <c r="CV670" s="48"/>
      <c r="CW670" s="48"/>
      <c r="CX670" s="48"/>
      <c r="CY670" s="48"/>
      <c r="CZ670" s="48"/>
      <c r="DA670" s="48"/>
      <c r="DB670" s="48"/>
      <c r="DC670" s="48"/>
      <c r="DD670" s="48"/>
      <c r="DE670" s="48"/>
      <c r="DF670" s="48"/>
      <c r="DG670" s="48"/>
      <c r="DH670" s="48"/>
      <c r="DI670" s="48"/>
      <c r="DJ670" s="48"/>
      <c r="DK670" s="48"/>
      <c r="DL670" s="48"/>
      <c r="DM670" s="48"/>
      <c r="DN670" s="48"/>
      <c r="DO670" s="48"/>
      <c r="DP670" s="48"/>
      <c r="DQ670" s="48"/>
      <c r="DR670" s="48"/>
      <c r="DS670" s="48"/>
    </row>
    <row r="671" spans="1:123" ht="15">
      <c r="A671"/>
      <c r="B671"/>
      <c r="C671"/>
      <c r="D671"/>
      <c r="E671"/>
      <c r="F671"/>
      <c r="G671"/>
      <c r="H671"/>
      <c r="I671"/>
      <c r="J671"/>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48"/>
      <c r="BH671" s="48"/>
      <c r="BI671" s="48"/>
      <c r="BJ671" s="48"/>
      <c r="BK671" s="48"/>
      <c r="BL671" s="48"/>
      <c r="BM671" s="48"/>
      <c r="BN671" s="48"/>
      <c r="BO671" s="48"/>
      <c r="BP671" s="48"/>
      <c r="BQ671" s="48"/>
      <c r="BR671" s="48"/>
      <c r="BS671" s="48"/>
      <c r="BT671" s="48"/>
      <c r="BU671" s="48"/>
      <c r="BV671" s="48"/>
      <c r="BW671" s="48"/>
      <c r="BX671" s="48"/>
      <c r="BY671" s="48"/>
      <c r="BZ671" s="48"/>
      <c r="CA671" s="48"/>
      <c r="CB671" s="48"/>
      <c r="CC671" s="48"/>
      <c r="CD671" s="48"/>
      <c r="CE671" s="48"/>
      <c r="CF671" s="48"/>
      <c r="CG671" s="48"/>
      <c r="CH671" s="48"/>
      <c r="CI671" s="48"/>
      <c r="CJ671" s="48"/>
      <c r="CK671" s="48"/>
      <c r="CL671" s="48"/>
      <c r="CM671" s="48"/>
      <c r="CN671" s="48"/>
      <c r="CO671" s="48"/>
      <c r="CP671" s="48"/>
      <c r="CQ671" s="48"/>
      <c r="CR671" s="48"/>
      <c r="CS671" s="48"/>
      <c r="CT671" s="48"/>
      <c r="CU671" s="48"/>
      <c r="CV671" s="48"/>
      <c r="CW671" s="48"/>
      <c r="CX671" s="48"/>
      <c r="CY671" s="48"/>
      <c r="CZ671" s="48"/>
      <c r="DA671" s="48"/>
      <c r="DB671" s="48"/>
      <c r="DC671" s="48"/>
      <c r="DD671" s="48"/>
      <c r="DE671" s="48"/>
      <c r="DF671" s="48"/>
      <c r="DG671" s="48"/>
      <c r="DH671" s="48"/>
      <c r="DI671" s="48"/>
      <c r="DJ671" s="48"/>
      <c r="DK671" s="48"/>
      <c r="DL671" s="48"/>
      <c r="DM671" s="48"/>
      <c r="DN671" s="48"/>
      <c r="DO671" s="48"/>
      <c r="DP671" s="48"/>
      <c r="DQ671" s="48"/>
      <c r="DR671" s="48"/>
      <c r="DS671" s="48"/>
    </row>
    <row r="672" spans="1:123" ht="15">
      <c r="A672"/>
      <c r="B672"/>
      <c r="C672"/>
      <c r="D672"/>
      <c r="E672"/>
      <c r="F672"/>
      <c r="G672"/>
      <c r="H672"/>
      <c r="I672"/>
      <c r="J672"/>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48"/>
      <c r="BH672" s="48"/>
      <c r="BI672" s="48"/>
      <c r="BJ672" s="48"/>
      <c r="BK672" s="48"/>
      <c r="BL672" s="48"/>
      <c r="BM672" s="48"/>
      <c r="BN672" s="48"/>
      <c r="BO672" s="48"/>
      <c r="BP672" s="48"/>
      <c r="BQ672" s="48"/>
      <c r="BR672" s="48"/>
      <c r="BS672" s="48"/>
      <c r="BT672" s="48"/>
      <c r="BU672" s="48"/>
      <c r="BV672" s="48"/>
      <c r="BW672" s="48"/>
      <c r="BX672" s="48"/>
      <c r="BY672" s="48"/>
      <c r="BZ672" s="48"/>
      <c r="CA672" s="48"/>
      <c r="CB672" s="48"/>
      <c r="CC672" s="48"/>
      <c r="CD672" s="48"/>
      <c r="CE672" s="48"/>
      <c r="CF672" s="48"/>
      <c r="CG672" s="48"/>
      <c r="CH672" s="48"/>
      <c r="CI672" s="48"/>
      <c r="CJ672" s="48"/>
      <c r="CK672" s="48"/>
      <c r="CL672" s="48"/>
      <c r="CM672" s="48"/>
      <c r="CN672" s="48"/>
      <c r="CO672" s="48"/>
      <c r="CP672" s="48"/>
      <c r="CQ672" s="48"/>
      <c r="CR672" s="48"/>
      <c r="CS672" s="48"/>
      <c r="CT672" s="48"/>
      <c r="CU672" s="48"/>
      <c r="CV672" s="48"/>
      <c r="CW672" s="48"/>
      <c r="CX672" s="48"/>
      <c r="CY672" s="48"/>
      <c r="CZ672" s="48"/>
      <c r="DA672" s="48"/>
      <c r="DB672" s="48"/>
      <c r="DC672" s="48"/>
      <c r="DD672" s="48"/>
      <c r="DE672" s="48"/>
      <c r="DF672" s="48"/>
      <c r="DG672" s="48"/>
      <c r="DH672" s="48"/>
      <c r="DI672" s="48"/>
      <c r="DJ672" s="48"/>
      <c r="DK672" s="48"/>
      <c r="DL672" s="48"/>
      <c r="DM672" s="48"/>
      <c r="DN672" s="48"/>
      <c r="DO672" s="48"/>
      <c r="DP672" s="48"/>
      <c r="DQ672" s="48"/>
      <c r="DR672" s="48"/>
      <c r="DS672" s="48"/>
    </row>
    <row r="673" spans="1:123" ht="15">
      <c r="A673"/>
      <c r="B673"/>
      <c r="C673"/>
      <c r="D673"/>
      <c r="E673"/>
      <c r="F673"/>
      <c r="G673"/>
      <c r="H673"/>
      <c r="I673"/>
      <c r="J673"/>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48"/>
      <c r="BH673" s="48"/>
      <c r="BI673" s="48"/>
      <c r="BJ673" s="48"/>
      <c r="BK673" s="48"/>
      <c r="BL673" s="48"/>
      <c r="BM673" s="48"/>
      <c r="BN673" s="48"/>
      <c r="BO673" s="48"/>
      <c r="BP673" s="48"/>
      <c r="BQ673" s="48"/>
      <c r="BR673" s="48"/>
      <c r="BS673" s="48"/>
      <c r="BT673" s="48"/>
      <c r="BU673" s="48"/>
      <c r="BV673" s="48"/>
      <c r="BW673" s="48"/>
      <c r="BX673" s="48"/>
      <c r="BY673" s="48"/>
      <c r="BZ673" s="48"/>
      <c r="CA673" s="48"/>
      <c r="CB673" s="48"/>
      <c r="CC673" s="48"/>
      <c r="CD673" s="48"/>
      <c r="CE673" s="48"/>
      <c r="CF673" s="48"/>
      <c r="CG673" s="48"/>
      <c r="CH673" s="48"/>
      <c r="CI673" s="48"/>
      <c r="CJ673" s="48"/>
      <c r="CK673" s="48"/>
      <c r="CL673" s="48"/>
      <c r="CM673" s="48"/>
      <c r="CN673" s="48"/>
      <c r="CO673" s="48"/>
      <c r="CP673" s="48"/>
      <c r="CQ673" s="48"/>
      <c r="CR673" s="48"/>
      <c r="CS673" s="48"/>
      <c r="CT673" s="48"/>
      <c r="CU673" s="48"/>
      <c r="CV673" s="48"/>
      <c r="CW673" s="48"/>
      <c r="CX673" s="48"/>
      <c r="CY673" s="48"/>
      <c r="CZ673" s="48"/>
      <c r="DA673" s="48"/>
      <c r="DB673" s="48"/>
      <c r="DC673" s="48"/>
      <c r="DD673" s="48"/>
      <c r="DE673" s="48"/>
      <c r="DF673" s="48"/>
      <c r="DG673" s="48"/>
      <c r="DH673" s="48"/>
      <c r="DI673" s="48"/>
      <c r="DJ673" s="48"/>
      <c r="DK673" s="48"/>
      <c r="DL673" s="48"/>
      <c r="DM673" s="48"/>
      <c r="DN673" s="48"/>
      <c r="DO673" s="48"/>
      <c r="DP673" s="48"/>
      <c r="DQ673" s="48"/>
      <c r="DR673" s="48"/>
      <c r="DS673" s="48"/>
    </row>
    <row r="674" spans="1:123" ht="15">
      <c r="A674"/>
      <c r="B674"/>
      <c r="C674"/>
      <c r="D674"/>
      <c r="E674"/>
      <c r="F674"/>
      <c r="G674"/>
      <c r="H674"/>
      <c r="I674"/>
      <c r="J674"/>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48"/>
      <c r="BH674" s="48"/>
      <c r="BI674" s="48"/>
      <c r="BJ674" s="48"/>
      <c r="BK674" s="48"/>
      <c r="BL674" s="48"/>
      <c r="BM674" s="48"/>
      <c r="BN674" s="48"/>
      <c r="BO674" s="48"/>
      <c r="BP674" s="48"/>
      <c r="BQ674" s="48"/>
      <c r="BR674" s="48"/>
      <c r="BS674" s="48"/>
      <c r="BT674" s="48"/>
      <c r="BU674" s="48"/>
      <c r="BV674" s="48"/>
      <c r="BW674" s="48"/>
      <c r="BX674" s="48"/>
      <c r="BY674" s="48"/>
      <c r="BZ674" s="48"/>
      <c r="CA674" s="48"/>
      <c r="CB674" s="48"/>
      <c r="CC674" s="48"/>
      <c r="CD674" s="48"/>
      <c r="CE674" s="48"/>
      <c r="CF674" s="48"/>
      <c r="CG674" s="48"/>
      <c r="CH674" s="48"/>
      <c r="CI674" s="48"/>
      <c r="CJ674" s="48"/>
      <c r="CK674" s="48"/>
      <c r="CL674" s="48"/>
      <c r="CM674" s="48"/>
      <c r="CN674" s="48"/>
      <c r="CO674" s="48"/>
      <c r="CP674" s="48"/>
      <c r="CQ674" s="48"/>
      <c r="CR674" s="48"/>
      <c r="CS674" s="48"/>
      <c r="CT674" s="48"/>
      <c r="CU674" s="48"/>
      <c r="CV674" s="48"/>
      <c r="CW674" s="48"/>
      <c r="CX674" s="48"/>
      <c r="CY674" s="48"/>
      <c r="CZ674" s="48"/>
      <c r="DA674" s="48"/>
      <c r="DB674" s="48"/>
      <c r="DC674" s="48"/>
      <c r="DD674" s="48"/>
      <c r="DE674" s="48"/>
      <c r="DF674" s="48"/>
      <c r="DG674" s="48"/>
      <c r="DH674" s="48"/>
      <c r="DI674" s="48"/>
      <c r="DJ674" s="48"/>
      <c r="DK674" s="48"/>
      <c r="DL674" s="48"/>
      <c r="DM674" s="48"/>
      <c r="DN674" s="48"/>
      <c r="DO674" s="48"/>
      <c r="DP674" s="48"/>
      <c r="DQ674" s="48"/>
      <c r="DR674" s="48"/>
      <c r="DS674" s="48"/>
    </row>
    <row r="675" spans="1:123" ht="15">
      <c r="A675"/>
      <c r="B675"/>
      <c r="C675"/>
      <c r="D675"/>
      <c r="E675"/>
      <c r="F675"/>
      <c r="G675"/>
      <c r="H675"/>
      <c r="I675"/>
      <c r="J675"/>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48"/>
      <c r="BH675" s="48"/>
      <c r="BI675" s="48"/>
      <c r="BJ675" s="48"/>
      <c r="BK675" s="48"/>
      <c r="BL675" s="48"/>
      <c r="BM675" s="48"/>
      <c r="BN675" s="48"/>
      <c r="BO675" s="48"/>
      <c r="BP675" s="48"/>
      <c r="BQ675" s="48"/>
      <c r="BR675" s="48"/>
      <c r="BS675" s="48"/>
      <c r="BT675" s="48"/>
      <c r="BU675" s="48"/>
      <c r="BV675" s="48"/>
      <c r="BW675" s="48"/>
      <c r="BX675" s="48"/>
      <c r="BY675" s="48"/>
      <c r="BZ675" s="48"/>
      <c r="CA675" s="48"/>
      <c r="CB675" s="48"/>
      <c r="CC675" s="48"/>
      <c r="CD675" s="48"/>
      <c r="CE675" s="48"/>
      <c r="CF675" s="48"/>
      <c r="CG675" s="48"/>
      <c r="CH675" s="48"/>
      <c r="CI675" s="48"/>
      <c r="CJ675" s="48"/>
      <c r="CK675" s="48"/>
      <c r="CL675" s="48"/>
      <c r="CM675" s="48"/>
      <c r="CN675" s="48"/>
      <c r="CO675" s="48"/>
      <c r="CP675" s="48"/>
      <c r="CQ675" s="48"/>
      <c r="CR675" s="48"/>
      <c r="CS675" s="48"/>
      <c r="CT675" s="48"/>
      <c r="CU675" s="48"/>
      <c r="CV675" s="48"/>
      <c r="CW675" s="48"/>
      <c r="CX675" s="48"/>
      <c r="CY675" s="48"/>
      <c r="CZ675" s="48"/>
      <c r="DA675" s="48"/>
      <c r="DB675" s="48"/>
      <c r="DC675" s="48"/>
      <c r="DD675" s="48"/>
      <c r="DE675" s="48"/>
      <c r="DF675" s="48"/>
      <c r="DG675" s="48"/>
      <c r="DH675" s="48"/>
      <c r="DI675" s="48"/>
      <c r="DJ675" s="48"/>
      <c r="DK675" s="48"/>
      <c r="DL675" s="48"/>
      <c r="DM675" s="48"/>
      <c r="DN675" s="48"/>
      <c r="DO675" s="48"/>
      <c r="DP675" s="48"/>
      <c r="DQ675" s="48"/>
      <c r="DR675" s="48"/>
      <c r="DS675" s="48"/>
    </row>
    <row r="676" spans="1:123" ht="15">
      <c r="A676"/>
      <c r="B676"/>
      <c r="C676"/>
      <c r="D676"/>
      <c r="E676"/>
      <c r="F676"/>
      <c r="G676"/>
      <c r="H676"/>
      <c r="I676"/>
      <c r="J676"/>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48"/>
      <c r="BH676" s="48"/>
      <c r="BI676" s="48"/>
      <c r="BJ676" s="48"/>
      <c r="BK676" s="48"/>
      <c r="BL676" s="48"/>
      <c r="BM676" s="48"/>
      <c r="BN676" s="48"/>
      <c r="BO676" s="48"/>
      <c r="BP676" s="48"/>
      <c r="BQ676" s="48"/>
      <c r="BR676" s="48"/>
      <c r="BS676" s="48"/>
      <c r="BT676" s="48"/>
      <c r="BU676" s="48"/>
      <c r="BV676" s="48"/>
      <c r="BW676" s="48"/>
      <c r="BX676" s="48"/>
      <c r="BY676" s="48"/>
      <c r="BZ676" s="48"/>
      <c r="CA676" s="48"/>
      <c r="CB676" s="48"/>
      <c r="CC676" s="48"/>
      <c r="CD676" s="48"/>
      <c r="CE676" s="48"/>
      <c r="CF676" s="48"/>
      <c r="CG676" s="48"/>
      <c r="CH676" s="48"/>
      <c r="CI676" s="48"/>
      <c r="CJ676" s="48"/>
      <c r="CK676" s="48"/>
      <c r="CL676" s="48"/>
      <c r="CM676" s="48"/>
      <c r="CN676" s="48"/>
      <c r="CO676" s="48"/>
      <c r="CP676" s="48"/>
      <c r="CQ676" s="48"/>
      <c r="CR676" s="48"/>
      <c r="CS676" s="48"/>
      <c r="CT676" s="48"/>
      <c r="CU676" s="48"/>
      <c r="CV676" s="48"/>
      <c r="CW676" s="48"/>
      <c r="CX676" s="48"/>
      <c r="CY676" s="48"/>
      <c r="CZ676" s="48"/>
      <c r="DA676" s="48"/>
      <c r="DB676" s="48"/>
      <c r="DC676" s="48"/>
      <c r="DD676" s="48"/>
      <c r="DE676" s="48"/>
      <c r="DF676" s="48"/>
      <c r="DG676" s="48"/>
      <c r="DH676" s="48"/>
      <c r="DI676" s="48"/>
      <c r="DJ676" s="48"/>
      <c r="DK676" s="48"/>
      <c r="DL676" s="48"/>
      <c r="DM676" s="48"/>
      <c r="DN676" s="48"/>
      <c r="DO676" s="48"/>
      <c r="DP676" s="48"/>
      <c r="DQ676" s="48"/>
      <c r="DR676" s="48"/>
      <c r="DS676" s="48"/>
    </row>
    <row r="677" spans="1:123" ht="15">
      <c r="A677"/>
      <c r="B677"/>
      <c r="C677"/>
      <c r="D677"/>
      <c r="E677"/>
      <c r="F677"/>
      <c r="G677"/>
      <c r="H677"/>
      <c r="I677"/>
      <c r="J677"/>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48"/>
      <c r="BH677" s="48"/>
      <c r="BI677" s="48"/>
      <c r="BJ677" s="48"/>
      <c r="BK677" s="48"/>
      <c r="BL677" s="48"/>
      <c r="BM677" s="48"/>
      <c r="BN677" s="48"/>
      <c r="BO677" s="48"/>
      <c r="BP677" s="48"/>
      <c r="BQ677" s="48"/>
      <c r="BR677" s="48"/>
      <c r="BS677" s="48"/>
      <c r="BT677" s="48"/>
      <c r="BU677" s="48"/>
      <c r="BV677" s="48"/>
      <c r="BW677" s="48"/>
      <c r="BX677" s="48"/>
      <c r="BY677" s="48"/>
      <c r="BZ677" s="48"/>
      <c r="CA677" s="48"/>
      <c r="CB677" s="48"/>
      <c r="CC677" s="48"/>
      <c r="CD677" s="48"/>
      <c r="CE677" s="48"/>
      <c r="CF677" s="48"/>
      <c r="CG677" s="48"/>
      <c r="CH677" s="48"/>
      <c r="CI677" s="48"/>
      <c r="CJ677" s="48"/>
      <c r="CK677" s="48"/>
      <c r="CL677" s="48"/>
      <c r="CM677" s="48"/>
      <c r="CN677" s="48"/>
      <c r="CO677" s="48"/>
      <c r="CP677" s="48"/>
      <c r="CQ677" s="48"/>
      <c r="CR677" s="48"/>
      <c r="CS677" s="48"/>
      <c r="CT677" s="48"/>
      <c r="CU677" s="48"/>
      <c r="CV677" s="48"/>
      <c r="CW677" s="48"/>
      <c r="CX677" s="48"/>
      <c r="CY677" s="48"/>
      <c r="CZ677" s="48"/>
      <c r="DA677" s="48"/>
      <c r="DB677" s="48"/>
      <c r="DC677" s="48"/>
      <c r="DD677" s="48"/>
      <c r="DE677" s="48"/>
      <c r="DF677" s="48"/>
      <c r="DG677" s="48"/>
      <c r="DH677" s="48"/>
      <c r="DI677" s="48"/>
      <c r="DJ677" s="48"/>
      <c r="DK677" s="48"/>
      <c r="DL677" s="48"/>
      <c r="DM677" s="48"/>
      <c r="DN677" s="48"/>
      <c r="DO677" s="48"/>
      <c r="DP677" s="48"/>
      <c r="DQ677" s="48"/>
      <c r="DR677" s="48"/>
      <c r="DS677" s="48"/>
    </row>
    <row r="678" spans="1:123" ht="15">
      <c r="A678"/>
      <c r="B678"/>
      <c r="C678"/>
      <c r="D678"/>
      <c r="E678"/>
      <c r="F678"/>
      <c r="G678"/>
      <c r="H678"/>
      <c r="I678"/>
      <c r="J67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48"/>
      <c r="BH678" s="48"/>
      <c r="BI678" s="48"/>
      <c r="BJ678" s="48"/>
      <c r="BK678" s="48"/>
      <c r="BL678" s="48"/>
      <c r="BM678" s="48"/>
      <c r="BN678" s="48"/>
      <c r="BO678" s="48"/>
      <c r="BP678" s="48"/>
      <c r="BQ678" s="48"/>
      <c r="BR678" s="48"/>
      <c r="BS678" s="48"/>
      <c r="BT678" s="48"/>
      <c r="BU678" s="48"/>
      <c r="BV678" s="48"/>
      <c r="BW678" s="48"/>
      <c r="BX678" s="48"/>
      <c r="BY678" s="48"/>
      <c r="BZ678" s="48"/>
      <c r="CA678" s="48"/>
      <c r="CB678" s="48"/>
      <c r="CC678" s="48"/>
      <c r="CD678" s="48"/>
      <c r="CE678" s="48"/>
      <c r="CF678" s="48"/>
      <c r="CG678" s="48"/>
      <c r="CH678" s="48"/>
      <c r="CI678" s="48"/>
      <c r="CJ678" s="48"/>
      <c r="CK678" s="48"/>
      <c r="CL678" s="48"/>
      <c r="CM678" s="48"/>
      <c r="CN678" s="48"/>
      <c r="CO678" s="48"/>
      <c r="CP678" s="48"/>
      <c r="CQ678" s="48"/>
      <c r="CR678" s="48"/>
      <c r="CS678" s="48"/>
      <c r="CT678" s="48"/>
      <c r="CU678" s="48"/>
      <c r="CV678" s="48"/>
      <c r="CW678" s="48"/>
      <c r="CX678" s="48"/>
      <c r="CY678" s="48"/>
      <c r="CZ678" s="48"/>
      <c r="DA678" s="48"/>
      <c r="DB678" s="48"/>
      <c r="DC678" s="48"/>
      <c r="DD678" s="48"/>
      <c r="DE678" s="48"/>
      <c r="DF678" s="48"/>
      <c r="DG678" s="48"/>
      <c r="DH678" s="48"/>
      <c r="DI678" s="48"/>
      <c r="DJ678" s="48"/>
      <c r="DK678" s="48"/>
      <c r="DL678" s="48"/>
      <c r="DM678" s="48"/>
      <c r="DN678" s="48"/>
      <c r="DO678" s="48"/>
      <c r="DP678" s="48"/>
      <c r="DQ678" s="48"/>
      <c r="DR678" s="48"/>
      <c r="DS678" s="48"/>
    </row>
    <row r="679" spans="1:123" ht="15">
      <c r="A679"/>
      <c r="B679"/>
      <c r="C679"/>
      <c r="D679"/>
      <c r="E679"/>
      <c r="F679"/>
      <c r="G679"/>
      <c r="H679"/>
      <c r="I679"/>
      <c r="J679"/>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48"/>
      <c r="BH679" s="48"/>
      <c r="BI679" s="48"/>
      <c r="BJ679" s="48"/>
      <c r="BK679" s="48"/>
      <c r="BL679" s="48"/>
      <c r="BM679" s="48"/>
      <c r="BN679" s="48"/>
      <c r="BO679" s="48"/>
      <c r="BP679" s="48"/>
      <c r="BQ679" s="48"/>
      <c r="BR679" s="48"/>
      <c r="BS679" s="48"/>
      <c r="BT679" s="48"/>
      <c r="BU679" s="48"/>
      <c r="BV679" s="48"/>
      <c r="BW679" s="48"/>
      <c r="BX679" s="48"/>
      <c r="BY679" s="48"/>
      <c r="BZ679" s="48"/>
      <c r="CA679" s="48"/>
      <c r="CB679" s="48"/>
      <c r="CC679" s="48"/>
      <c r="CD679" s="48"/>
      <c r="CE679" s="48"/>
      <c r="CF679" s="48"/>
      <c r="CG679" s="48"/>
      <c r="CH679" s="48"/>
      <c r="CI679" s="48"/>
      <c r="CJ679" s="48"/>
      <c r="CK679" s="48"/>
      <c r="CL679" s="48"/>
      <c r="CM679" s="48"/>
      <c r="CN679" s="48"/>
      <c r="CO679" s="48"/>
      <c r="CP679" s="48"/>
      <c r="CQ679" s="48"/>
      <c r="CR679" s="48"/>
      <c r="CS679" s="48"/>
      <c r="CT679" s="48"/>
      <c r="CU679" s="48"/>
      <c r="CV679" s="48"/>
      <c r="CW679" s="48"/>
      <c r="CX679" s="48"/>
      <c r="CY679" s="48"/>
      <c r="CZ679" s="48"/>
      <c r="DA679" s="48"/>
      <c r="DB679" s="48"/>
      <c r="DC679" s="48"/>
      <c r="DD679" s="48"/>
      <c r="DE679" s="48"/>
      <c r="DF679" s="48"/>
      <c r="DG679" s="48"/>
      <c r="DH679" s="48"/>
      <c r="DI679" s="48"/>
      <c r="DJ679" s="48"/>
      <c r="DK679" s="48"/>
      <c r="DL679" s="48"/>
      <c r="DM679" s="48"/>
      <c r="DN679" s="48"/>
      <c r="DO679" s="48"/>
      <c r="DP679" s="48"/>
      <c r="DQ679" s="48"/>
      <c r="DR679" s="48"/>
      <c r="DS679" s="48"/>
    </row>
    <row r="680" spans="1:123" ht="15">
      <c r="A680"/>
      <c r="B680"/>
      <c r="C680"/>
      <c r="D680"/>
      <c r="E680"/>
      <c r="F680"/>
      <c r="G680"/>
      <c r="H680"/>
      <c r="I680"/>
      <c r="J680"/>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48"/>
      <c r="BH680" s="48"/>
      <c r="BI680" s="48"/>
      <c r="BJ680" s="48"/>
      <c r="BK680" s="48"/>
      <c r="BL680" s="48"/>
      <c r="BM680" s="48"/>
      <c r="BN680" s="48"/>
      <c r="BO680" s="48"/>
      <c r="BP680" s="48"/>
      <c r="BQ680" s="48"/>
      <c r="BR680" s="48"/>
      <c r="BS680" s="48"/>
      <c r="BT680" s="48"/>
      <c r="BU680" s="48"/>
      <c r="BV680" s="48"/>
      <c r="BW680" s="48"/>
      <c r="BX680" s="48"/>
      <c r="BY680" s="48"/>
      <c r="BZ680" s="48"/>
      <c r="CA680" s="48"/>
      <c r="CB680" s="48"/>
      <c r="CC680" s="48"/>
      <c r="CD680" s="48"/>
      <c r="CE680" s="48"/>
      <c r="CF680" s="48"/>
      <c r="CG680" s="48"/>
      <c r="CH680" s="48"/>
      <c r="CI680" s="48"/>
      <c r="CJ680" s="48"/>
      <c r="CK680" s="48"/>
      <c r="CL680" s="48"/>
      <c r="CM680" s="48"/>
      <c r="CN680" s="48"/>
      <c r="CO680" s="48"/>
      <c r="CP680" s="48"/>
      <c r="CQ680" s="48"/>
      <c r="CR680" s="48"/>
      <c r="CS680" s="48"/>
      <c r="CT680" s="48"/>
      <c r="CU680" s="48"/>
      <c r="CV680" s="48"/>
      <c r="CW680" s="48"/>
      <c r="CX680" s="48"/>
      <c r="CY680" s="48"/>
      <c r="CZ680" s="48"/>
      <c r="DA680" s="48"/>
      <c r="DB680" s="48"/>
      <c r="DC680" s="48"/>
      <c r="DD680" s="48"/>
      <c r="DE680" s="48"/>
      <c r="DF680" s="48"/>
      <c r="DG680" s="48"/>
      <c r="DH680" s="48"/>
      <c r="DI680" s="48"/>
      <c r="DJ680" s="48"/>
      <c r="DK680" s="48"/>
      <c r="DL680" s="48"/>
      <c r="DM680" s="48"/>
      <c r="DN680" s="48"/>
      <c r="DO680" s="48"/>
      <c r="DP680" s="48"/>
      <c r="DQ680" s="48"/>
      <c r="DR680" s="48"/>
      <c r="DS680" s="48"/>
    </row>
    <row r="681" spans="1:123" ht="15">
      <c r="A681"/>
      <c r="B681"/>
      <c r="C681"/>
      <c r="D681"/>
      <c r="E681"/>
      <c r="F681"/>
      <c r="G681"/>
      <c r="H681"/>
      <c r="I681"/>
      <c r="J681"/>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48"/>
      <c r="BH681" s="48"/>
      <c r="BI681" s="48"/>
      <c r="BJ681" s="48"/>
      <c r="BK681" s="48"/>
      <c r="BL681" s="48"/>
      <c r="BM681" s="48"/>
      <c r="BN681" s="48"/>
      <c r="BO681" s="48"/>
      <c r="BP681" s="48"/>
      <c r="BQ681" s="48"/>
      <c r="BR681" s="48"/>
      <c r="BS681" s="48"/>
      <c r="BT681" s="48"/>
      <c r="BU681" s="48"/>
      <c r="BV681" s="48"/>
      <c r="BW681" s="48"/>
      <c r="BX681" s="48"/>
      <c r="BY681" s="48"/>
      <c r="BZ681" s="48"/>
      <c r="CA681" s="48"/>
      <c r="CB681" s="48"/>
      <c r="CC681" s="48"/>
      <c r="CD681" s="48"/>
      <c r="CE681" s="48"/>
      <c r="CF681" s="48"/>
      <c r="CG681" s="48"/>
      <c r="CH681" s="48"/>
      <c r="CI681" s="48"/>
      <c r="CJ681" s="48"/>
      <c r="CK681" s="48"/>
      <c r="CL681" s="48"/>
      <c r="CM681" s="48"/>
      <c r="CN681" s="48"/>
      <c r="CO681" s="48"/>
      <c r="CP681" s="48"/>
      <c r="CQ681" s="48"/>
      <c r="CR681" s="48"/>
      <c r="CS681" s="48"/>
      <c r="CT681" s="48"/>
      <c r="CU681" s="48"/>
      <c r="CV681" s="48"/>
      <c r="CW681" s="48"/>
      <c r="CX681" s="48"/>
      <c r="CY681" s="48"/>
      <c r="CZ681" s="48"/>
      <c r="DA681" s="48"/>
      <c r="DB681" s="48"/>
      <c r="DC681" s="48"/>
      <c r="DD681" s="48"/>
      <c r="DE681" s="48"/>
      <c r="DF681" s="48"/>
      <c r="DG681" s="48"/>
      <c r="DH681" s="48"/>
      <c r="DI681" s="48"/>
      <c r="DJ681" s="48"/>
      <c r="DK681" s="48"/>
      <c r="DL681" s="48"/>
      <c r="DM681" s="48"/>
      <c r="DN681" s="48"/>
      <c r="DO681" s="48"/>
      <c r="DP681" s="48"/>
      <c r="DQ681" s="48"/>
      <c r="DR681" s="48"/>
      <c r="DS681" s="48"/>
    </row>
    <row r="682" spans="1:123" ht="15">
      <c r="A682"/>
      <c r="B682"/>
      <c r="C682"/>
      <c r="D682"/>
      <c r="E682"/>
      <c r="F682"/>
      <c r="G682"/>
      <c r="H682"/>
      <c r="I682"/>
      <c r="J682"/>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48"/>
      <c r="BJ682" s="48"/>
      <c r="BK682" s="48"/>
      <c r="BL682" s="48"/>
      <c r="BM682" s="48"/>
      <c r="BN682" s="48"/>
      <c r="BO682" s="48"/>
      <c r="BP682" s="48"/>
      <c r="BQ682" s="48"/>
      <c r="BR682" s="48"/>
      <c r="BS682" s="48"/>
      <c r="BT682" s="48"/>
      <c r="BU682" s="48"/>
      <c r="BV682" s="48"/>
      <c r="BW682" s="48"/>
      <c r="BX682" s="48"/>
      <c r="BY682" s="48"/>
      <c r="BZ682" s="48"/>
      <c r="CA682" s="48"/>
      <c r="CB682" s="48"/>
      <c r="CC682" s="48"/>
      <c r="CD682" s="48"/>
      <c r="CE682" s="48"/>
      <c r="CF682" s="48"/>
      <c r="CG682" s="48"/>
      <c r="CH682" s="48"/>
      <c r="CI682" s="48"/>
      <c r="CJ682" s="48"/>
      <c r="CK682" s="48"/>
      <c r="CL682" s="48"/>
      <c r="CM682" s="48"/>
      <c r="CN682" s="48"/>
      <c r="CO682" s="48"/>
      <c r="CP682" s="48"/>
      <c r="CQ682" s="48"/>
      <c r="CR682" s="48"/>
      <c r="CS682" s="48"/>
      <c r="CT682" s="48"/>
      <c r="CU682" s="48"/>
      <c r="CV682" s="48"/>
      <c r="CW682" s="48"/>
      <c r="CX682" s="48"/>
      <c r="CY682" s="48"/>
      <c r="CZ682" s="48"/>
      <c r="DA682" s="48"/>
      <c r="DB682" s="48"/>
      <c r="DC682" s="48"/>
      <c r="DD682" s="48"/>
      <c r="DE682" s="48"/>
      <c r="DF682" s="48"/>
      <c r="DG682" s="48"/>
      <c r="DH682" s="48"/>
      <c r="DI682" s="48"/>
      <c r="DJ682" s="48"/>
      <c r="DK682" s="48"/>
      <c r="DL682" s="48"/>
      <c r="DM682" s="48"/>
      <c r="DN682" s="48"/>
      <c r="DO682" s="48"/>
      <c r="DP682" s="48"/>
      <c r="DQ682" s="48"/>
      <c r="DR682" s="48"/>
      <c r="DS682" s="48"/>
    </row>
    <row r="683" spans="1:123" ht="15">
      <c r="A683"/>
      <c r="B683"/>
      <c r="C683"/>
      <c r="D683"/>
      <c r="E683"/>
      <c r="F683"/>
      <c r="G683"/>
      <c r="H683"/>
      <c r="I683"/>
      <c r="J683"/>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48"/>
      <c r="BH683" s="48"/>
      <c r="BI683" s="48"/>
      <c r="BJ683" s="48"/>
      <c r="BK683" s="48"/>
      <c r="BL683" s="48"/>
      <c r="BM683" s="48"/>
      <c r="BN683" s="48"/>
      <c r="BO683" s="48"/>
      <c r="BP683" s="48"/>
      <c r="BQ683" s="48"/>
      <c r="BR683" s="48"/>
      <c r="BS683" s="48"/>
      <c r="BT683" s="48"/>
      <c r="BU683" s="48"/>
      <c r="BV683" s="48"/>
      <c r="BW683" s="48"/>
      <c r="BX683" s="48"/>
      <c r="BY683" s="48"/>
      <c r="BZ683" s="48"/>
      <c r="CA683" s="48"/>
      <c r="CB683" s="48"/>
      <c r="CC683" s="48"/>
      <c r="CD683" s="48"/>
      <c r="CE683" s="48"/>
      <c r="CF683" s="48"/>
      <c r="CG683" s="48"/>
      <c r="CH683" s="48"/>
      <c r="CI683" s="48"/>
      <c r="CJ683" s="48"/>
      <c r="CK683" s="48"/>
      <c r="CL683" s="48"/>
      <c r="CM683" s="48"/>
      <c r="CN683" s="48"/>
      <c r="CO683" s="48"/>
      <c r="CP683" s="48"/>
      <c r="CQ683" s="48"/>
      <c r="CR683" s="48"/>
      <c r="CS683" s="48"/>
      <c r="CT683" s="48"/>
      <c r="CU683" s="48"/>
      <c r="CV683" s="48"/>
      <c r="CW683" s="48"/>
      <c r="CX683" s="48"/>
      <c r="CY683" s="48"/>
      <c r="CZ683" s="48"/>
      <c r="DA683" s="48"/>
      <c r="DB683" s="48"/>
      <c r="DC683" s="48"/>
      <c r="DD683" s="48"/>
      <c r="DE683" s="48"/>
      <c r="DF683" s="48"/>
      <c r="DG683" s="48"/>
      <c r="DH683" s="48"/>
      <c r="DI683" s="48"/>
      <c r="DJ683" s="48"/>
      <c r="DK683" s="48"/>
      <c r="DL683" s="48"/>
      <c r="DM683" s="48"/>
      <c r="DN683" s="48"/>
      <c r="DO683" s="48"/>
      <c r="DP683" s="48"/>
      <c r="DQ683" s="48"/>
      <c r="DR683" s="48"/>
      <c r="DS683" s="48"/>
    </row>
    <row r="684" spans="1:123" ht="15">
      <c r="A684"/>
      <c r="B684"/>
      <c r="C684"/>
      <c r="D684"/>
      <c r="E684"/>
      <c r="F684"/>
      <c r="G684"/>
      <c r="H684"/>
      <c r="I684"/>
      <c r="J684"/>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c r="BS684" s="48"/>
      <c r="BT684" s="48"/>
      <c r="BU684" s="48"/>
      <c r="BV684" s="48"/>
      <c r="BW684" s="48"/>
      <c r="BX684" s="48"/>
      <c r="BY684" s="48"/>
      <c r="BZ684" s="48"/>
      <c r="CA684" s="48"/>
      <c r="CB684" s="48"/>
      <c r="CC684" s="48"/>
      <c r="CD684" s="48"/>
      <c r="CE684" s="48"/>
      <c r="CF684" s="48"/>
      <c r="CG684" s="48"/>
      <c r="CH684" s="48"/>
      <c r="CI684" s="48"/>
      <c r="CJ684" s="48"/>
      <c r="CK684" s="48"/>
      <c r="CL684" s="48"/>
      <c r="CM684" s="48"/>
      <c r="CN684" s="48"/>
      <c r="CO684" s="48"/>
      <c r="CP684" s="48"/>
      <c r="CQ684" s="48"/>
      <c r="CR684" s="48"/>
      <c r="CS684" s="48"/>
      <c r="CT684" s="48"/>
      <c r="CU684" s="48"/>
      <c r="CV684" s="48"/>
      <c r="CW684" s="48"/>
      <c r="CX684" s="48"/>
      <c r="CY684" s="48"/>
      <c r="CZ684" s="48"/>
      <c r="DA684" s="48"/>
      <c r="DB684" s="48"/>
      <c r="DC684" s="48"/>
      <c r="DD684" s="48"/>
      <c r="DE684" s="48"/>
      <c r="DF684" s="48"/>
      <c r="DG684" s="48"/>
      <c r="DH684" s="48"/>
      <c r="DI684" s="48"/>
      <c r="DJ684" s="48"/>
      <c r="DK684" s="48"/>
      <c r="DL684" s="48"/>
      <c r="DM684" s="48"/>
      <c r="DN684" s="48"/>
      <c r="DO684" s="48"/>
      <c r="DP684" s="48"/>
      <c r="DQ684" s="48"/>
      <c r="DR684" s="48"/>
      <c r="DS684" s="48"/>
    </row>
    <row r="685" spans="1:123" ht="15">
      <c r="A685"/>
      <c r="B685"/>
      <c r="C685"/>
      <c r="D685"/>
      <c r="E685"/>
      <c r="F685"/>
      <c r="G685"/>
      <c r="H685"/>
      <c r="I685"/>
      <c r="J685"/>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48"/>
      <c r="BH685" s="48"/>
      <c r="BI685" s="48"/>
      <c r="BJ685" s="48"/>
      <c r="BK685" s="48"/>
      <c r="BL685" s="48"/>
      <c r="BM685" s="48"/>
      <c r="BN685" s="48"/>
      <c r="BO685" s="48"/>
      <c r="BP685" s="48"/>
      <c r="BQ685" s="48"/>
      <c r="BR685" s="48"/>
      <c r="BS685" s="48"/>
      <c r="BT685" s="48"/>
      <c r="BU685" s="48"/>
      <c r="BV685" s="48"/>
      <c r="BW685" s="48"/>
      <c r="BX685" s="48"/>
      <c r="BY685" s="48"/>
      <c r="BZ685" s="48"/>
      <c r="CA685" s="48"/>
      <c r="CB685" s="48"/>
      <c r="CC685" s="48"/>
      <c r="CD685" s="48"/>
      <c r="CE685" s="48"/>
      <c r="CF685" s="48"/>
      <c r="CG685" s="48"/>
      <c r="CH685" s="48"/>
      <c r="CI685" s="48"/>
      <c r="CJ685" s="48"/>
      <c r="CK685" s="48"/>
      <c r="CL685" s="48"/>
      <c r="CM685" s="48"/>
      <c r="CN685" s="48"/>
      <c r="CO685" s="48"/>
      <c r="CP685" s="48"/>
      <c r="CQ685" s="48"/>
      <c r="CR685" s="48"/>
      <c r="CS685" s="48"/>
      <c r="CT685" s="48"/>
      <c r="CU685" s="48"/>
      <c r="CV685" s="48"/>
      <c r="CW685" s="48"/>
      <c r="CX685" s="48"/>
      <c r="CY685" s="48"/>
      <c r="CZ685" s="48"/>
      <c r="DA685" s="48"/>
      <c r="DB685" s="48"/>
      <c r="DC685" s="48"/>
      <c r="DD685" s="48"/>
      <c r="DE685" s="48"/>
      <c r="DF685" s="48"/>
      <c r="DG685" s="48"/>
      <c r="DH685" s="48"/>
      <c r="DI685" s="48"/>
      <c r="DJ685" s="48"/>
      <c r="DK685" s="48"/>
      <c r="DL685" s="48"/>
      <c r="DM685" s="48"/>
      <c r="DN685" s="48"/>
      <c r="DO685" s="48"/>
      <c r="DP685" s="48"/>
      <c r="DQ685" s="48"/>
      <c r="DR685" s="48"/>
      <c r="DS685" s="48"/>
    </row>
    <row r="686" spans="1:123" ht="15">
      <c r="A686"/>
      <c r="B686"/>
      <c r="C686"/>
      <c r="D686"/>
      <c r="E686"/>
      <c r="F686"/>
      <c r="G686"/>
      <c r="H686"/>
      <c r="I686"/>
      <c r="J686"/>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48"/>
      <c r="BJ686" s="48"/>
      <c r="BK686" s="48"/>
      <c r="BL686" s="48"/>
      <c r="BM686" s="48"/>
      <c r="BN686" s="48"/>
      <c r="BO686" s="48"/>
      <c r="BP686" s="48"/>
      <c r="BQ686" s="48"/>
      <c r="BR686" s="48"/>
      <c r="BS686" s="48"/>
      <c r="BT686" s="48"/>
      <c r="BU686" s="48"/>
      <c r="BV686" s="48"/>
      <c r="BW686" s="48"/>
      <c r="BX686" s="48"/>
      <c r="BY686" s="48"/>
      <c r="BZ686" s="48"/>
      <c r="CA686" s="48"/>
      <c r="CB686" s="48"/>
      <c r="CC686" s="48"/>
      <c r="CD686" s="48"/>
      <c r="CE686" s="48"/>
      <c r="CF686" s="48"/>
      <c r="CG686" s="48"/>
      <c r="CH686" s="48"/>
      <c r="CI686" s="48"/>
      <c r="CJ686" s="48"/>
      <c r="CK686" s="48"/>
      <c r="CL686" s="48"/>
      <c r="CM686" s="48"/>
      <c r="CN686" s="48"/>
      <c r="CO686" s="48"/>
      <c r="CP686" s="48"/>
      <c r="CQ686" s="48"/>
      <c r="CR686" s="48"/>
      <c r="CS686" s="48"/>
      <c r="CT686" s="48"/>
      <c r="CU686" s="48"/>
      <c r="CV686" s="48"/>
      <c r="CW686" s="48"/>
      <c r="CX686" s="48"/>
      <c r="CY686" s="48"/>
      <c r="CZ686" s="48"/>
      <c r="DA686" s="48"/>
      <c r="DB686" s="48"/>
      <c r="DC686" s="48"/>
      <c r="DD686" s="48"/>
      <c r="DE686" s="48"/>
      <c r="DF686" s="48"/>
      <c r="DG686" s="48"/>
      <c r="DH686" s="48"/>
      <c r="DI686" s="48"/>
      <c r="DJ686" s="48"/>
      <c r="DK686" s="48"/>
      <c r="DL686" s="48"/>
      <c r="DM686" s="48"/>
      <c r="DN686" s="48"/>
      <c r="DO686" s="48"/>
      <c r="DP686" s="48"/>
      <c r="DQ686" s="48"/>
      <c r="DR686" s="48"/>
      <c r="DS686" s="48"/>
    </row>
    <row r="687" spans="1:123" ht="15">
      <c r="A687"/>
      <c r="B687"/>
      <c r="C687"/>
      <c r="D687"/>
      <c r="E687"/>
      <c r="F687"/>
      <c r="G687"/>
      <c r="H687"/>
      <c r="I687"/>
      <c r="J687"/>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48"/>
      <c r="BW687" s="48"/>
      <c r="BX687" s="48"/>
      <c r="BY687" s="48"/>
      <c r="BZ687" s="48"/>
      <c r="CA687" s="48"/>
      <c r="CB687" s="48"/>
      <c r="CC687" s="48"/>
      <c r="CD687" s="48"/>
      <c r="CE687" s="48"/>
      <c r="CF687" s="48"/>
      <c r="CG687" s="48"/>
      <c r="CH687" s="48"/>
      <c r="CI687" s="48"/>
      <c r="CJ687" s="48"/>
      <c r="CK687" s="48"/>
      <c r="CL687" s="48"/>
      <c r="CM687" s="48"/>
      <c r="CN687" s="48"/>
      <c r="CO687" s="48"/>
      <c r="CP687" s="48"/>
      <c r="CQ687" s="48"/>
      <c r="CR687" s="48"/>
      <c r="CS687" s="48"/>
      <c r="CT687" s="48"/>
      <c r="CU687" s="48"/>
      <c r="CV687" s="48"/>
      <c r="CW687" s="48"/>
      <c r="CX687" s="48"/>
      <c r="CY687" s="48"/>
      <c r="CZ687" s="48"/>
      <c r="DA687" s="48"/>
      <c r="DB687" s="48"/>
      <c r="DC687" s="48"/>
      <c r="DD687" s="48"/>
      <c r="DE687" s="48"/>
      <c r="DF687" s="48"/>
      <c r="DG687" s="48"/>
      <c r="DH687" s="48"/>
      <c r="DI687" s="48"/>
      <c r="DJ687" s="48"/>
      <c r="DK687" s="48"/>
      <c r="DL687" s="48"/>
      <c r="DM687" s="48"/>
      <c r="DN687" s="48"/>
      <c r="DO687" s="48"/>
      <c r="DP687" s="48"/>
      <c r="DQ687" s="48"/>
      <c r="DR687" s="48"/>
      <c r="DS687" s="48"/>
    </row>
    <row r="688" spans="1:123" ht="15">
      <c r="A688"/>
      <c r="B688"/>
      <c r="C688"/>
      <c r="D688"/>
      <c r="E688"/>
      <c r="F688"/>
      <c r="G688"/>
      <c r="H688"/>
      <c r="I688"/>
      <c r="J68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48"/>
      <c r="BH688" s="48"/>
      <c r="BI688" s="48"/>
      <c r="BJ688" s="48"/>
      <c r="BK688" s="48"/>
      <c r="BL688" s="48"/>
      <c r="BM688" s="48"/>
      <c r="BN688" s="48"/>
      <c r="BO688" s="48"/>
      <c r="BP688" s="48"/>
      <c r="BQ688" s="48"/>
      <c r="BR688" s="48"/>
      <c r="BS688" s="48"/>
      <c r="BT688" s="48"/>
      <c r="BU688" s="48"/>
      <c r="BV688" s="48"/>
      <c r="BW688" s="48"/>
      <c r="BX688" s="48"/>
      <c r="BY688" s="48"/>
      <c r="BZ688" s="48"/>
      <c r="CA688" s="48"/>
      <c r="CB688" s="48"/>
      <c r="CC688" s="48"/>
      <c r="CD688" s="48"/>
      <c r="CE688" s="48"/>
      <c r="CF688" s="48"/>
      <c r="CG688" s="48"/>
      <c r="CH688" s="48"/>
      <c r="CI688" s="48"/>
      <c r="CJ688" s="48"/>
      <c r="CK688" s="48"/>
      <c r="CL688" s="48"/>
      <c r="CM688" s="48"/>
      <c r="CN688" s="48"/>
      <c r="CO688" s="48"/>
      <c r="CP688" s="48"/>
      <c r="CQ688" s="48"/>
      <c r="CR688" s="48"/>
      <c r="CS688" s="48"/>
      <c r="CT688" s="48"/>
      <c r="CU688" s="48"/>
      <c r="CV688" s="48"/>
      <c r="CW688" s="48"/>
      <c r="CX688" s="48"/>
      <c r="CY688" s="48"/>
      <c r="CZ688" s="48"/>
      <c r="DA688" s="48"/>
      <c r="DB688" s="48"/>
      <c r="DC688" s="48"/>
      <c r="DD688" s="48"/>
      <c r="DE688" s="48"/>
      <c r="DF688" s="48"/>
      <c r="DG688" s="48"/>
      <c r="DH688" s="48"/>
      <c r="DI688" s="48"/>
      <c r="DJ688" s="48"/>
      <c r="DK688" s="48"/>
      <c r="DL688" s="48"/>
      <c r="DM688" s="48"/>
      <c r="DN688" s="48"/>
      <c r="DO688" s="48"/>
      <c r="DP688" s="48"/>
      <c r="DQ688" s="48"/>
      <c r="DR688" s="48"/>
      <c r="DS688" s="48"/>
    </row>
    <row r="689" spans="1:123" ht="15">
      <c r="A689"/>
      <c r="B689"/>
      <c r="C689"/>
      <c r="D689"/>
      <c r="E689"/>
      <c r="F689"/>
      <c r="G689"/>
      <c r="H689"/>
      <c r="I689"/>
      <c r="J689"/>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48"/>
      <c r="BH689" s="48"/>
      <c r="BI689" s="48"/>
      <c r="BJ689" s="48"/>
      <c r="BK689" s="48"/>
      <c r="BL689" s="48"/>
      <c r="BM689" s="48"/>
      <c r="BN689" s="48"/>
      <c r="BO689" s="48"/>
      <c r="BP689" s="48"/>
      <c r="BQ689" s="48"/>
      <c r="BR689" s="48"/>
      <c r="BS689" s="48"/>
      <c r="BT689" s="48"/>
      <c r="BU689" s="48"/>
      <c r="BV689" s="48"/>
      <c r="BW689" s="48"/>
      <c r="BX689" s="48"/>
      <c r="BY689" s="48"/>
      <c r="BZ689" s="48"/>
      <c r="CA689" s="48"/>
      <c r="CB689" s="48"/>
      <c r="CC689" s="48"/>
      <c r="CD689" s="48"/>
      <c r="CE689" s="48"/>
      <c r="CF689" s="48"/>
      <c r="CG689" s="48"/>
      <c r="CH689" s="48"/>
      <c r="CI689" s="48"/>
      <c r="CJ689" s="48"/>
      <c r="CK689" s="48"/>
      <c r="CL689" s="48"/>
      <c r="CM689" s="48"/>
      <c r="CN689" s="48"/>
      <c r="CO689" s="48"/>
      <c r="CP689" s="48"/>
      <c r="CQ689" s="48"/>
      <c r="CR689" s="48"/>
      <c r="CS689" s="48"/>
      <c r="CT689" s="48"/>
      <c r="CU689" s="48"/>
      <c r="CV689" s="48"/>
      <c r="CW689" s="48"/>
      <c r="CX689" s="48"/>
      <c r="CY689" s="48"/>
      <c r="CZ689" s="48"/>
      <c r="DA689" s="48"/>
      <c r="DB689" s="48"/>
      <c r="DC689" s="48"/>
      <c r="DD689" s="48"/>
      <c r="DE689" s="48"/>
      <c r="DF689" s="48"/>
      <c r="DG689" s="48"/>
      <c r="DH689" s="48"/>
      <c r="DI689" s="48"/>
      <c r="DJ689" s="48"/>
      <c r="DK689" s="48"/>
      <c r="DL689" s="48"/>
      <c r="DM689" s="48"/>
      <c r="DN689" s="48"/>
      <c r="DO689" s="48"/>
      <c r="DP689" s="48"/>
      <c r="DQ689" s="48"/>
      <c r="DR689" s="48"/>
      <c r="DS689" s="48"/>
    </row>
    <row r="690" spans="1:123" ht="15">
      <c r="A690"/>
      <c r="B690"/>
      <c r="C690"/>
      <c r="D690"/>
      <c r="E690"/>
      <c r="F690"/>
      <c r="G690"/>
      <c r="H690"/>
      <c r="I690"/>
      <c r="J690"/>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48"/>
      <c r="BW690" s="48"/>
      <c r="BX690" s="48"/>
      <c r="BY690" s="48"/>
      <c r="BZ690" s="48"/>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48"/>
      <c r="CX690" s="48"/>
      <c r="CY690" s="48"/>
      <c r="CZ690" s="48"/>
      <c r="DA690" s="48"/>
      <c r="DB690" s="48"/>
      <c r="DC690" s="48"/>
      <c r="DD690" s="48"/>
      <c r="DE690" s="48"/>
      <c r="DF690" s="48"/>
      <c r="DG690" s="48"/>
      <c r="DH690" s="48"/>
      <c r="DI690" s="48"/>
      <c r="DJ690" s="48"/>
      <c r="DK690" s="48"/>
      <c r="DL690" s="48"/>
      <c r="DM690" s="48"/>
      <c r="DN690" s="48"/>
      <c r="DO690" s="48"/>
      <c r="DP690" s="48"/>
      <c r="DQ690" s="48"/>
      <c r="DR690" s="48"/>
      <c r="DS690" s="48"/>
    </row>
    <row r="691" spans="1:123" ht="15">
      <c r="A691"/>
      <c r="B691"/>
      <c r="C691"/>
      <c r="D691"/>
      <c r="E691"/>
      <c r="F691"/>
      <c r="G691"/>
      <c r="H691"/>
      <c r="I691"/>
      <c r="J691"/>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48"/>
      <c r="BH691" s="48"/>
      <c r="BI691" s="48"/>
      <c r="BJ691" s="48"/>
      <c r="BK691" s="48"/>
      <c r="BL691" s="48"/>
      <c r="BM691" s="48"/>
      <c r="BN691" s="48"/>
      <c r="BO691" s="48"/>
      <c r="BP691" s="48"/>
      <c r="BQ691" s="48"/>
      <c r="BR691" s="48"/>
      <c r="BS691" s="48"/>
      <c r="BT691" s="48"/>
      <c r="BU691" s="48"/>
      <c r="BV691" s="48"/>
      <c r="BW691" s="48"/>
      <c r="BX691" s="48"/>
      <c r="BY691" s="48"/>
      <c r="BZ691" s="48"/>
      <c r="CA691" s="48"/>
      <c r="CB691" s="48"/>
      <c r="CC691" s="48"/>
      <c r="CD691" s="48"/>
      <c r="CE691" s="48"/>
      <c r="CF691" s="48"/>
      <c r="CG691" s="48"/>
      <c r="CH691" s="48"/>
      <c r="CI691" s="48"/>
      <c r="CJ691" s="48"/>
      <c r="CK691" s="48"/>
      <c r="CL691" s="48"/>
      <c r="CM691" s="48"/>
      <c r="CN691" s="48"/>
      <c r="CO691" s="48"/>
      <c r="CP691" s="48"/>
      <c r="CQ691" s="48"/>
      <c r="CR691" s="48"/>
      <c r="CS691" s="48"/>
      <c r="CT691" s="48"/>
      <c r="CU691" s="48"/>
      <c r="CV691" s="48"/>
      <c r="CW691" s="48"/>
      <c r="CX691" s="48"/>
      <c r="CY691" s="48"/>
      <c r="CZ691" s="48"/>
      <c r="DA691" s="48"/>
      <c r="DB691" s="48"/>
      <c r="DC691" s="48"/>
      <c r="DD691" s="48"/>
      <c r="DE691" s="48"/>
      <c r="DF691" s="48"/>
      <c r="DG691" s="48"/>
      <c r="DH691" s="48"/>
      <c r="DI691" s="48"/>
      <c r="DJ691" s="48"/>
      <c r="DK691" s="48"/>
      <c r="DL691" s="48"/>
      <c r="DM691" s="48"/>
      <c r="DN691" s="48"/>
      <c r="DO691" s="48"/>
      <c r="DP691" s="48"/>
      <c r="DQ691" s="48"/>
      <c r="DR691" s="48"/>
      <c r="DS691" s="48"/>
    </row>
    <row r="692" spans="1:123" ht="15">
      <c r="A692"/>
      <c r="B692"/>
      <c r="C692"/>
      <c r="D692"/>
      <c r="E692"/>
      <c r="F692"/>
      <c r="G692"/>
      <c r="H692"/>
      <c r="I692"/>
      <c r="J692"/>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c r="BS692" s="48"/>
      <c r="BT692" s="48"/>
      <c r="BU692" s="48"/>
      <c r="BV692" s="48"/>
      <c r="BW692" s="48"/>
      <c r="BX692" s="48"/>
      <c r="BY692" s="48"/>
      <c r="BZ692" s="48"/>
      <c r="CA692" s="48"/>
      <c r="CB692" s="48"/>
      <c r="CC692" s="48"/>
      <c r="CD692" s="48"/>
      <c r="CE692" s="48"/>
      <c r="CF692" s="48"/>
      <c r="CG692" s="48"/>
      <c r="CH692" s="48"/>
      <c r="CI692" s="48"/>
      <c r="CJ692" s="48"/>
      <c r="CK692" s="48"/>
      <c r="CL692" s="48"/>
      <c r="CM692" s="48"/>
      <c r="CN692" s="48"/>
      <c r="CO692" s="48"/>
      <c r="CP692" s="48"/>
      <c r="CQ692" s="48"/>
      <c r="CR692" s="48"/>
      <c r="CS692" s="48"/>
      <c r="CT692" s="48"/>
      <c r="CU692" s="48"/>
      <c r="CV692" s="48"/>
      <c r="CW692" s="48"/>
      <c r="CX692" s="48"/>
      <c r="CY692" s="48"/>
      <c r="CZ692" s="48"/>
      <c r="DA692" s="48"/>
      <c r="DB692" s="48"/>
      <c r="DC692" s="48"/>
      <c r="DD692" s="48"/>
      <c r="DE692" s="48"/>
      <c r="DF692" s="48"/>
      <c r="DG692" s="48"/>
      <c r="DH692" s="48"/>
      <c r="DI692" s="48"/>
      <c r="DJ692" s="48"/>
      <c r="DK692" s="48"/>
      <c r="DL692" s="48"/>
      <c r="DM692" s="48"/>
      <c r="DN692" s="48"/>
      <c r="DO692" s="48"/>
      <c r="DP692" s="48"/>
      <c r="DQ692" s="48"/>
      <c r="DR692" s="48"/>
      <c r="DS692" s="48"/>
    </row>
    <row r="693" spans="1:123" ht="15">
      <c r="A693"/>
      <c r="B693"/>
      <c r="C693"/>
      <c r="D693"/>
      <c r="E693"/>
      <c r="F693"/>
      <c r="G693"/>
      <c r="H693"/>
      <c r="I693"/>
      <c r="J693"/>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48"/>
      <c r="BH693" s="48"/>
      <c r="BI693" s="48"/>
      <c r="BJ693" s="48"/>
      <c r="BK693" s="48"/>
      <c r="BL693" s="48"/>
      <c r="BM693" s="48"/>
      <c r="BN693" s="48"/>
      <c r="BO693" s="48"/>
      <c r="BP693" s="48"/>
      <c r="BQ693" s="48"/>
      <c r="BR693" s="48"/>
      <c r="BS693" s="48"/>
      <c r="BT693" s="48"/>
      <c r="BU693" s="48"/>
      <c r="BV693" s="48"/>
      <c r="BW693" s="48"/>
      <c r="BX693" s="48"/>
      <c r="BY693" s="48"/>
      <c r="BZ693" s="48"/>
      <c r="CA693" s="48"/>
      <c r="CB693" s="48"/>
      <c r="CC693" s="48"/>
      <c r="CD693" s="48"/>
      <c r="CE693" s="48"/>
      <c r="CF693" s="48"/>
      <c r="CG693" s="48"/>
      <c r="CH693" s="48"/>
      <c r="CI693" s="48"/>
      <c r="CJ693" s="48"/>
      <c r="CK693" s="48"/>
      <c r="CL693" s="48"/>
      <c r="CM693" s="48"/>
      <c r="CN693" s="48"/>
      <c r="CO693" s="48"/>
      <c r="CP693" s="48"/>
      <c r="CQ693" s="48"/>
      <c r="CR693" s="48"/>
      <c r="CS693" s="48"/>
      <c r="CT693" s="48"/>
      <c r="CU693" s="48"/>
      <c r="CV693" s="48"/>
      <c r="CW693" s="48"/>
      <c r="CX693" s="48"/>
      <c r="CY693" s="48"/>
      <c r="CZ693" s="48"/>
      <c r="DA693" s="48"/>
      <c r="DB693" s="48"/>
      <c r="DC693" s="48"/>
      <c r="DD693" s="48"/>
      <c r="DE693" s="48"/>
      <c r="DF693" s="48"/>
      <c r="DG693" s="48"/>
      <c r="DH693" s="48"/>
      <c r="DI693" s="48"/>
      <c r="DJ693" s="48"/>
      <c r="DK693" s="48"/>
      <c r="DL693" s="48"/>
      <c r="DM693" s="48"/>
      <c r="DN693" s="48"/>
      <c r="DO693" s="48"/>
      <c r="DP693" s="48"/>
      <c r="DQ693" s="48"/>
      <c r="DR693" s="48"/>
      <c r="DS693" s="48"/>
    </row>
    <row r="694" spans="1:123" ht="15">
      <c r="A694"/>
      <c r="B694"/>
      <c r="C694"/>
      <c r="D694"/>
      <c r="E694"/>
      <c r="F694"/>
      <c r="G694"/>
      <c r="H694"/>
      <c r="I694"/>
      <c r="J694"/>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48"/>
      <c r="BH694" s="48"/>
      <c r="BI694" s="48"/>
      <c r="BJ694" s="48"/>
      <c r="BK694" s="48"/>
      <c r="BL694" s="48"/>
      <c r="BM694" s="48"/>
      <c r="BN694" s="48"/>
      <c r="BO694" s="48"/>
      <c r="BP694" s="48"/>
      <c r="BQ694" s="48"/>
      <c r="BR694" s="48"/>
      <c r="BS694" s="48"/>
      <c r="BT694" s="48"/>
      <c r="BU694" s="48"/>
      <c r="BV694" s="48"/>
      <c r="BW694" s="48"/>
      <c r="BX694" s="48"/>
      <c r="BY694" s="48"/>
      <c r="BZ694" s="48"/>
      <c r="CA694" s="48"/>
      <c r="CB694" s="48"/>
      <c r="CC694" s="48"/>
      <c r="CD694" s="48"/>
      <c r="CE694" s="48"/>
      <c r="CF694" s="48"/>
      <c r="CG694" s="48"/>
      <c r="CH694" s="48"/>
      <c r="CI694" s="48"/>
      <c r="CJ694" s="48"/>
      <c r="CK694" s="48"/>
      <c r="CL694" s="48"/>
      <c r="CM694" s="48"/>
      <c r="CN694" s="48"/>
      <c r="CO694" s="48"/>
      <c r="CP694" s="48"/>
      <c r="CQ694" s="48"/>
      <c r="CR694" s="48"/>
      <c r="CS694" s="48"/>
      <c r="CT694" s="48"/>
      <c r="CU694" s="48"/>
      <c r="CV694" s="48"/>
      <c r="CW694" s="48"/>
      <c r="CX694" s="48"/>
      <c r="CY694" s="48"/>
      <c r="CZ694" s="48"/>
      <c r="DA694" s="48"/>
      <c r="DB694" s="48"/>
      <c r="DC694" s="48"/>
      <c r="DD694" s="48"/>
      <c r="DE694" s="48"/>
      <c r="DF694" s="48"/>
      <c r="DG694" s="48"/>
      <c r="DH694" s="48"/>
      <c r="DI694" s="48"/>
      <c r="DJ694" s="48"/>
      <c r="DK694" s="48"/>
      <c r="DL694" s="48"/>
      <c r="DM694" s="48"/>
      <c r="DN694" s="48"/>
      <c r="DO694" s="48"/>
      <c r="DP694" s="48"/>
      <c r="DQ694" s="48"/>
      <c r="DR694" s="48"/>
      <c r="DS694" s="48"/>
    </row>
    <row r="695" spans="1:123" ht="15">
      <c r="A695"/>
      <c r="B695"/>
      <c r="C695"/>
      <c r="D695"/>
      <c r="E695"/>
      <c r="F695"/>
      <c r="G695"/>
      <c r="H695"/>
      <c r="I695"/>
      <c r="J695"/>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48"/>
      <c r="BH695" s="48"/>
      <c r="BI695" s="48"/>
      <c r="BJ695" s="48"/>
      <c r="BK695" s="48"/>
      <c r="BL695" s="48"/>
      <c r="BM695" s="48"/>
      <c r="BN695" s="48"/>
      <c r="BO695" s="48"/>
      <c r="BP695" s="48"/>
      <c r="BQ695" s="48"/>
      <c r="BR695" s="48"/>
      <c r="BS695" s="48"/>
      <c r="BT695" s="48"/>
      <c r="BU695" s="48"/>
      <c r="BV695" s="48"/>
      <c r="BW695" s="48"/>
      <c r="BX695" s="48"/>
      <c r="BY695" s="48"/>
      <c r="BZ695" s="48"/>
      <c r="CA695" s="48"/>
      <c r="CB695" s="48"/>
      <c r="CC695" s="48"/>
      <c r="CD695" s="48"/>
      <c r="CE695" s="48"/>
      <c r="CF695" s="48"/>
      <c r="CG695" s="48"/>
      <c r="CH695" s="48"/>
      <c r="CI695" s="48"/>
      <c r="CJ695" s="48"/>
      <c r="CK695" s="48"/>
      <c r="CL695" s="48"/>
      <c r="CM695" s="48"/>
      <c r="CN695" s="48"/>
      <c r="CO695" s="48"/>
      <c r="CP695" s="48"/>
      <c r="CQ695" s="48"/>
      <c r="CR695" s="48"/>
      <c r="CS695" s="48"/>
      <c r="CT695" s="48"/>
      <c r="CU695" s="48"/>
      <c r="CV695" s="48"/>
      <c r="CW695" s="48"/>
      <c r="CX695" s="48"/>
      <c r="CY695" s="48"/>
      <c r="CZ695" s="48"/>
      <c r="DA695" s="48"/>
      <c r="DB695" s="48"/>
      <c r="DC695" s="48"/>
      <c r="DD695" s="48"/>
      <c r="DE695" s="48"/>
      <c r="DF695" s="48"/>
      <c r="DG695" s="48"/>
      <c r="DH695" s="48"/>
      <c r="DI695" s="48"/>
      <c r="DJ695" s="48"/>
      <c r="DK695" s="48"/>
      <c r="DL695" s="48"/>
      <c r="DM695" s="48"/>
      <c r="DN695" s="48"/>
      <c r="DO695" s="48"/>
      <c r="DP695" s="48"/>
      <c r="DQ695" s="48"/>
      <c r="DR695" s="48"/>
      <c r="DS695" s="48"/>
    </row>
    <row r="696" spans="1:123" ht="15">
      <c r="A696"/>
      <c r="B696"/>
      <c r="C696"/>
      <c r="D696"/>
      <c r="E696"/>
      <c r="F696"/>
      <c r="G696"/>
      <c r="H696"/>
      <c r="I696"/>
      <c r="J696"/>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48"/>
      <c r="BH696" s="48"/>
      <c r="BI696" s="48"/>
      <c r="BJ696" s="48"/>
      <c r="BK696" s="48"/>
      <c r="BL696" s="48"/>
      <c r="BM696" s="48"/>
      <c r="BN696" s="48"/>
      <c r="BO696" s="48"/>
      <c r="BP696" s="48"/>
      <c r="BQ696" s="48"/>
      <c r="BR696" s="48"/>
      <c r="BS696" s="48"/>
      <c r="BT696" s="48"/>
      <c r="BU696" s="48"/>
      <c r="BV696" s="48"/>
      <c r="BW696" s="48"/>
      <c r="BX696" s="48"/>
      <c r="BY696" s="48"/>
      <c r="BZ696" s="48"/>
      <c r="CA696" s="48"/>
      <c r="CB696" s="48"/>
      <c r="CC696" s="48"/>
      <c r="CD696" s="48"/>
      <c r="CE696" s="48"/>
      <c r="CF696" s="48"/>
      <c r="CG696" s="48"/>
      <c r="CH696" s="48"/>
      <c r="CI696" s="48"/>
      <c r="CJ696" s="48"/>
      <c r="CK696" s="48"/>
      <c r="CL696" s="48"/>
      <c r="CM696" s="48"/>
      <c r="CN696" s="48"/>
      <c r="CO696" s="48"/>
      <c r="CP696" s="48"/>
      <c r="CQ696" s="48"/>
      <c r="CR696" s="48"/>
      <c r="CS696" s="48"/>
      <c r="CT696" s="48"/>
      <c r="CU696" s="48"/>
      <c r="CV696" s="48"/>
      <c r="CW696" s="48"/>
      <c r="CX696" s="48"/>
      <c r="CY696" s="48"/>
      <c r="CZ696" s="48"/>
      <c r="DA696" s="48"/>
      <c r="DB696" s="48"/>
      <c r="DC696" s="48"/>
      <c r="DD696" s="48"/>
      <c r="DE696" s="48"/>
      <c r="DF696" s="48"/>
      <c r="DG696" s="48"/>
      <c r="DH696" s="48"/>
      <c r="DI696" s="48"/>
      <c r="DJ696" s="48"/>
      <c r="DK696" s="48"/>
      <c r="DL696" s="48"/>
      <c r="DM696" s="48"/>
      <c r="DN696" s="48"/>
      <c r="DO696" s="48"/>
      <c r="DP696" s="48"/>
      <c r="DQ696" s="48"/>
      <c r="DR696" s="48"/>
      <c r="DS696" s="48"/>
    </row>
    <row r="697" spans="1:123" ht="15">
      <c r="A697"/>
      <c r="B697"/>
      <c r="C697"/>
      <c r="D697"/>
      <c r="E697"/>
      <c r="F697"/>
      <c r="G697"/>
      <c r="H697"/>
      <c r="I697"/>
      <c r="J697"/>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c r="BS697" s="48"/>
      <c r="BT697" s="48"/>
      <c r="BU697" s="48"/>
      <c r="BV697" s="48"/>
      <c r="BW697" s="48"/>
      <c r="BX697" s="48"/>
      <c r="BY697" s="48"/>
      <c r="BZ697" s="48"/>
      <c r="CA697" s="48"/>
      <c r="CB697" s="48"/>
      <c r="CC697" s="48"/>
      <c r="CD697" s="48"/>
      <c r="CE697" s="48"/>
      <c r="CF697" s="48"/>
      <c r="CG697" s="48"/>
      <c r="CH697" s="48"/>
      <c r="CI697" s="48"/>
      <c r="CJ697" s="48"/>
      <c r="CK697" s="48"/>
      <c r="CL697" s="48"/>
      <c r="CM697" s="48"/>
      <c r="CN697" s="48"/>
      <c r="CO697" s="48"/>
      <c r="CP697" s="48"/>
      <c r="CQ697" s="48"/>
      <c r="CR697" s="48"/>
      <c r="CS697" s="48"/>
      <c r="CT697" s="48"/>
      <c r="CU697" s="48"/>
      <c r="CV697" s="48"/>
      <c r="CW697" s="48"/>
      <c r="CX697" s="48"/>
      <c r="CY697" s="48"/>
      <c r="CZ697" s="48"/>
      <c r="DA697" s="48"/>
      <c r="DB697" s="48"/>
      <c r="DC697" s="48"/>
      <c r="DD697" s="48"/>
      <c r="DE697" s="48"/>
      <c r="DF697" s="48"/>
      <c r="DG697" s="48"/>
      <c r="DH697" s="48"/>
      <c r="DI697" s="48"/>
      <c r="DJ697" s="48"/>
      <c r="DK697" s="48"/>
      <c r="DL697" s="48"/>
      <c r="DM697" s="48"/>
      <c r="DN697" s="48"/>
      <c r="DO697" s="48"/>
      <c r="DP697" s="48"/>
      <c r="DQ697" s="48"/>
      <c r="DR697" s="48"/>
      <c r="DS697" s="48"/>
    </row>
    <row r="698" spans="1:123" ht="15">
      <c r="A698"/>
      <c r="B698"/>
      <c r="C698"/>
      <c r="D698"/>
      <c r="E698"/>
      <c r="F698"/>
      <c r="G698"/>
      <c r="H698"/>
      <c r="I698"/>
      <c r="J69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48"/>
      <c r="BH698" s="48"/>
      <c r="BI698" s="48"/>
      <c r="BJ698" s="48"/>
      <c r="BK698" s="48"/>
      <c r="BL698" s="48"/>
      <c r="BM698" s="48"/>
      <c r="BN698" s="48"/>
      <c r="BO698" s="48"/>
      <c r="BP698" s="48"/>
      <c r="BQ698" s="48"/>
      <c r="BR698" s="48"/>
      <c r="BS698" s="48"/>
      <c r="BT698" s="48"/>
      <c r="BU698" s="48"/>
      <c r="BV698" s="48"/>
      <c r="BW698" s="48"/>
      <c r="BX698" s="48"/>
      <c r="BY698" s="48"/>
      <c r="BZ698" s="48"/>
      <c r="CA698" s="48"/>
      <c r="CB698" s="48"/>
      <c r="CC698" s="48"/>
      <c r="CD698" s="48"/>
      <c r="CE698" s="48"/>
      <c r="CF698" s="48"/>
      <c r="CG698" s="48"/>
      <c r="CH698" s="48"/>
      <c r="CI698" s="48"/>
      <c r="CJ698" s="48"/>
      <c r="CK698" s="48"/>
      <c r="CL698" s="48"/>
      <c r="CM698" s="48"/>
      <c r="CN698" s="48"/>
      <c r="CO698" s="48"/>
      <c r="CP698" s="48"/>
      <c r="CQ698" s="48"/>
      <c r="CR698" s="48"/>
      <c r="CS698" s="48"/>
      <c r="CT698" s="48"/>
      <c r="CU698" s="48"/>
      <c r="CV698" s="48"/>
      <c r="CW698" s="48"/>
      <c r="CX698" s="48"/>
      <c r="CY698" s="48"/>
      <c r="CZ698" s="48"/>
      <c r="DA698" s="48"/>
      <c r="DB698" s="48"/>
      <c r="DC698" s="48"/>
      <c r="DD698" s="48"/>
      <c r="DE698" s="48"/>
      <c r="DF698" s="48"/>
      <c r="DG698" s="48"/>
      <c r="DH698" s="48"/>
      <c r="DI698" s="48"/>
      <c r="DJ698" s="48"/>
      <c r="DK698" s="48"/>
      <c r="DL698" s="48"/>
      <c r="DM698" s="48"/>
      <c r="DN698" s="48"/>
      <c r="DO698" s="48"/>
      <c r="DP698" s="48"/>
      <c r="DQ698" s="48"/>
      <c r="DR698" s="48"/>
      <c r="DS698" s="48"/>
    </row>
    <row r="699" spans="1:123" ht="15">
      <c r="A699"/>
      <c r="B699"/>
      <c r="C699"/>
      <c r="D699"/>
      <c r="E699"/>
      <c r="F699"/>
      <c r="G699"/>
      <c r="H699"/>
      <c r="I699"/>
      <c r="J699"/>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48"/>
      <c r="BH699" s="48"/>
      <c r="BI699" s="48"/>
      <c r="BJ699" s="48"/>
      <c r="BK699" s="48"/>
      <c r="BL699" s="48"/>
      <c r="BM699" s="48"/>
      <c r="BN699" s="48"/>
      <c r="BO699" s="48"/>
      <c r="BP699" s="48"/>
      <c r="BQ699" s="48"/>
      <c r="BR699" s="48"/>
      <c r="BS699" s="48"/>
      <c r="BT699" s="48"/>
      <c r="BU699" s="48"/>
      <c r="BV699" s="48"/>
      <c r="BW699" s="48"/>
      <c r="BX699" s="48"/>
      <c r="BY699" s="48"/>
      <c r="BZ699" s="48"/>
      <c r="CA699" s="48"/>
      <c r="CB699" s="48"/>
      <c r="CC699" s="48"/>
      <c r="CD699" s="48"/>
      <c r="CE699" s="48"/>
      <c r="CF699" s="48"/>
      <c r="CG699" s="48"/>
      <c r="CH699" s="48"/>
      <c r="CI699" s="48"/>
      <c r="CJ699" s="48"/>
      <c r="CK699" s="48"/>
      <c r="CL699" s="48"/>
      <c r="CM699" s="48"/>
      <c r="CN699" s="48"/>
      <c r="CO699" s="48"/>
      <c r="CP699" s="48"/>
      <c r="CQ699" s="48"/>
      <c r="CR699" s="48"/>
      <c r="CS699" s="48"/>
      <c r="CT699" s="48"/>
      <c r="CU699" s="48"/>
      <c r="CV699" s="48"/>
      <c r="CW699" s="48"/>
      <c r="CX699" s="48"/>
      <c r="CY699" s="48"/>
      <c r="CZ699" s="48"/>
      <c r="DA699" s="48"/>
      <c r="DB699" s="48"/>
      <c r="DC699" s="48"/>
      <c r="DD699" s="48"/>
      <c r="DE699" s="48"/>
      <c r="DF699" s="48"/>
      <c r="DG699" s="48"/>
      <c r="DH699" s="48"/>
      <c r="DI699" s="48"/>
      <c r="DJ699" s="48"/>
      <c r="DK699" s="48"/>
      <c r="DL699" s="48"/>
      <c r="DM699" s="48"/>
      <c r="DN699" s="48"/>
      <c r="DO699" s="48"/>
      <c r="DP699" s="48"/>
      <c r="DQ699" s="48"/>
      <c r="DR699" s="48"/>
      <c r="DS699" s="48"/>
    </row>
    <row r="700" spans="1:123" ht="15">
      <c r="A700"/>
      <c r="B700"/>
      <c r="C700"/>
      <c r="D700"/>
      <c r="E700"/>
      <c r="F700"/>
      <c r="G700"/>
      <c r="H700"/>
      <c r="I700"/>
      <c r="J700"/>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48"/>
      <c r="BH700" s="48"/>
      <c r="BI700" s="48"/>
      <c r="BJ700" s="48"/>
      <c r="BK700" s="48"/>
      <c r="BL700" s="48"/>
      <c r="BM700" s="48"/>
      <c r="BN700" s="48"/>
      <c r="BO700" s="48"/>
      <c r="BP700" s="48"/>
      <c r="BQ700" s="48"/>
      <c r="BR700" s="48"/>
      <c r="BS700" s="48"/>
      <c r="BT700" s="48"/>
      <c r="BU700" s="48"/>
      <c r="BV700" s="48"/>
      <c r="BW700" s="48"/>
      <c r="BX700" s="48"/>
      <c r="BY700" s="48"/>
      <c r="BZ700" s="48"/>
      <c r="CA700" s="48"/>
      <c r="CB700" s="48"/>
      <c r="CC700" s="48"/>
      <c r="CD700" s="48"/>
      <c r="CE700" s="48"/>
      <c r="CF700" s="48"/>
      <c r="CG700" s="48"/>
      <c r="CH700" s="48"/>
      <c r="CI700" s="48"/>
      <c r="CJ700" s="48"/>
      <c r="CK700" s="48"/>
      <c r="CL700" s="48"/>
      <c r="CM700" s="48"/>
      <c r="CN700" s="48"/>
      <c r="CO700" s="48"/>
      <c r="CP700" s="48"/>
      <c r="CQ700" s="48"/>
      <c r="CR700" s="48"/>
      <c r="CS700" s="48"/>
      <c r="CT700" s="48"/>
      <c r="CU700" s="48"/>
      <c r="CV700" s="48"/>
      <c r="CW700" s="48"/>
      <c r="CX700" s="48"/>
      <c r="CY700" s="48"/>
      <c r="CZ700" s="48"/>
      <c r="DA700" s="48"/>
      <c r="DB700" s="48"/>
      <c r="DC700" s="48"/>
      <c r="DD700" s="48"/>
      <c r="DE700" s="48"/>
      <c r="DF700" s="48"/>
      <c r="DG700" s="48"/>
      <c r="DH700" s="48"/>
      <c r="DI700" s="48"/>
      <c r="DJ700" s="48"/>
      <c r="DK700" s="48"/>
      <c r="DL700" s="48"/>
      <c r="DM700" s="48"/>
      <c r="DN700" s="48"/>
      <c r="DO700" s="48"/>
      <c r="DP700" s="48"/>
      <c r="DQ700" s="48"/>
      <c r="DR700" s="48"/>
      <c r="DS700" s="48"/>
    </row>
    <row r="701" spans="1:123" ht="15">
      <c r="A701"/>
      <c r="B701"/>
      <c r="C701"/>
      <c r="D701"/>
      <c r="E701"/>
      <c r="F701"/>
      <c r="G701"/>
      <c r="H701"/>
      <c r="I701"/>
      <c r="J701"/>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48"/>
      <c r="BH701" s="48"/>
      <c r="BI701" s="48"/>
      <c r="BJ701" s="48"/>
      <c r="BK701" s="48"/>
      <c r="BL701" s="48"/>
      <c r="BM701" s="48"/>
      <c r="BN701" s="48"/>
      <c r="BO701" s="48"/>
      <c r="BP701" s="48"/>
      <c r="BQ701" s="48"/>
      <c r="BR701" s="48"/>
      <c r="BS701" s="48"/>
      <c r="BT701" s="48"/>
      <c r="BU701" s="48"/>
      <c r="BV701" s="48"/>
      <c r="BW701" s="48"/>
      <c r="BX701" s="48"/>
      <c r="BY701" s="48"/>
      <c r="BZ701" s="48"/>
      <c r="CA701" s="48"/>
      <c r="CB701" s="48"/>
      <c r="CC701" s="48"/>
      <c r="CD701" s="48"/>
      <c r="CE701" s="48"/>
      <c r="CF701" s="48"/>
      <c r="CG701" s="48"/>
      <c r="CH701" s="48"/>
      <c r="CI701" s="48"/>
      <c r="CJ701" s="48"/>
      <c r="CK701" s="48"/>
      <c r="CL701" s="48"/>
      <c r="CM701" s="48"/>
      <c r="CN701" s="48"/>
      <c r="CO701" s="48"/>
      <c r="CP701" s="48"/>
      <c r="CQ701" s="48"/>
      <c r="CR701" s="48"/>
      <c r="CS701" s="48"/>
      <c r="CT701" s="48"/>
      <c r="CU701" s="48"/>
      <c r="CV701" s="48"/>
      <c r="CW701" s="48"/>
      <c r="CX701" s="48"/>
      <c r="CY701" s="48"/>
      <c r="CZ701" s="48"/>
      <c r="DA701" s="48"/>
      <c r="DB701" s="48"/>
      <c r="DC701" s="48"/>
      <c r="DD701" s="48"/>
      <c r="DE701" s="48"/>
      <c r="DF701" s="48"/>
      <c r="DG701" s="48"/>
      <c r="DH701" s="48"/>
      <c r="DI701" s="48"/>
      <c r="DJ701" s="48"/>
      <c r="DK701" s="48"/>
      <c r="DL701" s="48"/>
      <c r="DM701" s="48"/>
      <c r="DN701" s="48"/>
      <c r="DO701" s="48"/>
      <c r="DP701" s="48"/>
      <c r="DQ701" s="48"/>
      <c r="DR701" s="48"/>
      <c r="DS701" s="48"/>
    </row>
    <row r="702" spans="1:123" ht="15">
      <c r="A702"/>
      <c r="B702"/>
      <c r="C702"/>
      <c r="D702"/>
      <c r="E702"/>
      <c r="F702"/>
      <c r="G702"/>
      <c r="H702"/>
      <c r="I702"/>
      <c r="J702"/>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48"/>
      <c r="BH702" s="48"/>
      <c r="BI702" s="48"/>
      <c r="BJ702" s="48"/>
      <c r="BK702" s="48"/>
      <c r="BL702" s="48"/>
      <c r="BM702" s="48"/>
      <c r="BN702" s="48"/>
      <c r="BO702" s="48"/>
      <c r="BP702" s="48"/>
      <c r="BQ702" s="48"/>
      <c r="BR702" s="48"/>
      <c r="BS702" s="48"/>
      <c r="BT702" s="48"/>
      <c r="BU702" s="48"/>
      <c r="BV702" s="48"/>
      <c r="BW702" s="48"/>
      <c r="BX702" s="48"/>
      <c r="BY702" s="48"/>
      <c r="BZ702" s="48"/>
      <c r="CA702" s="48"/>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c r="DA702" s="48"/>
      <c r="DB702" s="48"/>
      <c r="DC702" s="48"/>
      <c r="DD702" s="48"/>
      <c r="DE702" s="48"/>
      <c r="DF702" s="48"/>
      <c r="DG702" s="48"/>
      <c r="DH702" s="48"/>
      <c r="DI702" s="48"/>
      <c r="DJ702" s="48"/>
      <c r="DK702" s="48"/>
      <c r="DL702" s="48"/>
      <c r="DM702" s="48"/>
      <c r="DN702" s="48"/>
      <c r="DO702" s="48"/>
      <c r="DP702" s="48"/>
      <c r="DQ702" s="48"/>
      <c r="DR702" s="48"/>
      <c r="DS702" s="48"/>
    </row>
    <row r="703" spans="1:123" ht="15">
      <c r="A703"/>
      <c r="B703"/>
      <c r="C703"/>
      <c r="D703"/>
      <c r="E703"/>
      <c r="F703"/>
      <c r="G703"/>
      <c r="H703"/>
      <c r="I703"/>
      <c r="J703"/>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48"/>
      <c r="BH703" s="48"/>
      <c r="BI703" s="48"/>
      <c r="BJ703" s="48"/>
      <c r="BK703" s="48"/>
      <c r="BL703" s="48"/>
      <c r="BM703" s="48"/>
      <c r="BN703" s="48"/>
      <c r="BO703" s="48"/>
      <c r="BP703" s="48"/>
      <c r="BQ703" s="48"/>
      <c r="BR703" s="48"/>
      <c r="BS703" s="48"/>
      <c r="BT703" s="48"/>
      <c r="BU703" s="48"/>
      <c r="BV703" s="48"/>
      <c r="BW703" s="48"/>
      <c r="BX703" s="48"/>
      <c r="BY703" s="48"/>
      <c r="BZ703" s="48"/>
      <c r="CA703" s="48"/>
      <c r="CB703" s="48"/>
      <c r="CC703" s="48"/>
      <c r="CD703" s="48"/>
      <c r="CE703" s="48"/>
      <c r="CF703" s="48"/>
      <c r="CG703" s="48"/>
      <c r="CH703" s="48"/>
      <c r="CI703" s="48"/>
      <c r="CJ703" s="48"/>
      <c r="CK703" s="48"/>
      <c r="CL703" s="48"/>
      <c r="CM703" s="48"/>
      <c r="CN703" s="48"/>
      <c r="CO703" s="48"/>
      <c r="CP703" s="48"/>
      <c r="CQ703" s="48"/>
      <c r="CR703" s="48"/>
      <c r="CS703" s="48"/>
      <c r="CT703" s="48"/>
      <c r="CU703" s="48"/>
      <c r="CV703" s="48"/>
      <c r="CW703" s="48"/>
      <c r="CX703" s="48"/>
      <c r="CY703" s="48"/>
      <c r="CZ703" s="48"/>
      <c r="DA703" s="48"/>
      <c r="DB703" s="48"/>
      <c r="DC703" s="48"/>
      <c r="DD703" s="48"/>
      <c r="DE703" s="48"/>
      <c r="DF703" s="48"/>
      <c r="DG703" s="48"/>
      <c r="DH703" s="48"/>
      <c r="DI703" s="48"/>
      <c r="DJ703" s="48"/>
      <c r="DK703" s="48"/>
      <c r="DL703" s="48"/>
      <c r="DM703" s="48"/>
      <c r="DN703" s="48"/>
      <c r="DO703" s="48"/>
      <c r="DP703" s="48"/>
      <c r="DQ703" s="48"/>
      <c r="DR703" s="48"/>
      <c r="DS703" s="48"/>
    </row>
    <row r="704" spans="1:123" ht="15">
      <c r="A704"/>
      <c r="B704"/>
      <c r="C704"/>
      <c r="D704"/>
      <c r="E704"/>
      <c r="F704"/>
      <c r="G704"/>
      <c r="H704"/>
      <c r="I704"/>
      <c r="J704"/>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c r="BS704" s="48"/>
      <c r="BT704" s="48"/>
      <c r="BU704" s="48"/>
      <c r="BV704" s="48"/>
      <c r="BW704" s="48"/>
      <c r="BX704" s="48"/>
      <c r="BY704" s="48"/>
      <c r="BZ704" s="48"/>
      <c r="CA704" s="48"/>
      <c r="CB704" s="48"/>
      <c r="CC704" s="48"/>
      <c r="CD704" s="48"/>
      <c r="CE704" s="48"/>
      <c r="CF704" s="48"/>
      <c r="CG704" s="48"/>
      <c r="CH704" s="48"/>
      <c r="CI704" s="48"/>
      <c r="CJ704" s="48"/>
      <c r="CK704" s="48"/>
      <c r="CL704" s="48"/>
      <c r="CM704" s="48"/>
      <c r="CN704" s="48"/>
      <c r="CO704" s="48"/>
      <c r="CP704" s="48"/>
      <c r="CQ704" s="48"/>
      <c r="CR704" s="48"/>
      <c r="CS704" s="48"/>
      <c r="CT704" s="48"/>
      <c r="CU704" s="48"/>
      <c r="CV704" s="48"/>
      <c r="CW704" s="48"/>
      <c r="CX704" s="48"/>
      <c r="CY704" s="48"/>
      <c r="CZ704" s="48"/>
      <c r="DA704" s="48"/>
      <c r="DB704" s="48"/>
      <c r="DC704" s="48"/>
      <c r="DD704" s="48"/>
      <c r="DE704" s="48"/>
      <c r="DF704" s="48"/>
      <c r="DG704" s="48"/>
      <c r="DH704" s="48"/>
      <c r="DI704" s="48"/>
      <c r="DJ704" s="48"/>
      <c r="DK704" s="48"/>
      <c r="DL704" s="48"/>
      <c r="DM704" s="48"/>
      <c r="DN704" s="48"/>
      <c r="DO704" s="48"/>
      <c r="DP704" s="48"/>
      <c r="DQ704" s="48"/>
      <c r="DR704" s="48"/>
      <c r="DS704" s="48"/>
    </row>
    <row r="705" spans="1:123" ht="15">
      <c r="A705"/>
      <c r="B705"/>
      <c r="C705"/>
      <c r="D705"/>
      <c r="E705"/>
      <c r="F705"/>
      <c r="G705"/>
      <c r="H705"/>
      <c r="I705"/>
      <c r="J705"/>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48"/>
      <c r="BH705" s="48"/>
      <c r="BI705" s="48"/>
      <c r="BJ705" s="48"/>
      <c r="BK705" s="48"/>
      <c r="BL705" s="48"/>
      <c r="BM705" s="48"/>
      <c r="BN705" s="48"/>
      <c r="BO705" s="48"/>
      <c r="BP705" s="48"/>
      <c r="BQ705" s="48"/>
      <c r="BR705" s="48"/>
      <c r="BS705" s="48"/>
      <c r="BT705" s="48"/>
      <c r="BU705" s="48"/>
      <c r="BV705" s="48"/>
      <c r="BW705" s="48"/>
      <c r="BX705" s="48"/>
      <c r="BY705" s="48"/>
      <c r="BZ705" s="48"/>
      <c r="CA705" s="48"/>
      <c r="CB705" s="48"/>
      <c r="CC705" s="48"/>
      <c r="CD705" s="48"/>
      <c r="CE705" s="48"/>
      <c r="CF705" s="48"/>
      <c r="CG705" s="48"/>
      <c r="CH705" s="48"/>
      <c r="CI705" s="48"/>
      <c r="CJ705" s="48"/>
      <c r="CK705" s="48"/>
      <c r="CL705" s="48"/>
      <c r="CM705" s="48"/>
      <c r="CN705" s="48"/>
      <c r="CO705" s="48"/>
      <c r="CP705" s="48"/>
      <c r="CQ705" s="48"/>
      <c r="CR705" s="48"/>
      <c r="CS705" s="48"/>
      <c r="CT705" s="48"/>
      <c r="CU705" s="48"/>
      <c r="CV705" s="48"/>
      <c r="CW705" s="48"/>
      <c r="CX705" s="48"/>
      <c r="CY705" s="48"/>
      <c r="CZ705" s="48"/>
      <c r="DA705" s="48"/>
      <c r="DB705" s="48"/>
      <c r="DC705" s="48"/>
      <c r="DD705" s="48"/>
      <c r="DE705" s="48"/>
      <c r="DF705" s="48"/>
      <c r="DG705" s="48"/>
      <c r="DH705" s="48"/>
      <c r="DI705" s="48"/>
      <c r="DJ705" s="48"/>
      <c r="DK705" s="48"/>
      <c r="DL705" s="48"/>
      <c r="DM705" s="48"/>
      <c r="DN705" s="48"/>
      <c r="DO705" s="48"/>
      <c r="DP705" s="48"/>
      <c r="DQ705" s="48"/>
      <c r="DR705" s="48"/>
      <c r="DS705" s="48"/>
    </row>
    <row r="706" spans="1:123" ht="15">
      <c r="A706"/>
      <c r="B706"/>
      <c r="C706"/>
      <c r="D706"/>
      <c r="E706"/>
      <c r="F706"/>
      <c r="G706"/>
      <c r="H706"/>
      <c r="I706"/>
      <c r="J706"/>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48"/>
      <c r="BJ706" s="48"/>
      <c r="BK706" s="48"/>
      <c r="BL706" s="48"/>
      <c r="BM706" s="48"/>
      <c r="BN706" s="48"/>
      <c r="BO706" s="48"/>
      <c r="BP706" s="48"/>
      <c r="BQ706" s="48"/>
      <c r="BR706" s="48"/>
      <c r="BS706" s="48"/>
      <c r="BT706" s="48"/>
      <c r="BU706" s="48"/>
      <c r="BV706" s="48"/>
      <c r="BW706" s="48"/>
      <c r="BX706" s="48"/>
      <c r="BY706" s="48"/>
      <c r="BZ706" s="48"/>
      <c r="CA706" s="48"/>
      <c r="CB706" s="48"/>
      <c r="CC706" s="48"/>
      <c r="CD706" s="48"/>
      <c r="CE706" s="48"/>
      <c r="CF706" s="48"/>
      <c r="CG706" s="48"/>
      <c r="CH706" s="48"/>
      <c r="CI706" s="48"/>
      <c r="CJ706" s="48"/>
      <c r="CK706" s="48"/>
      <c r="CL706" s="48"/>
      <c r="CM706" s="48"/>
      <c r="CN706" s="48"/>
      <c r="CO706" s="48"/>
      <c r="CP706" s="48"/>
      <c r="CQ706" s="48"/>
      <c r="CR706" s="48"/>
      <c r="CS706" s="48"/>
      <c r="CT706" s="48"/>
      <c r="CU706" s="48"/>
      <c r="CV706" s="48"/>
      <c r="CW706" s="48"/>
      <c r="CX706" s="48"/>
      <c r="CY706" s="48"/>
      <c r="CZ706" s="48"/>
      <c r="DA706" s="48"/>
      <c r="DB706" s="48"/>
      <c r="DC706" s="48"/>
      <c r="DD706" s="48"/>
      <c r="DE706" s="48"/>
      <c r="DF706" s="48"/>
      <c r="DG706" s="48"/>
      <c r="DH706" s="48"/>
      <c r="DI706" s="48"/>
      <c r="DJ706" s="48"/>
      <c r="DK706" s="48"/>
      <c r="DL706" s="48"/>
      <c r="DM706" s="48"/>
      <c r="DN706" s="48"/>
      <c r="DO706" s="48"/>
      <c r="DP706" s="48"/>
      <c r="DQ706" s="48"/>
      <c r="DR706" s="48"/>
      <c r="DS706" s="48"/>
    </row>
    <row r="707" spans="1:123" ht="15">
      <c r="A707"/>
      <c r="B707"/>
      <c r="C707"/>
      <c r="D707"/>
      <c r="E707"/>
      <c r="F707"/>
      <c r="G707"/>
      <c r="H707"/>
      <c r="I707"/>
      <c r="J707"/>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c r="BO707" s="48"/>
      <c r="BP707" s="48"/>
      <c r="BQ707" s="48"/>
      <c r="BR707" s="48"/>
      <c r="BS707" s="48"/>
      <c r="BT707" s="48"/>
      <c r="BU707" s="48"/>
      <c r="BV707" s="48"/>
      <c r="BW707" s="48"/>
      <c r="BX707" s="48"/>
      <c r="BY707" s="48"/>
      <c r="BZ707" s="48"/>
      <c r="CA707" s="48"/>
      <c r="CB707" s="48"/>
      <c r="CC707" s="48"/>
      <c r="CD707" s="48"/>
      <c r="CE707" s="48"/>
      <c r="CF707" s="48"/>
      <c r="CG707" s="48"/>
      <c r="CH707" s="48"/>
      <c r="CI707" s="48"/>
      <c r="CJ707" s="48"/>
      <c r="CK707" s="48"/>
      <c r="CL707" s="48"/>
      <c r="CM707" s="48"/>
      <c r="CN707" s="48"/>
      <c r="CO707" s="48"/>
      <c r="CP707" s="48"/>
      <c r="CQ707" s="48"/>
      <c r="CR707" s="48"/>
      <c r="CS707" s="48"/>
      <c r="CT707" s="48"/>
      <c r="CU707" s="48"/>
      <c r="CV707" s="48"/>
      <c r="CW707" s="48"/>
      <c r="CX707" s="48"/>
      <c r="CY707" s="48"/>
      <c r="CZ707" s="48"/>
      <c r="DA707" s="48"/>
      <c r="DB707" s="48"/>
      <c r="DC707" s="48"/>
      <c r="DD707" s="48"/>
      <c r="DE707" s="48"/>
      <c r="DF707" s="48"/>
      <c r="DG707" s="48"/>
      <c r="DH707" s="48"/>
      <c r="DI707" s="48"/>
      <c r="DJ707" s="48"/>
      <c r="DK707" s="48"/>
      <c r="DL707" s="48"/>
      <c r="DM707" s="48"/>
      <c r="DN707" s="48"/>
      <c r="DO707" s="48"/>
      <c r="DP707" s="48"/>
      <c r="DQ707" s="48"/>
      <c r="DR707" s="48"/>
      <c r="DS707" s="48"/>
    </row>
    <row r="708" spans="1:123" ht="15">
      <c r="A708"/>
      <c r="B708"/>
      <c r="C708"/>
      <c r="D708"/>
      <c r="E708"/>
      <c r="F708"/>
      <c r="G708"/>
      <c r="H708"/>
      <c r="I708"/>
      <c r="J70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c r="BO708" s="48"/>
      <c r="BP708" s="48"/>
      <c r="BQ708" s="48"/>
      <c r="BR708" s="48"/>
      <c r="BS708" s="48"/>
      <c r="BT708" s="48"/>
      <c r="BU708" s="48"/>
      <c r="BV708" s="48"/>
      <c r="BW708" s="48"/>
      <c r="BX708" s="48"/>
      <c r="BY708" s="48"/>
      <c r="BZ708" s="48"/>
      <c r="CA708" s="48"/>
      <c r="CB708" s="48"/>
      <c r="CC708" s="48"/>
      <c r="CD708" s="48"/>
      <c r="CE708" s="48"/>
      <c r="CF708" s="48"/>
      <c r="CG708" s="48"/>
      <c r="CH708" s="48"/>
      <c r="CI708" s="48"/>
      <c r="CJ708" s="48"/>
      <c r="CK708" s="48"/>
      <c r="CL708" s="48"/>
      <c r="CM708" s="48"/>
      <c r="CN708" s="48"/>
      <c r="CO708" s="48"/>
      <c r="CP708" s="48"/>
      <c r="CQ708" s="48"/>
      <c r="CR708" s="48"/>
      <c r="CS708" s="48"/>
      <c r="CT708" s="48"/>
      <c r="CU708" s="48"/>
      <c r="CV708" s="48"/>
      <c r="CW708" s="48"/>
      <c r="CX708" s="48"/>
      <c r="CY708" s="48"/>
      <c r="CZ708" s="48"/>
      <c r="DA708" s="48"/>
      <c r="DB708" s="48"/>
      <c r="DC708" s="48"/>
      <c r="DD708" s="48"/>
      <c r="DE708" s="48"/>
      <c r="DF708" s="48"/>
      <c r="DG708" s="48"/>
      <c r="DH708" s="48"/>
      <c r="DI708" s="48"/>
      <c r="DJ708" s="48"/>
      <c r="DK708" s="48"/>
      <c r="DL708" s="48"/>
      <c r="DM708" s="48"/>
      <c r="DN708" s="48"/>
      <c r="DO708" s="48"/>
      <c r="DP708" s="48"/>
      <c r="DQ708" s="48"/>
      <c r="DR708" s="48"/>
      <c r="DS708" s="48"/>
    </row>
    <row r="709" spans="1:123" ht="15">
      <c r="A709"/>
      <c r="B709"/>
      <c r="C709"/>
      <c r="D709"/>
      <c r="E709"/>
      <c r="F709"/>
      <c r="G709"/>
      <c r="H709"/>
      <c r="I709"/>
      <c r="J709"/>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c r="BO709" s="48"/>
      <c r="BP709" s="48"/>
      <c r="BQ709" s="48"/>
      <c r="BR709" s="48"/>
      <c r="BS709" s="48"/>
      <c r="BT709" s="48"/>
      <c r="BU709" s="48"/>
      <c r="BV709" s="48"/>
      <c r="BW709" s="48"/>
      <c r="BX709" s="48"/>
      <c r="BY709" s="48"/>
      <c r="BZ709" s="48"/>
      <c r="CA709" s="48"/>
      <c r="CB709" s="48"/>
      <c r="CC709" s="48"/>
      <c r="CD709" s="48"/>
      <c r="CE709" s="48"/>
      <c r="CF709" s="48"/>
      <c r="CG709" s="48"/>
      <c r="CH709" s="48"/>
      <c r="CI709" s="48"/>
      <c r="CJ709" s="48"/>
      <c r="CK709" s="48"/>
      <c r="CL709" s="48"/>
      <c r="CM709" s="48"/>
      <c r="CN709" s="48"/>
      <c r="CO709" s="48"/>
      <c r="CP709" s="48"/>
      <c r="CQ709" s="48"/>
      <c r="CR709" s="48"/>
      <c r="CS709" s="48"/>
      <c r="CT709" s="48"/>
      <c r="CU709" s="48"/>
      <c r="CV709" s="48"/>
      <c r="CW709" s="48"/>
      <c r="CX709" s="48"/>
      <c r="CY709" s="48"/>
      <c r="CZ709" s="48"/>
      <c r="DA709" s="48"/>
      <c r="DB709" s="48"/>
      <c r="DC709" s="48"/>
      <c r="DD709" s="48"/>
      <c r="DE709" s="48"/>
      <c r="DF709" s="48"/>
      <c r="DG709" s="48"/>
      <c r="DH709" s="48"/>
      <c r="DI709" s="48"/>
      <c r="DJ709" s="48"/>
      <c r="DK709" s="48"/>
      <c r="DL709" s="48"/>
      <c r="DM709" s="48"/>
      <c r="DN709" s="48"/>
      <c r="DO709" s="48"/>
      <c r="DP709" s="48"/>
      <c r="DQ709" s="48"/>
      <c r="DR709" s="48"/>
      <c r="DS709" s="48"/>
    </row>
    <row r="710" spans="1:123" ht="15">
      <c r="A710"/>
      <c r="B710"/>
      <c r="C710"/>
      <c r="D710"/>
      <c r="E710"/>
      <c r="F710"/>
      <c r="G710"/>
      <c r="H710"/>
      <c r="I710"/>
      <c r="J710"/>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48"/>
      <c r="BH710" s="48"/>
      <c r="BI710" s="48"/>
      <c r="BJ710" s="48"/>
      <c r="BK710" s="48"/>
      <c r="BL710" s="48"/>
      <c r="BM710" s="48"/>
      <c r="BN710" s="48"/>
      <c r="BO710" s="48"/>
      <c r="BP710" s="48"/>
      <c r="BQ710" s="48"/>
      <c r="BR710" s="48"/>
      <c r="BS710" s="48"/>
      <c r="BT710" s="48"/>
      <c r="BU710" s="48"/>
      <c r="BV710" s="48"/>
      <c r="BW710" s="48"/>
      <c r="BX710" s="48"/>
      <c r="BY710" s="48"/>
      <c r="BZ710" s="48"/>
      <c r="CA710" s="48"/>
      <c r="CB710" s="48"/>
      <c r="CC710" s="48"/>
      <c r="CD710" s="48"/>
      <c r="CE710" s="48"/>
      <c r="CF710" s="48"/>
      <c r="CG710" s="48"/>
      <c r="CH710" s="48"/>
      <c r="CI710" s="48"/>
      <c r="CJ710" s="48"/>
      <c r="CK710" s="48"/>
      <c r="CL710" s="48"/>
      <c r="CM710" s="48"/>
      <c r="CN710" s="48"/>
      <c r="CO710" s="48"/>
      <c r="CP710" s="48"/>
      <c r="CQ710" s="48"/>
      <c r="CR710" s="48"/>
      <c r="CS710" s="48"/>
      <c r="CT710" s="48"/>
      <c r="CU710" s="48"/>
      <c r="CV710" s="48"/>
      <c r="CW710" s="48"/>
      <c r="CX710" s="48"/>
      <c r="CY710" s="48"/>
      <c r="CZ710" s="48"/>
      <c r="DA710" s="48"/>
      <c r="DB710" s="48"/>
      <c r="DC710" s="48"/>
      <c r="DD710" s="48"/>
      <c r="DE710" s="48"/>
      <c r="DF710" s="48"/>
      <c r="DG710" s="48"/>
      <c r="DH710" s="48"/>
      <c r="DI710" s="48"/>
      <c r="DJ710" s="48"/>
      <c r="DK710" s="48"/>
      <c r="DL710" s="48"/>
      <c r="DM710" s="48"/>
      <c r="DN710" s="48"/>
      <c r="DO710" s="48"/>
      <c r="DP710" s="48"/>
      <c r="DQ710" s="48"/>
      <c r="DR710" s="48"/>
      <c r="DS710" s="48"/>
    </row>
    <row r="711" spans="1:123" ht="15">
      <c r="A711"/>
      <c r="B711"/>
      <c r="C711"/>
      <c r="D711"/>
      <c r="E711"/>
      <c r="F711"/>
      <c r="G711"/>
      <c r="H711"/>
      <c r="I711"/>
      <c r="J711"/>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c r="BS711" s="48"/>
      <c r="BT711" s="48"/>
      <c r="BU711" s="48"/>
      <c r="BV711" s="48"/>
      <c r="BW711" s="48"/>
      <c r="BX711" s="48"/>
      <c r="BY711" s="48"/>
      <c r="BZ711" s="48"/>
      <c r="CA711" s="48"/>
      <c r="CB711" s="48"/>
      <c r="CC711" s="48"/>
      <c r="CD711" s="48"/>
      <c r="CE711" s="48"/>
      <c r="CF711" s="48"/>
      <c r="CG711" s="48"/>
      <c r="CH711" s="48"/>
      <c r="CI711" s="48"/>
      <c r="CJ711" s="48"/>
      <c r="CK711" s="48"/>
      <c r="CL711" s="48"/>
      <c r="CM711" s="48"/>
      <c r="CN711" s="48"/>
      <c r="CO711" s="48"/>
      <c r="CP711" s="48"/>
      <c r="CQ711" s="48"/>
      <c r="CR711" s="48"/>
      <c r="CS711" s="48"/>
      <c r="CT711" s="48"/>
      <c r="CU711" s="48"/>
      <c r="CV711" s="48"/>
      <c r="CW711" s="48"/>
      <c r="CX711" s="48"/>
      <c r="CY711" s="48"/>
      <c r="CZ711" s="48"/>
      <c r="DA711" s="48"/>
      <c r="DB711" s="48"/>
      <c r="DC711" s="48"/>
      <c r="DD711" s="48"/>
      <c r="DE711" s="48"/>
      <c r="DF711" s="48"/>
      <c r="DG711" s="48"/>
      <c r="DH711" s="48"/>
      <c r="DI711" s="48"/>
      <c r="DJ711" s="48"/>
      <c r="DK711" s="48"/>
      <c r="DL711" s="48"/>
      <c r="DM711" s="48"/>
      <c r="DN711" s="48"/>
      <c r="DO711" s="48"/>
      <c r="DP711" s="48"/>
      <c r="DQ711" s="48"/>
      <c r="DR711" s="48"/>
      <c r="DS711" s="48"/>
    </row>
    <row r="712" spans="1:123" ht="15">
      <c r="A712"/>
      <c r="B712"/>
      <c r="C712"/>
      <c r="D712"/>
      <c r="E712"/>
      <c r="F712"/>
      <c r="G712"/>
      <c r="H712"/>
      <c r="I712"/>
      <c r="J712"/>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c r="BS712" s="48"/>
      <c r="BT712" s="48"/>
      <c r="BU712" s="48"/>
      <c r="BV712" s="48"/>
      <c r="BW712" s="48"/>
      <c r="BX712" s="48"/>
      <c r="BY712" s="48"/>
      <c r="BZ712" s="48"/>
      <c r="CA712" s="48"/>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c r="DA712" s="48"/>
      <c r="DB712" s="48"/>
      <c r="DC712" s="48"/>
      <c r="DD712" s="48"/>
      <c r="DE712" s="48"/>
      <c r="DF712" s="48"/>
      <c r="DG712" s="48"/>
      <c r="DH712" s="48"/>
      <c r="DI712" s="48"/>
      <c r="DJ712" s="48"/>
      <c r="DK712" s="48"/>
      <c r="DL712" s="48"/>
      <c r="DM712" s="48"/>
      <c r="DN712" s="48"/>
      <c r="DO712" s="48"/>
      <c r="DP712" s="48"/>
      <c r="DQ712" s="48"/>
      <c r="DR712" s="48"/>
      <c r="DS712" s="48"/>
    </row>
    <row r="713" spans="1:123" ht="15">
      <c r="A713"/>
      <c r="B713"/>
      <c r="C713"/>
      <c r="D713"/>
      <c r="E713"/>
      <c r="F713"/>
      <c r="G713"/>
      <c r="H713"/>
      <c r="I713"/>
      <c r="J713"/>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48"/>
      <c r="BH713" s="48"/>
      <c r="BI713" s="48"/>
      <c r="BJ713" s="48"/>
      <c r="BK713" s="48"/>
      <c r="BL713" s="48"/>
      <c r="BM713" s="48"/>
      <c r="BN713" s="48"/>
      <c r="BO713" s="48"/>
      <c r="BP713" s="48"/>
      <c r="BQ713" s="48"/>
      <c r="BR713" s="48"/>
      <c r="BS713" s="48"/>
      <c r="BT713" s="48"/>
      <c r="BU713" s="48"/>
      <c r="BV713" s="48"/>
      <c r="BW713" s="48"/>
      <c r="BX713" s="48"/>
      <c r="BY713" s="48"/>
      <c r="BZ713" s="48"/>
      <c r="CA713" s="48"/>
      <c r="CB713" s="48"/>
      <c r="CC713" s="48"/>
      <c r="CD713" s="48"/>
      <c r="CE713" s="48"/>
      <c r="CF713" s="48"/>
      <c r="CG713" s="48"/>
      <c r="CH713" s="48"/>
      <c r="CI713" s="48"/>
      <c r="CJ713" s="48"/>
      <c r="CK713" s="48"/>
      <c r="CL713" s="48"/>
      <c r="CM713" s="48"/>
      <c r="CN713" s="48"/>
      <c r="CO713" s="48"/>
      <c r="CP713" s="48"/>
      <c r="CQ713" s="48"/>
      <c r="CR713" s="48"/>
      <c r="CS713" s="48"/>
      <c r="CT713" s="48"/>
      <c r="CU713" s="48"/>
      <c r="CV713" s="48"/>
      <c r="CW713" s="48"/>
      <c r="CX713" s="48"/>
      <c r="CY713" s="48"/>
      <c r="CZ713" s="48"/>
      <c r="DA713" s="48"/>
      <c r="DB713" s="48"/>
      <c r="DC713" s="48"/>
      <c r="DD713" s="48"/>
      <c r="DE713" s="48"/>
      <c r="DF713" s="48"/>
      <c r="DG713" s="48"/>
      <c r="DH713" s="48"/>
      <c r="DI713" s="48"/>
      <c r="DJ713" s="48"/>
      <c r="DK713" s="48"/>
      <c r="DL713" s="48"/>
      <c r="DM713" s="48"/>
      <c r="DN713" s="48"/>
      <c r="DO713" s="48"/>
      <c r="DP713" s="48"/>
      <c r="DQ713" s="48"/>
      <c r="DR713" s="48"/>
      <c r="DS713" s="48"/>
    </row>
    <row r="714" spans="1:123" ht="15">
      <c r="A714"/>
      <c r="B714"/>
      <c r="C714"/>
      <c r="D714"/>
      <c r="E714"/>
      <c r="F714"/>
      <c r="G714"/>
      <c r="H714"/>
      <c r="I714"/>
      <c r="J714"/>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48"/>
      <c r="BH714" s="48"/>
      <c r="BI714" s="48"/>
      <c r="BJ714" s="48"/>
      <c r="BK714" s="48"/>
      <c r="BL714" s="48"/>
      <c r="BM714" s="48"/>
      <c r="BN714" s="48"/>
      <c r="BO714" s="48"/>
      <c r="BP714" s="48"/>
      <c r="BQ714" s="48"/>
      <c r="BR714" s="48"/>
      <c r="BS714" s="48"/>
      <c r="BT714" s="48"/>
      <c r="BU714" s="48"/>
      <c r="BV714" s="48"/>
      <c r="BW714" s="48"/>
      <c r="BX714" s="48"/>
      <c r="BY714" s="48"/>
      <c r="BZ714" s="48"/>
      <c r="CA714" s="48"/>
      <c r="CB714" s="48"/>
      <c r="CC714" s="48"/>
      <c r="CD714" s="48"/>
      <c r="CE714" s="48"/>
      <c r="CF714" s="48"/>
      <c r="CG714" s="48"/>
      <c r="CH714" s="48"/>
      <c r="CI714" s="48"/>
      <c r="CJ714" s="48"/>
      <c r="CK714" s="48"/>
      <c r="CL714" s="48"/>
      <c r="CM714" s="48"/>
      <c r="CN714" s="48"/>
      <c r="CO714" s="48"/>
      <c r="CP714" s="48"/>
      <c r="CQ714" s="48"/>
      <c r="CR714" s="48"/>
      <c r="CS714" s="48"/>
      <c r="CT714" s="48"/>
      <c r="CU714" s="48"/>
      <c r="CV714" s="48"/>
      <c r="CW714" s="48"/>
      <c r="CX714" s="48"/>
      <c r="CY714" s="48"/>
      <c r="CZ714" s="48"/>
      <c r="DA714" s="48"/>
      <c r="DB714" s="48"/>
      <c r="DC714" s="48"/>
      <c r="DD714" s="48"/>
      <c r="DE714" s="48"/>
      <c r="DF714" s="48"/>
      <c r="DG714" s="48"/>
      <c r="DH714" s="48"/>
      <c r="DI714" s="48"/>
      <c r="DJ714" s="48"/>
      <c r="DK714" s="48"/>
      <c r="DL714" s="48"/>
      <c r="DM714" s="48"/>
      <c r="DN714" s="48"/>
      <c r="DO714" s="48"/>
      <c r="DP714" s="48"/>
      <c r="DQ714" s="48"/>
      <c r="DR714" s="48"/>
      <c r="DS714" s="48"/>
    </row>
    <row r="715" spans="1:123" ht="15">
      <c r="A715"/>
      <c r="B715"/>
      <c r="C715"/>
      <c r="D715"/>
      <c r="E715"/>
      <c r="F715"/>
      <c r="G715"/>
      <c r="H715"/>
      <c r="I715"/>
      <c r="J715"/>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c r="BS715" s="48"/>
      <c r="BT715" s="48"/>
      <c r="BU715" s="48"/>
      <c r="BV715" s="48"/>
      <c r="BW715" s="48"/>
      <c r="BX715" s="48"/>
      <c r="BY715" s="48"/>
      <c r="BZ715" s="48"/>
      <c r="CA715" s="48"/>
      <c r="CB715" s="48"/>
      <c r="CC715" s="48"/>
      <c r="CD715" s="48"/>
      <c r="CE715" s="48"/>
      <c r="CF715" s="48"/>
      <c r="CG715" s="48"/>
      <c r="CH715" s="48"/>
      <c r="CI715" s="48"/>
      <c r="CJ715" s="48"/>
      <c r="CK715" s="48"/>
      <c r="CL715" s="48"/>
      <c r="CM715" s="48"/>
      <c r="CN715" s="48"/>
      <c r="CO715" s="48"/>
      <c r="CP715" s="48"/>
      <c r="CQ715" s="48"/>
      <c r="CR715" s="48"/>
      <c r="CS715" s="48"/>
      <c r="CT715" s="48"/>
      <c r="CU715" s="48"/>
      <c r="CV715" s="48"/>
      <c r="CW715" s="48"/>
      <c r="CX715" s="48"/>
      <c r="CY715" s="48"/>
      <c r="CZ715" s="48"/>
      <c r="DA715" s="48"/>
      <c r="DB715" s="48"/>
      <c r="DC715" s="48"/>
      <c r="DD715" s="48"/>
      <c r="DE715" s="48"/>
      <c r="DF715" s="48"/>
      <c r="DG715" s="48"/>
      <c r="DH715" s="48"/>
      <c r="DI715" s="48"/>
      <c r="DJ715" s="48"/>
      <c r="DK715" s="48"/>
      <c r="DL715" s="48"/>
      <c r="DM715" s="48"/>
      <c r="DN715" s="48"/>
      <c r="DO715" s="48"/>
      <c r="DP715" s="48"/>
      <c r="DQ715" s="48"/>
      <c r="DR715" s="48"/>
      <c r="DS715" s="48"/>
    </row>
    <row r="716" spans="1:123" ht="15">
      <c r="A716"/>
      <c r="B716"/>
      <c r="C716"/>
      <c r="D716"/>
      <c r="E716"/>
      <c r="F716"/>
      <c r="G716"/>
      <c r="H716"/>
      <c r="I716"/>
      <c r="J716"/>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48"/>
      <c r="BJ716" s="48"/>
      <c r="BK716" s="48"/>
      <c r="BL716" s="48"/>
      <c r="BM716" s="48"/>
      <c r="BN716" s="48"/>
      <c r="BO716" s="48"/>
      <c r="BP716" s="48"/>
      <c r="BQ716" s="48"/>
      <c r="BR716" s="48"/>
      <c r="BS716" s="48"/>
      <c r="BT716" s="48"/>
      <c r="BU716" s="48"/>
      <c r="BV716" s="48"/>
      <c r="BW716" s="48"/>
      <c r="BX716" s="48"/>
      <c r="BY716" s="48"/>
      <c r="BZ716" s="48"/>
      <c r="CA716" s="48"/>
      <c r="CB716" s="48"/>
      <c r="CC716" s="48"/>
      <c r="CD716" s="48"/>
      <c r="CE716" s="48"/>
      <c r="CF716" s="48"/>
      <c r="CG716" s="48"/>
      <c r="CH716" s="48"/>
      <c r="CI716" s="48"/>
      <c r="CJ716" s="48"/>
      <c r="CK716" s="48"/>
      <c r="CL716" s="48"/>
      <c r="CM716" s="48"/>
      <c r="CN716" s="48"/>
      <c r="CO716" s="48"/>
      <c r="CP716" s="48"/>
      <c r="CQ716" s="48"/>
      <c r="CR716" s="48"/>
      <c r="CS716" s="48"/>
      <c r="CT716" s="48"/>
      <c r="CU716" s="48"/>
      <c r="CV716" s="48"/>
      <c r="CW716" s="48"/>
      <c r="CX716" s="48"/>
      <c r="CY716" s="48"/>
      <c r="CZ716" s="48"/>
      <c r="DA716" s="48"/>
      <c r="DB716" s="48"/>
      <c r="DC716" s="48"/>
      <c r="DD716" s="48"/>
      <c r="DE716" s="48"/>
      <c r="DF716" s="48"/>
      <c r="DG716" s="48"/>
      <c r="DH716" s="48"/>
      <c r="DI716" s="48"/>
      <c r="DJ716" s="48"/>
      <c r="DK716" s="48"/>
      <c r="DL716" s="48"/>
      <c r="DM716" s="48"/>
      <c r="DN716" s="48"/>
      <c r="DO716" s="48"/>
      <c r="DP716" s="48"/>
      <c r="DQ716" s="48"/>
      <c r="DR716" s="48"/>
      <c r="DS716" s="48"/>
    </row>
    <row r="717" spans="1:123" ht="15">
      <c r="A717"/>
      <c r="B717"/>
      <c r="C717"/>
      <c r="D717"/>
      <c r="E717"/>
      <c r="F717"/>
      <c r="G717"/>
      <c r="H717"/>
      <c r="I717"/>
      <c r="J717"/>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48"/>
      <c r="BW717" s="48"/>
      <c r="BX717" s="48"/>
      <c r="BY717" s="48"/>
      <c r="BZ717" s="48"/>
      <c r="CA717" s="48"/>
      <c r="CB717" s="48"/>
      <c r="CC717" s="48"/>
      <c r="CD717" s="48"/>
      <c r="CE717" s="48"/>
      <c r="CF717" s="48"/>
      <c r="CG717" s="48"/>
      <c r="CH717" s="48"/>
      <c r="CI717" s="48"/>
      <c r="CJ717" s="48"/>
      <c r="CK717" s="48"/>
      <c r="CL717" s="48"/>
      <c r="CM717" s="48"/>
      <c r="CN717" s="48"/>
      <c r="CO717" s="48"/>
      <c r="CP717" s="48"/>
      <c r="CQ717" s="48"/>
      <c r="CR717" s="48"/>
      <c r="CS717" s="48"/>
      <c r="CT717" s="48"/>
      <c r="CU717" s="48"/>
      <c r="CV717" s="48"/>
      <c r="CW717" s="48"/>
      <c r="CX717" s="48"/>
      <c r="CY717" s="48"/>
      <c r="CZ717" s="48"/>
      <c r="DA717" s="48"/>
      <c r="DB717" s="48"/>
      <c r="DC717" s="48"/>
      <c r="DD717" s="48"/>
      <c r="DE717" s="48"/>
      <c r="DF717" s="48"/>
      <c r="DG717" s="48"/>
      <c r="DH717" s="48"/>
      <c r="DI717" s="48"/>
      <c r="DJ717" s="48"/>
      <c r="DK717" s="48"/>
      <c r="DL717" s="48"/>
      <c r="DM717" s="48"/>
      <c r="DN717" s="48"/>
      <c r="DO717" s="48"/>
      <c r="DP717" s="48"/>
      <c r="DQ717" s="48"/>
      <c r="DR717" s="48"/>
      <c r="DS717" s="48"/>
    </row>
    <row r="718" spans="1:123" ht="15">
      <c r="A718"/>
      <c r="B718"/>
      <c r="C718"/>
      <c r="D718"/>
      <c r="E718"/>
      <c r="F718"/>
      <c r="G718"/>
      <c r="H718"/>
      <c r="I718"/>
      <c r="J71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48"/>
      <c r="BH718" s="48"/>
      <c r="BI718" s="48"/>
      <c r="BJ718" s="48"/>
      <c r="BK718" s="48"/>
      <c r="BL718" s="48"/>
      <c r="BM718" s="48"/>
      <c r="BN718" s="48"/>
      <c r="BO718" s="48"/>
      <c r="BP718" s="48"/>
      <c r="BQ718" s="48"/>
      <c r="BR718" s="48"/>
      <c r="BS718" s="48"/>
      <c r="BT718" s="48"/>
      <c r="BU718" s="48"/>
      <c r="BV718" s="48"/>
      <c r="BW718" s="48"/>
      <c r="BX718" s="48"/>
      <c r="BY718" s="48"/>
      <c r="BZ718" s="48"/>
      <c r="CA718" s="48"/>
      <c r="CB718" s="48"/>
      <c r="CC718" s="48"/>
      <c r="CD718" s="48"/>
      <c r="CE718" s="48"/>
      <c r="CF718" s="48"/>
      <c r="CG718" s="48"/>
      <c r="CH718" s="48"/>
      <c r="CI718" s="48"/>
      <c r="CJ718" s="48"/>
      <c r="CK718" s="48"/>
      <c r="CL718" s="48"/>
      <c r="CM718" s="48"/>
      <c r="CN718" s="48"/>
      <c r="CO718" s="48"/>
      <c r="CP718" s="48"/>
      <c r="CQ718" s="48"/>
      <c r="CR718" s="48"/>
      <c r="CS718" s="48"/>
      <c r="CT718" s="48"/>
      <c r="CU718" s="48"/>
      <c r="CV718" s="48"/>
      <c r="CW718" s="48"/>
      <c r="CX718" s="48"/>
      <c r="CY718" s="48"/>
      <c r="CZ718" s="48"/>
      <c r="DA718" s="48"/>
      <c r="DB718" s="48"/>
      <c r="DC718" s="48"/>
      <c r="DD718" s="48"/>
      <c r="DE718" s="48"/>
      <c r="DF718" s="48"/>
      <c r="DG718" s="48"/>
      <c r="DH718" s="48"/>
      <c r="DI718" s="48"/>
      <c r="DJ718" s="48"/>
      <c r="DK718" s="48"/>
      <c r="DL718" s="48"/>
      <c r="DM718" s="48"/>
      <c r="DN718" s="48"/>
      <c r="DO718" s="48"/>
      <c r="DP718" s="48"/>
      <c r="DQ718" s="48"/>
      <c r="DR718" s="48"/>
      <c r="DS718" s="48"/>
    </row>
    <row r="719" spans="1:123" ht="15">
      <c r="A719"/>
      <c r="B719"/>
      <c r="C719"/>
      <c r="D719"/>
      <c r="E719"/>
      <c r="F719"/>
      <c r="G719"/>
      <c r="H719"/>
      <c r="I719"/>
      <c r="J719"/>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48"/>
      <c r="BH719" s="48"/>
      <c r="BI719" s="48"/>
      <c r="BJ719" s="48"/>
      <c r="BK719" s="48"/>
      <c r="BL719" s="48"/>
      <c r="BM719" s="48"/>
      <c r="BN719" s="48"/>
      <c r="BO719" s="48"/>
      <c r="BP719" s="48"/>
      <c r="BQ719" s="48"/>
      <c r="BR719" s="48"/>
      <c r="BS719" s="48"/>
      <c r="BT719" s="48"/>
      <c r="BU719" s="48"/>
      <c r="BV719" s="48"/>
      <c r="BW719" s="48"/>
      <c r="BX719" s="48"/>
      <c r="BY719" s="48"/>
      <c r="BZ719" s="48"/>
      <c r="CA719" s="48"/>
      <c r="CB719" s="48"/>
      <c r="CC719" s="48"/>
      <c r="CD719" s="48"/>
      <c r="CE719" s="48"/>
      <c r="CF719" s="48"/>
      <c r="CG719" s="48"/>
      <c r="CH719" s="48"/>
      <c r="CI719" s="48"/>
      <c r="CJ719" s="48"/>
      <c r="CK719" s="48"/>
      <c r="CL719" s="48"/>
      <c r="CM719" s="48"/>
      <c r="CN719" s="48"/>
      <c r="CO719" s="48"/>
      <c r="CP719" s="48"/>
      <c r="CQ719" s="48"/>
      <c r="CR719" s="48"/>
      <c r="CS719" s="48"/>
      <c r="CT719" s="48"/>
      <c r="CU719" s="48"/>
      <c r="CV719" s="48"/>
      <c r="CW719" s="48"/>
      <c r="CX719" s="48"/>
      <c r="CY719" s="48"/>
      <c r="CZ719" s="48"/>
      <c r="DA719" s="48"/>
      <c r="DB719" s="48"/>
      <c r="DC719" s="48"/>
      <c r="DD719" s="48"/>
      <c r="DE719" s="48"/>
      <c r="DF719" s="48"/>
      <c r="DG719" s="48"/>
      <c r="DH719" s="48"/>
      <c r="DI719" s="48"/>
      <c r="DJ719" s="48"/>
      <c r="DK719" s="48"/>
      <c r="DL719" s="48"/>
      <c r="DM719" s="48"/>
      <c r="DN719" s="48"/>
      <c r="DO719" s="48"/>
      <c r="DP719" s="48"/>
      <c r="DQ719" s="48"/>
      <c r="DR719" s="48"/>
      <c r="DS719" s="48"/>
    </row>
    <row r="720" spans="1:123" ht="15">
      <c r="A720"/>
      <c r="B720"/>
      <c r="C720"/>
      <c r="D720"/>
      <c r="E720"/>
      <c r="F720"/>
      <c r="G720"/>
      <c r="H720"/>
      <c r="I720"/>
      <c r="J720"/>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48"/>
      <c r="BH720" s="48"/>
      <c r="BI720" s="48"/>
      <c r="BJ720" s="48"/>
      <c r="BK720" s="48"/>
      <c r="BL720" s="48"/>
      <c r="BM720" s="48"/>
      <c r="BN720" s="48"/>
      <c r="BO720" s="48"/>
      <c r="BP720" s="48"/>
      <c r="BQ720" s="48"/>
      <c r="BR720" s="48"/>
      <c r="BS720" s="48"/>
      <c r="BT720" s="48"/>
      <c r="BU720" s="48"/>
      <c r="BV720" s="48"/>
      <c r="BW720" s="48"/>
      <c r="BX720" s="48"/>
      <c r="BY720" s="48"/>
      <c r="BZ720" s="48"/>
      <c r="CA720" s="48"/>
      <c r="CB720" s="48"/>
      <c r="CC720" s="48"/>
      <c r="CD720" s="48"/>
      <c r="CE720" s="48"/>
      <c r="CF720" s="48"/>
      <c r="CG720" s="48"/>
      <c r="CH720" s="48"/>
      <c r="CI720" s="48"/>
      <c r="CJ720" s="48"/>
      <c r="CK720" s="48"/>
      <c r="CL720" s="48"/>
      <c r="CM720" s="48"/>
      <c r="CN720" s="48"/>
      <c r="CO720" s="48"/>
      <c r="CP720" s="48"/>
      <c r="CQ720" s="48"/>
      <c r="CR720" s="48"/>
      <c r="CS720" s="48"/>
      <c r="CT720" s="48"/>
      <c r="CU720" s="48"/>
      <c r="CV720" s="48"/>
      <c r="CW720" s="48"/>
      <c r="CX720" s="48"/>
      <c r="CY720" s="48"/>
      <c r="CZ720" s="48"/>
      <c r="DA720" s="48"/>
      <c r="DB720" s="48"/>
      <c r="DC720" s="48"/>
      <c r="DD720" s="48"/>
      <c r="DE720" s="48"/>
      <c r="DF720" s="48"/>
      <c r="DG720" s="48"/>
      <c r="DH720" s="48"/>
      <c r="DI720" s="48"/>
      <c r="DJ720" s="48"/>
      <c r="DK720" s="48"/>
      <c r="DL720" s="48"/>
      <c r="DM720" s="48"/>
      <c r="DN720" s="48"/>
      <c r="DO720" s="48"/>
      <c r="DP720" s="48"/>
      <c r="DQ720" s="48"/>
      <c r="DR720" s="48"/>
      <c r="DS720" s="48"/>
    </row>
    <row r="721" spans="1:123" ht="15">
      <c r="A721"/>
      <c r="B721"/>
      <c r="C721"/>
      <c r="D721"/>
      <c r="E721"/>
      <c r="F721"/>
      <c r="G721"/>
      <c r="H721"/>
      <c r="I721"/>
      <c r="J721"/>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48"/>
      <c r="BH721" s="48"/>
      <c r="BI721" s="48"/>
      <c r="BJ721" s="48"/>
      <c r="BK721" s="48"/>
      <c r="BL721" s="48"/>
      <c r="BM721" s="48"/>
      <c r="BN721" s="48"/>
      <c r="BO721" s="48"/>
      <c r="BP721" s="48"/>
      <c r="BQ721" s="48"/>
      <c r="BR721" s="48"/>
      <c r="BS721" s="48"/>
      <c r="BT721" s="48"/>
      <c r="BU721" s="48"/>
      <c r="BV721" s="48"/>
      <c r="BW721" s="48"/>
      <c r="BX721" s="48"/>
      <c r="BY721" s="48"/>
      <c r="BZ721" s="48"/>
      <c r="CA721" s="48"/>
      <c r="CB721" s="48"/>
      <c r="CC721" s="48"/>
      <c r="CD721" s="48"/>
      <c r="CE721" s="48"/>
      <c r="CF721" s="48"/>
      <c r="CG721" s="48"/>
      <c r="CH721" s="48"/>
      <c r="CI721" s="48"/>
      <c r="CJ721" s="48"/>
      <c r="CK721" s="48"/>
      <c r="CL721" s="48"/>
      <c r="CM721" s="48"/>
      <c r="CN721" s="48"/>
      <c r="CO721" s="48"/>
      <c r="CP721" s="48"/>
      <c r="CQ721" s="48"/>
      <c r="CR721" s="48"/>
      <c r="CS721" s="48"/>
      <c r="CT721" s="48"/>
      <c r="CU721" s="48"/>
      <c r="CV721" s="48"/>
      <c r="CW721" s="48"/>
      <c r="CX721" s="48"/>
      <c r="CY721" s="48"/>
      <c r="CZ721" s="48"/>
      <c r="DA721" s="48"/>
      <c r="DB721" s="48"/>
      <c r="DC721" s="48"/>
      <c r="DD721" s="48"/>
      <c r="DE721" s="48"/>
      <c r="DF721" s="48"/>
      <c r="DG721" s="48"/>
      <c r="DH721" s="48"/>
      <c r="DI721" s="48"/>
      <c r="DJ721" s="48"/>
      <c r="DK721" s="48"/>
      <c r="DL721" s="48"/>
      <c r="DM721" s="48"/>
      <c r="DN721" s="48"/>
      <c r="DO721" s="48"/>
      <c r="DP721" s="48"/>
      <c r="DQ721" s="48"/>
      <c r="DR721" s="48"/>
      <c r="DS721" s="48"/>
    </row>
    <row r="722" spans="1:123" ht="15">
      <c r="A722"/>
      <c r="B722"/>
      <c r="C722"/>
      <c r="D722"/>
      <c r="E722"/>
      <c r="F722"/>
      <c r="G722"/>
      <c r="H722"/>
      <c r="I722"/>
      <c r="J722"/>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c r="BS722" s="48"/>
      <c r="BT722" s="48"/>
      <c r="BU722" s="48"/>
      <c r="BV722" s="48"/>
      <c r="BW722" s="48"/>
      <c r="BX722" s="48"/>
      <c r="BY722" s="48"/>
      <c r="BZ722" s="48"/>
      <c r="CA722" s="48"/>
      <c r="CB722" s="48"/>
      <c r="CC722" s="48"/>
      <c r="CD722" s="48"/>
      <c r="CE722" s="48"/>
      <c r="CF722" s="48"/>
      <c r="CG722" s="48"/>
      <c r="CH722" s="48"/>
      <c r="CI722" s="48"/>
      <c r="CJ722" s="48"/>
      <c r="CK722" s="48"/>
      <c r="CL722" s="48"/>
      <c r="CM722" s="48"/>
      <c r="CN722" s="48"/>
      <c r="CO722" s="48"/>
      <c r="CP722" s="48"/>
      <c r="CQ722" s="48"/>
      <c r="CR722" s="48"/>
      <c r="CS722" s="48"/>
      <c r="CT722" s="48"/>
      <c r="CU722" s="48"/>
      <c r="CV722" s="48"/>
      <c r="CW722" s="48"/>
      <c r="CX722" s="48"/>
      <c r="CY722" s="48"/>
      <c r="CZ722" s="48"/>
      <c r="DA722" s="48"/>
      <c r="DB722" s="48"/>
      <c r="DC722" s="48"/>
      <c r="DD722" s="48"/>
      <c r="DE722" s="48"/>
      <c r="DF722" s="48"/>
      <c r="DG722" s="48"/>
      <c r="DH722" s="48"/>
      <c r="DI722" s="48"/>
      <c r="DJ722" s="48"/>
      <c r="DK722" s="48"/>
      <c r="DL722" s="48"/>
      <c r="DM722" s="48"/>
      <c r="DN722" s="48"/>
      <c r="DO722" s="48"/>
      <c r="DP722" s="48"/>
      <c r="DQ722" s="48"/>
      <c r="DR722" s="48"/>
      <c r="DS722" s="48"/>
    </row>
    <row r="723" spans="1:123" ht="15">
      <c r="A723"/>
      <c r="B723"/>
      <c r="C723"/>
      <c r="D723"/>
      <c r="E723"/>
      <c r="F723"/>
      <c r="G723"/>
      <c r="H723"/>
      <c r="I723"/>
      <c r="J723"/>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c r="BS723" s="48"/>
      <c r="BT723" s="48"/>
      <c r="BU723" s="48"/>
      <c r="BV723" s="48"/>
      <c r="BW723" s="48"/>
      <c r="BX723" s="48"/>
      <c r="BY723" s="48"/>
      <c r="BZ723" s="48"/>
      <c r="CA723" s="48"/>
      <c r="CB723" s="48"/>
      <c r="CC723" s="48"/>
      <c r="CD723" s="48"/>
      <c r="CE723" s="48"/>
      <c r="CF723" s="48"/>
      <c r="CG723" s="48"/>
      <c r="CH723" s="48"/>
      <c r="CI723" s="48"/>
      <c r="CJ723" s="48"/>
      <c r="CK723" s="48"/>
      <c r="CL723" s="48"/>
      <c r="CM723" s="48"/>
      <c r="CN723" s="48"/>
      <c r="CO723" s="48"/>
      <c r="CP723" s="48"/>
      <c r="CQ723" s="48"/>
      <c r="CR723" s="48"/>
      <c r="CS723" s="48"/>
      <c r="CT723" s="48"/>
      <c r="CU723" s="48"/>
      <c r="CV723" s="48"/>
      <c r="CW723" s="48"/>
      <c r="CX723" s="48"/>
      <c r="CY723" s="48"/>
      <c r="CZ723" s="48"/>
      <c r="DA723" s="48"/>
      <c r="DB723" s="48"/>
      <c r="DC723" s="48"/>
      <c r="DD723" s="48"/>
      <c r="DE723" s="48"/>
      <c r="DF723" s="48"/>
      <c r="DG723" s="48"/>
      <c r="DH723" s="48"/>
      <c r="DI723" s="48"/>
      <c r="DJ723" s="48"/>
      <c r="DK723" s="48"/>
      <c r="DL723" s="48"/>
      <c r="DM723" s="48"/>
      <c r="DN723" s="48"/>
      <c r="DO723" s="48"/>
      <c r="DP723" s="48"/>
      <c r="DQ723" s="48"/>
      <c r="DR723" s="48"/>
      <c r="DS723" s="48"/>
    </row>
    <row r="724" spans="1:123" ht="15">
      <c r="A724"/>
      <c r="B724"/>
      <c r="C724"/>
      <c r="D724"/>
      <c r="E724"/>
      <c r="F724"/>
      <c r="G724"/>
      <c r="H724"/>
      <c r="I724"/>
      <c r="J724"/>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48"/>
      <c r="BH724" s="48"/>
      <c r="BI724" s="48"/>
      <c r="BJ724" s="48"/>
      <c r="BK724" s="48"/>
      <c r="BL724" s="48"/>
      <c r="BM724" s="48"/>
      <c r="BN724" s="48"/>
      <c r="BO724" s="48"/>
      <c r="BP724" s="48"/>
      <c r="BQ724" s="48"/>
      <c r="BR724" s="48"/>
      <c r="BS724" s="48"/>
      <c r="BT724" s="48"/>
      <c r="BU724" s="48"/>
      <c r="BV724" s="48"/>
      <c r="BW724" s="48"/>
      <c r="BX724" s="48"/>
      <c r="BY724" s="48"/>
      <c r="BZ724" s="48"/>
      <c r="CA724" s="48"/>
      <c r="CB724" s="48"/>
      <c r="CC724" s="48"/>
      <c r="CD724" s="48"/>
      <c r="CE724" s="48"/>
      <c r="CF724" s="48"/>
      <c r="CG724" s="48"/>
      <c r="CH724" s="48"/>
      <c r="CI724" s="48"/>
      <c r="CJ724" s="48"/>
      <c r="CK724" s="48"/>
      <c r="CL724" s="48"/>
      <c r="CM724" s="48"/>
      <c r="CN724" s="48"/>
      <c r="CO724" s="48"/>
      <c r="CP724" s="48"/>
      <c r="CQ724" s="48"/>
      <c r="CR724" s="48"/>
      <c r="CS724" s="48"/>
      <c r="CT724" s="48"/>
      <c r="CU724" s="48"/>
      <c r="CV724" s="48"/>
      <c r="CW724" s="48"/>
      <c r="CX724" s="48"/>
      <c r="CY724" s="48"/>
      <c r="CZ724" s="48"/>
      <c r="DA724" s="48"/>
      <c r="DB724" s="48"/>
      <c r="DC724" s="48"/>
      <c r="DD724" s="48"/>
      <c r="DE724" s="48"/>
      <c r="DF724" s="48"/>
      <c r="DG724" s="48"/>
      <c r="DH724" s="48"/>
      <c r="DI724" s="48"/>
      <c r="DJ724" s="48"/>
      <c r="DK724" s="48"/>
      <c r="DL724" s="48"/>
      <c r="DM724" s="48"/>
      <c r="DN724" s="48"/>
      <c r="DO724" s="48"/>
      <c r="DP724" s="48"/>
      <c r="DQ724" s="48"/>
      <c r="DR724" s="48"/>
      <c r="DS724" s="48"/>
    </row>
    <row r="725" spans="1:123" ht="15">
      <c r="A725"/>
      <c r="B725"/>
      <c r="C725"/>
      <c r="D725"/>
      <c r="E725"/>
      <c r="F725"/>
      <c r="G725"/>
      <c r="H725"/>
      <c r="I725"/>
      <c r="J725"/>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48"/>
      <c r="BH725" s="48"/>
      <c r="BI725" s="48"/>
      <c r="BJ725" s="48"/>
      <c r="BK725" s="48"/>
      <c r="BL725" s="48"/>
      <c r="BM725" s="48"/>
      <c r="BN725" s="48"/>
      <c r="BO725" s="48"/>
      <c r="BP725" s="48"/>
      <c r="BQ725" s="48"/>
      <c r="BR725" s="48"/>
      <c r="BS725" s="48"/>
      <c r="BT725" s="48"/>
      <c r="BU725" s="48"/>
      <c r="BV725" s="48"/>
      <c r="BW725" s="48"/>
      <c r="BX725" s="48"/>
      <c r="BY725" s="48"/>
      <c r="BZ725" s="48"/>
      <c r="CA725" s="48"/>
      <c r="CB725" s="48"/>
      <c r="CC725" s="48"/>
      <c r="CD725" s="48"/>
      <c r="CE725" s="48"/>
      <c r="CF725" s="48"/>
      <c r="CG725" s="48"/>
      <c r="CH725" s="48"/>
      <c r="CI725" s="48"/>
      <c r="CJ725" s="48"/>
      <c r="CK725" s="48"/>
      <c r="CL725" s="48"/>
      <c r="CM725" s="48"/>
      <c r="CN725" s="48"/>
      <c r="CO725" s="48"/>
      <c r="CP725" s="48"/>
      <c r="CQ725" s="48"/>
      <c r="CR725" s="48"/>
      <c r="CS725" s="48"/>
      <c r="CT725" s="48"/>
      <c r="CU725" s="48"/>
      <c r="CV725" s="48"/>
      <c r="CW725" s="48"/>
      <c r="CX725" s="48"/>
      <c r="CY725" s="48"/>
      <c r="CZ725" s="48"/>
      <c r="DA725" s="48"/>
      <c r="DB725" s="48"/>
      <c r="DC725" s="48"/>
      <c r="DD725" s="48"/>
      <c r="DE725" s="48"/>
      <c r="DF725" s="48"/>
      <c r="DG725" s="48"/>
      <c r="DH725" s="48"/>
      <c r="DI725" s="48"/>
      <c r="DJ725" s="48"/>
      <c r="DK725" s="48"/>
      <c r="DL725" s="48"/>
      <c r="DM725" s="48"/>
      <c r="DN725" s="48"/>
      <c r="DO725" s="48"/>
      <c r="DP725" s="48"/>
      <c r="DQ725" s="48"/>
      <c r="DR725" s="48"/>
      <c r="DS725" s="48"/>
    </row>
    <row r="726" spans="1:123" ht="15">
      <c r="A726"/>
      <c r="B726"/>
      <c r="C726"/>
      <c r="D726"/>
      <c r="E726"/>
      <c r="F726"/>
      <c r="G726"/>
      <c r="H726"/>
      <c r="I726"/>
      <c r="J726"/>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c r="BS726" s="48"/>
      <c r="BT726" s="48"/>
      <c r="BU726" s="48"/>
      <c r="BV726" s="48"/>
      <c r="BW726" s="48"/>
      <c r="BX726" s="48"/>
      <c r="BY726" s="48"/>
      <c r="BZ726" s="48"/>
      <c r="CA726" s="48"/>
      <c r="CB726" s="48"/>
      <c r="CC726" s="48"/>
      <c r="CD726" s="48"/>
      <c r="CE726" s="48"/>
      <c r="CF726" s="48"/>
      <c r="CG726" s="48"/>
      <c r="CH726" s="48"/>
      <c r="CI726" s="48"/>
      <c r="CJ726" s="48"/>
      <c r="CK726" s="48"/>
      <c r="CL726" s="48"/>
      <c r="CM726" s="48"/>
      <c r="CN726" s="48"/>
      <c r="CO726" s="48"/>
      <c r="CP726" s="48"/>
      <c r="CQ726" s="48"/>
      <c r="CR726" s="48"/>
      <c r="CS726" s="48"/>
      <c r="CT726" s="48"/>
      <c r="CU726" s="48"/>
      <c r="CV726" s="48"/>
      <c r="CW726" s="48"/>
      <c r="CX726" s="48"/>
      <c r="CY726" s="48"/>
      <c r="CZ726" s="48"/>
      <c r="DA726" s="48"/>
      <c r="DB726" s="48"/>
      <c r="DC726" s="48"/>
      <c r="DD726" s="48"/>
      <c r="DE726" s="48"/>
      <c r="DF726" s="48"/>
      <c r="DG726" s="48"/>
      <c r="DH726" s="48"/>
      <c r="DI726" s="48"/>
      <c r="DJ726" s="48"/>
      <c r="DK726" s="48"/>
      <c r="DL726" s="48"/>
      <c r="DM726" s="48"/>
      <c r="DN726" s="48"/>
      <c r="DO726" s="48"/>
      <c r="DP726" s="48"/>
      <c r="DQ726" s="48"/>
      <c r="DR726" s="48"/>
      <c r="DS726" s="48"/>
    </row>
    <row r="727" spans="1:123" ht="15">
      <c r="A727"/>
      <c r="B727"/>
      <c r="C727"/>
      <c r="D727"/>
      <c r="E727"/>
      <c r="F727"/>
      <c r="G727"/>
      <c r="H727"/>
      <c r="I727"/>
      <c r="J727"/>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48"/>
      <c r="BJ727" s="48"/>
      <c r="BK727" s="48"/>
      <c r="BL727" s="48"/>
      <c r="BM727" s="48"/>
      <c r="BN727" s="48"/>
      <c r="BO727" s="48"/>
      <c r="BP727" s="48"/>
      <c r="BQ727" s="48"/>
      <c r="BR727" s="48"/>
      <c r="BS727" s="48"/>
      <c r="BT727" s="48"/>
      <c r="BU727" s="48"/>
      <c r="BV727" s="48"/>
      <c r="BW727" s="48"/>
      <c r="BX727" s="48"/>
      <c r="BY727" s="48"/>
      <c r="BZ727" s="48"/>
      <c r="CA727" s="48"/>
      <c r="CB727" s="48"/>
      <c r="CC727" s="48"/>
      <c r="CD727" s="48"/>
      <c r="CE727" s="48"/>
      <c r="CF727" s="48"/>
      <c r="CG727" s="48"/>
      <c r="CH727" s="48"/>
      <c r="CI727" s="48"/>
      <c r="CJ727" s="48"/>
      <c r="CK727" s="48"/>
      <c r="CL727" s="48"/>
      <c r="CM727" s="48"/>
      <c r="CN727" s="48"/>
      <c r="CO727" s="48"/>
      <c r="CP727" s="48"/>
      <c r="CQ727" s="48"/>
      <c r="CR727" s="48"/>
      <c r="CS727" s="48"/>
      <c r="CT727" s="48"/>
      <c r="CU727" s="48"/>
      <c r="CV727" s="48"/>
      <c r="CW727" s="48"/>
      <c r="CX727" s="48"/>
      <c r="CY727" s="48"/>
      <c r="CZ727" s="48"/>
      <c r="DA727" s="48"/>
      <c r="DB727" s="48"/>
      <c r="DC727" s="48"/>
      <c r="DD727" s="48"/>
      <c r="DE727" s="48"/>
      <c r="DF727" s="48"/>
      <c r="DG727" s="48"/>
      <c r="DH727" s="48"/>
      <c r="DI727" s="48"/>
      <c r="DJ727" s="48"/>
      <c r="DK727" s="48"/>
      <c r="DL727" s="48"/>
      <c r="DM727" s="48"/>
      <c r="DN727" s="48"/>
      <c r="DO727" s="48"/>
      <c r="DP727" s="48"/>
      <c r="DQ727" s="48"/>
      <c r="DR727" s="48"/>
      <c r="DS727" s="48"/>
    </row>
    <row r="728" spans="1:123" ht="15">
      <c r="A728"/>
      <c r="B728"/>
      <c r="C728"/>
      <c r="D728"/>
      <c r="E728"/>
      <c r="F728"/>
      <c r="G728"/>
      <c r="H728"/>
      <c r="I728"/>
      <c r="J72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48"/>
      <c r="BH728" s="48"/>
      <c r="BI728" s="48"/>
      <c r="BJ728" s="48"/>
      <c r="BK728" s="48"/>
      <c r="BL728" s="48"/>
      <c r="BM728" s="48"/>
      <c r="BN728" s="48"/>
      <c r="BO728" s="48"/>
      <c r="BP728" s="48"/>
      <c r="BQ728" s="48"/>
      <c r="BR728" s="48"/>
      <c r="BS728" s="48"/>
      <c r="BT728" s="48"/>
      <c r="BU728" s="48"/>
      <c r="BV728" s="48"/>
      <c r="BW728" s="48"/>
      <c r="BX728" s="48"/>
      <c r="BY728" s="48"/>
      <c r="BZ728" s="48"/>
      <c r="CA728" s="48"/>
      <c r="CB728" s="48"/>
      <c r="CC728" s="48"/>
      <c r="CD728" s="48"/>
      <c r="CE728" s="48"/>
      <c r="CF728" s="48"/>
      <c r="CG728" s="48"/>
      <c r="CH728" s="48"/>
      <c r="CI728" s="48"/>
      <c r="CJ728" s="48"/>
      <c r="CK728" s="48"/>
      <c r="CL728" s="48"/>
      <c r="CM728" s="48"/>
      <c r="CN728" s="48"/>
      <c r="CO728" s="48"/>
      <c r="CP728" s="48"/>
      <c r="CQ728" s="48"/>
      <c r="CR728" s="48"/>
      <c r="CS728" s="48"/>
      <c r="CT728" s="48"/>
      <c r="CU728" s="48"/>
      <c r="CV728" s="48"/>
      <c r="CW728" s="48"/>
      <c r="CX728" s="48"/>
      <c r="CY728" s="48"/>
      <c r="CZ728" s="48"/>
      <c r="DA728" s="48"/>
      <c r="DB728" s="48"/>
      <c r="DC728" s="48"/>
      <c r="DD728" s="48"/>
      <c r="DE728" s="48"/>
      <c r="DF728" s="48"/>
      <c r="DG728" s="48"/>
      <c r="DH728" s="48"/>
      <c r="DI728" s="48"/>
      <c r="DJ728" s="48"/>
      <c r="DK728" s="48"/>
      <c r="DL728" s="48"/>
      <c r="DM728" s="48"/>
      <c r="DN728" s="48"/>
      <c r="DO728" s="48"/>
      <c r="DP728" s="48"/>
      <c r="DQ728" s="48"/>
      <c r="DR728" s="48"/>
      <c r="DS728" s="48"/>
    </row>
    <row r="729" spans="1:123" ht="15">
      <c r="A729"/>
      <c r="B729"/>
      <c r="C729"/>
      <c r="D729"/>
      <c r="E729"/>
      <c r="F729"/>
      <c r="G729"/>
      <c r="H729"/>
      <c r="I729"/>
      <c r="J729"/>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48"/>
      <c r="BW729" s="48"/>
      <c r="BX729" s="48"/>
      <c r="BY729" s="48"/>
      <c r="BZ729" s="48"/>
      <c r="CA729" s="48"/>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c r="DA729" s="48"/>
      <c r="DB729" s="48"/>
      <c r="DC729" s="48"/>
      <c r="DD729" s="48"/>
      <c r="DE729" s="48"/>
      <c r="DF729" s="48"/>
      <c r="DG729" s="48"/>
      <c r="DH729" s="48"/>
      <c r="DI729" s="48"/>
      <c r="DJ729" s="48"/>
      <c r="DK729" s="48"/>
      <c r="DL729" s="48"/>
      <c r="DM729" s="48"/>
      <c r="DN729" s="48"/>
      <c r="DO729" s="48"/>
      <c r="DP729" s="48"/>
      <c r="DQ729" s="48"/>
      <c r="DR729" s="48"/>
      <c r="DS729" s="48"/>
    </row>
    <row r="730" spans="1:123" ht="15">
      <c r="A730"/>
      <c r="B730"/>
      <c r="C730"/>
      <c r="D730"/>
      <c r="E730"/>
      <c r="F730"/>
      <c r="G730"/>
      <c r="H730"/>
      <c r="I730"/>
      <c r="J730"/>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48"/>
      <c r="BH730" s="48"/>
      <c r="BI730" s="48"/>
      <c r="BJ730" s="48"/>
      <c r="BK730" s="48"/>
      <c r="BL730" s="48"/>
      <c r="BM730" s="48"/>
      <c r="BN730" s="48"/>
      <c r="BO730" s="48"/>
      <c r="BP730" s="48"/>
      <c r="BQ730" s="48"/>
      <c r="BR730" s="48"/>
      <c r="BS730" s="48"/>
      <c r="BT730" s="48"/>
      <c r="BU730" s="48"/>
      <c r="BV730" s="48"/>
      <c r="BW730" s="48"/>
      <c r="BX730" s="48"/>
      <c r="BY730" s="48"/>
      <c r="BZ730" s="48"/>
      <c r="CA730" s="48"/>
      <c r="CB730" s="48"/>
      <c r="CC730" s="48"/>
      <c r="CD730" s="48"/>
      <c r="CE730" s="48"/>
      <c r="CF730" s="48"/>
      <c r="CG730" s="48"/>
      <c r="CH730" s="48"/>
      <c r="CI730" s="48"/>
      <c r="CJ730" s="48"/>
      <c r="CK730" s="48"/>
      <c r="CL730" s="48"/>
      <c r="CM730" s="48"/>
      <c r="CN730" s="48"/>
      <c r="CO730" s="48"/>
      <c r="CP730" s="48"/>
      <c r="CQ730" s="48"/>
      <c r="CR730" s="48"/>
      <c r="CS730" s="48"/>
      <c r="CT730" s="48"/>
      <c r="CU730" s="48"/>
      <c r="CV730" s="48"/>
      <c r="CW730" s="48"/>
      <c r="CX730" s="48"/>
      <c r="CY730" s="48"/>
      <c r="CZ730" s="48"/>
      <c r="DA730" s="48"/>
      <c r="DB730" s="48"/>
      <c r="DC730" s="48"/>
      <c r="DD730" s="48"/>
      <c r="DE730" s="48"/>
      <c r="DF730" s="48"/>
      <c r="DG730" s="48"/>
      <c r="DH730" s="48"/>
      <c r="DI730" s="48"/>
      <c r="DJ730" s="48"/>
      <c r="DK730" s="48"/>
      <c r="DL730" s="48"/>
      <c r="DM730" s="48"/>
      <c r="DN730" s="48"/>
      <c r="DO730" s="48"/>
      <c r="DP730" s="48"/>
      <c r="DQ730" s="48"/>
      <c r="DR730" s="48"/>
      <c r="DS730" s="48"/>
    </row>
    <row r="731" spans="1:123" ht="15">
      <c r="A731"/>
      <c r="B731"/>
      <c r="C731"/>
      <c r="D731"/>
      <c r="E731"/>
      <c r="F731"/>
      <c r="G731"/>
      <c r="H731"/>
      <c r="I731"/>
      <c r="J731"/>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48"/>
      <c r="BH731" s="48"/>
      <c r="BI731" s="48"/>
      <c r="BJ731" s="48"/>
      <c r="BK731" s="48"/>
      <c r="BL731" s="48"/>
      <c r="BM731" s="48"/>
      <c r="BN731" s="48"/>
      <c r="BO731" s="48"/>
      <c r="BP731" s="48"/>
      <c r="BQ731" s="48"/>
      <c r="BR731" s="48"/>
      <c r="BS731" s="48"/>
      <c r="BT731" s="48"/>
      <c r="BU731" s="48"/>
      <c r="BV731" s="48"/>
      <c r="BW731" s="48"/>
      <c r="BX731" s="48"/>
      <c r="BY731" s="48"/>
      <c r="BZ731" s="48"/>
      <c r="CA731" s="48"/>
      <c r="CB731" s="48"/>
      <c r="CC731" s="48"/>
      <c r="CD731" s="48"/>
      <c r="CE731" s="48"/>
      <c r="CF731" s="48"/>
      <c r="CG731" s="48"/>
      <c r="CH731" s="48"/>
      <c r="CI731" s="48"/>
      <c r="CJ731" s="48"/>
      <c r="CK731" s="48"/>
      <c r="CL731" s="48"/>
      <c r="CM731" s="48"/>
      <c r="CN731" s="48"/>
      <c r="CO731" s="48"/>
      <c r="CP731" s="48"/>
      <c r="CQ731" s="48"/>
      <c r="CR731" s="48"/>
      <c r="CS731" s="48"/>
      <c r="CT731" s="48"/>
      <c r="CU731" s="48"/>
      <c r="CV731" s="48"/>
      <c r="CW731" s="48"/>
      <c r="CX731" s="48"/>
      <c r="CY731" s="48"/>
      <c r="CZ731" s="48"/>
      <c r="DA731" s="48"/>
      <c r="DB731" s="48"/>
      <c r="DC731" s="48"/>
      <c r="DD731" s="48"/>
      <c r="DE731" s="48"/>
      <c r="DF731" s="48"/>
      <c r="DG731" s="48"/>
      <c r="DH731" s="48"/>
      <c r="DI731" s="48"/>
      <c r="DJ731" s="48"/>
      <c r="DK731" s="48"/>
      <c r="DL731" s="48"/>
      <c r="DM731" s="48"/>
      <c r="DN731" s="48"/>
      <c r="DO731" s="48"/>
      <c r="DP731" s="48"/>
      <c r="DQ731" s="48"/>
      <c r="DR731" s="48"/>
      <c r="DS731" s="48"/>
    </row>
    <row r="732" spans="1:123" ht="15">
      <c r="A732"/>
      <c r="B732"/>
      <c r="C732"/>
      <c r="D732"/>
      <c r="E732"/>
      <c r="F732"/>
      <c r="G732"/>
      <c r="H732"/>
      <c r="I732"/>
      <c r="J732"/>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48"/>
      <c r="BH732" s="48"/>
      <c r="BI732" s="48"/>
      <c r="BJ732" s="48"/>
      <c r="BK732" s="48"/>
      <c r="BL732" s="48"/>
      <c r="BM732" s="48"/>
      <c r="BN732" s="48"/>
      <c r="BO732" s="48"/>
      <c r="BP732" s="48"/>
      <c r="BQ732" s="48"/>
      <c r="BR732" s="48"/>
      <c r="BS732" s="48"/>
      <c r="BT732" s="48"/>
      <c r="BU732" s="48"/>
      <c r="BV732" s="48"/>
      <c r="BW732" s="48"/>
      <c r="BX732" s="48"/>
      <c r="BY732" s="48"/>
      <c r="BZ732" s="48"/>
      <c r="CA732" s="48"/>
      <c r="CB732" s="48"/>
      <c r="CC732" s="48"/>
      <c r="CD732" s="48"/>
      <c r="CE732" s="48"/>
      <c r="CF732" s="48"/>
      <c r="CG732" s="48"/>
      <c r="CH732" s="48"/>
      <c r="CI732" s="48"/>
      <c r="CJ732" s="48"/>
      <c r="CK732" s="48"/>
      <c r="CL732" s="48"/>
      <c r="CM732" s="48"/>
      <c r="CN732" s="48"/>
      <c r="CO732" s="48"/>
      <c r="CP732" s="48"/>
      <c r="CQ732" s="48"/>
      <c r="CR732" s="48"/>
      <c r="CS732" s="48"/>
      <c r="CT732" s="48"/>
      <c r="CU732" s="48"/>
      <c r="CV732" s="48"/>
      <c r="CW732" s="48"/>
      <c r="CX732" s="48"/>
      <c r="CY732" s="48"/>
      <c r="CZ732" s="48"/>
      <c r="DA732" s="48"/>
      <c r="DB732" s="48"/>
      <c r="DC732" s="48"/>
      <c r="DD732" s="48"/>
      <c r="DE732" s="48"/>
      <c r="DF732" s="48"/>
      <c r="DG732" s="48"/>
      <c r="DH732" s="48"/>
      <c r="DI732" s="48"/>
      <c r="DJ732" s="48"/>
      <c r="DK732" s="48"/>
      <c r="DL732" s="48"/>
      <c r="DM732" s="48"/>
      <c r="DN732" s="48"/>
      <c r="DO732" s="48"/>
      <c r="DP732" s="48"/>
      <c r="DQ732" s="48"/>
      <c r="DR732" s="48"/>
      <c r="DS732" s="48"/>
    </row>
    <row r="733" spans="1:123" ht="15">
      <c r="A733"/>
      <c r="B733"/>
      <c r="C733"/>
      <c r="D733"/>
      <c r="E733"/>
      <c r="F733"/>
      <c r="G733"/>
      <c r="H733"/>
      <c r="I733"/>
      <c r="J733"/>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48"/>
      <c r="BH733" s="48"/>
      <c r="BI733" s="48"/>
      <c r="BJ733" s="48"/>
      <c r="BK733" s="48"/>
      <c r="BL733" s="48"/>
      <c r="BM733" s="48"/>
      <c r="BN733" s="48"/>
      <c r="BO733" s="48"/>
      <c r="BP733" s="48"/>
      <c r="BQ733" s="48"/>
      <c r="BR733" s="48"/>
      <c r="BS733" s="48"/>
      <c r="BT733" s="48"/>
      <c r="BU733" s="48"/>
      <c r="BV733" s="48"/>
      <c r="BW733" s="48"/>
      <c r="BX733" s="48"/>
      <c r="BY733" s="48"/>
      <c r="BZ733" s="48"/>
      <c r="CA733" s="48"/>
      <c r="CB733" s="48"/>
      <c r="CC733" s="48"/>
      <c r="CD733" s="48"/>
      <c r="CE733" s="48"/>
      <c r="CF733" s="48"/>
      <c r="CG733" s="48"/>
      <c r="CH733" s="48"/>
      <c r="CI733" s="48"/>
      <c r="CJ733" s="48"/>
      <c r="CK733" s="48"/>
      <c r="CL733" s="48"/>
      <c r="CM733" s="48"/>
      <c r="CN733" s="48"/>
      <c r="CO733" s="48"/>
      <c r="CP733" s="48"/>
      <c r="CQ733" s="48"/>
      <c r="CR733" s="48"/>
      <c r="CS733" s="48"/>
      <c r="CT733" s="48"/>
      <c r="CU733" s="48"/>
      <c r="CV733" s="48"/>
      <c r="CW733" s="48"/>
      <c r="CX733" s="48"/>
      <c r="CY733" s="48"/>
      <c r="CZ733" s="48"/>
      <c r="DA733" s="48"/>
      <c r="DB733" s="48"/>
      <c r="DC733" s="48"/>
      <c r="DD733" s="48"/>
      <c r="DE733" s="48"/>
      <c r="DF733" s="48"/>
      <c r="DG733" s="48"/>
      <c r="DH733" s="48"/>
      <c r="DI733" s="48"/>
      <c r="DJ733" s="48"/>
      <c r="DK733" s="48"/>
      <c r="DL733" s="48"/>
      <c r="DM733" s="48"/>
      <c r="DN733" s="48"/>
      <c r="DO733" s="48"/>
      <c r="DP733" s="48"/>
      <c r="DQ733" s="48"/>
      <c r="DR733" s="48"/>
      <c r="DS733" s="48"/>
    </row>
    <row r="734" spans="1:123" ht="15">
      <c r="A734"/>
      <c r="B734"/>
      <c r="C734"/>
      <c r="D734"/>
      <c r="E734"/>
      <c r="F734"/>
      <c r="G734"/>
      <c r="H734"/>
      <c r="I734"/>
      <c r="J734"/>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48"/>
      <c r="BJ734" s="48"/>
      <c r="BK734" s="48"/>
      <c r="BL734" s="48"/>
      <c r="BM734" s="48"/>
      <c r="BN734" s="48"/>
      <c r="BO734" s="48"/>
      <c r="BP734" s="48"/>
      <c r="BQ734" s="48"/>
      <c r="BR734" s="48"/>
      <c r="BS734" s="48"/>
      <c r="BT734" s="48"/>
      <c r="BU734" s="48"/>
      <c r="BV734" s="48"/>
      <c r="BW734" s="48"/>
      <c r="BX734" s="48"/>
      <c r="BY734" s="48"/>
      <c r="BZ734" s="48"/>
      <c r="CA734" s="48"/>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c r="DA734" s="48"/>
      <c r="DB734" s="48"/>
      <c r="DC734" s="48"/>
      <c r="DD734" s="48"/>
      <c r="DE734" s="48"/>
      <c r="DF734" s="48"/>
      <c r="DG734" s="48"/>
      <c r="DH734" s="48"/>
      <c r="DI734" s="48"/>
      <c r="DJ734" s="48"/>
      <c r="DK734" s="48"/>
      <c r="DL734" s="48"/>
      <c r="DM734" s="48"/>
      <c r="DN734" s="48"/>
      <c r="DO734" s="48"/>
      <c r="DP734" s="48"/>
      <c r="DQ734" s="48"/>
      <c r="DR734" s="48"/>
      <c r="DS734" s="48"/>
    </row>
    <row r="735" spans="1:123" ht="15">
      <c r="A735"/>
      <c r="B735"/>
      <c r="C735"/>
      <c r="D735"/>
      <c r="E735"/>
      <c r="F735"/>
      <c r="G735"/>
      <c r="H735"/>
      <c r="I735"/>
      <c r="J735"/>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48"/>
      <c r="BH735" s="48"/>
      <c r="BI735" s="48"/>
      <c r="BJ735" s="48"/>
      <c r="BK735" s="48"/>
      <c r="BL735" s="48"/>
      <c r="BM735" s="48"/>
      <c r="BN735" s="48"/>
      <c r="BO735" s="48"/>
      <c r="BP735" s="48"/>
      <c r="BQ735" s="48"/>
      <c r="BR735" s="48"/>
      <c r="BS735" s="48"/>
      <c r="BT735" s="48"/>
      <c r="BU735" s="48"/>
      <c r="BV735" s="48"/>
      <c r="BW735" s="48"/>
      <c r="BX735" s="48"/>
      <c r="BY735" s="48"/>
      <c r="BZ735" s="48"/>
      <c r="CA735" s="48"/>
      <c r="CB735" s="48"/>
      <c r="CC735" s="48"/>
      <c r="CD735" s="48"/>
      <c r="CE735" s="48"/>
      <c r="CF735" s="48"/>
      <c r="CG735" s="48"/>
      <c r="CH735" s="48"/>
      <c r="CI735" s="48"/>
      <c r="CJ735" s="48"/>
      <c r="CK735" s="48"/>
      <c r="CL735" s="48"/>
      <c r="CM735" s="48"/>
      <c r="CN735" s="48"/>
      <c r="CO735" s="48"/>
      <c r="CP735" s="48"/>
      <c r="CQ735" s="48"/>
      <c r="CR735" s="48"/>
      <c r="CS735" s="48"/>
      <c r="CT735" s="48"/>
      <c r="CU735" s="48"/>
      <c r="CV735" s="48"/>
      <c r="CW735" s="48"/>
      <c r="CX735" s="48"/>
      <c r="CY735" s="48"/>
      <c r="CZ735" s="48"/>
      <c r="DA735" s="48"/>
      <c r="DB735" s="48"/>
      <c r="DC735" s="48"/>
      <c r="DD735" s="48"/>
      <c r="DE735" s="48"/>
      <c r="DF735" s="48"/>
      <c r="DG735" s="48"/>
      <c r="DH735" s="48"/>
      <c r="DI735" s="48"/>
      <c r="DJ735" s="48"/>
      <c r="DK735" s="48"/>
      <c r="DL735" s="48"/>
      <c r="DM735" s="48"/>
      <c r="DN735" s="48"/>
      <c r="DO735" s="48"/>
      <c r="DP735" s="48"/>
      <c r="DQ735" s="48"/>
      <c r="DR735" s="48"/>
      <c r="DS735" s="48"/>
    </row>
    <row r="736" spans="1:123" ht="15">
      <c r="A736"/>
      <c r="B736"/>
      <c r="C736"/>
      <c r="D736"/>
      <c r="E736"/>
      <c r="F736"/>
      <c r="G736"/>
      <c r="H736"/>
      <c r="I736"/>
      <c r="J736"/>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48"/>
      <c r="BH736" s="48"/>
      <c r="BI736" s="48"/>
      <c r="BJ736" s="48"/>
      <c r="BK736" s="48"/>
      <c r="BL736" s="48"/>
      <c r="BM736" s="48"/>
      <c r="BN736" s="48"/>
      <c r="BO736" s="48"/>
      <c r="BP736" s="48"/>
      <c r="BQ736" s="48"/>
      <c r="BR736" s="48"/>
      <c r="BS736" s="48"/>
      <c r="BT736" s="48"/>
      <c r="BU736" s="48"/>
      <c r="BV736" s="48"/>
      <c r="BW736" s="48"/>
      <c r="BX736" s="48"/>
      <c r="BY736" s="48"/>
      <c r="BZ736" s="48"/>
      <c r="CA736" s="48"/>
      <c r="CB736" s="48"/>
      <c r="CC736" s="48"/>
      <c r="CD736" s="48"/>
      <c r="CE736" s="48"/>
      <c r="CF736" s="48"/>
      <c r="CG736" s="48"/>
      <c r="CH736" s="48"/>
      <c r="CI736" s="48"/>
      <c r="CJ736" s="48"/>
      <c r="CK736" s="48"/>
      <c r="CL736" s="48"/>
      <c r="CM736" s="48"/>
      <c r="CN736" s="48"/>
      <c r="CO736" s="48"/>
      <c r="CP736" s="48"/>
      <c r="CQ736" s="48"/>
      <c r="CR736" s="48"/>
      <c r="CS736" s="48"/>
      <c r="CT736" s="48"/>
      <c r="CU736" s="48"/>
      <c r="CV736" s="48"/>
      <c r="CW736" s="48"/>
      <c r="CX736" s="48"/>
      <c r="CY736" s="48"/>
      <c r="CZ736" s="48"/>
      <c r="DA736" s="48"/>
      <c r="DB736" s="48"/>
      <c r="DC736" s="48"/>
      <c r="DD736" s="48"/>
      <c r="DE736" s="48"/>
      <c r="DF736" s="48"/>
      <c r="DG736" s="48"/>
      <c r="DH736" s="48"/>
      <c r="DI736" s="48"/>
      <c r="DJ736" s="48"/>
      <c r="DK736" s="48"/>
      <c r="DL736" s="48"/>
      <c r="DM736" s="48"/>
      <c r="DN736" s="48"/>
      <c r="DO736" s="48"/>
      <c r="DP736" s="48"/>
      <c r="DQ736" s="48"/>
      <c r="DR736" s="48"/>
      <c r="DS736" s="48"/>
    </row>
    <row r="737" spans="1:123" ht="15">
      <c r="A737"/>
      <c r="B737"/>
      <c r="C737"/>
      <c r="D737"/>
      <c r="E737"/>
      <c r="F737"/>
      <c r="G737"/>
      <c r="H737"/>
      <c r="I737"/>
      <c r="J737"/>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c r="BM737" s="48"/>
      <c r="BN737" s="48"/>
      <c r="BO737" s="48"/>
      <c r="BP737" s="48"/>
      <c r="BQ737" s="48"/>
      <c r="BR737" s="48"/>
      <c r="BS737" s="48"/>
      <c r="BT737" s="48"/>
      <c r="BU737" s="48"/>
      <c r="BV737" s="48"/>
      <c r="BW737" s="48"/>
      <c r="BX737" s="48"/>
      <c r="BY737" s="48"/>
      <c r="BZ737" s="48"/>
      <c r="CA737" s="48"/>
      <c r="CB737" s="48"/>
      <c r="CC737" s="48"/>
      <c r="CD737" s="48"/>
      <c r="CE737" s="48"/>
      <c r="CF737" s="48"/>
      <c r="CG737" s="48"/>
      <c r="CH737" s="48"/>
      <c r="CI737" s="48"/>
      <c r="CJ737" s="48"/>
      <c r="CK737" s="48"/>
      <c r="CL737" s="48"/>
      <c r="CM737" s="48"/>
      <c r="CN737" s="48"/>
      <c r="CO737" s="48"/>
      <c r="CP737" s="48"/>
      <c r="CQ737" s="48"/>
      <c r="CR737" s="48"/>
      <c r="CS737" s="48"/>
      <c r="CT737" s="48"/>
      <c r="CU737" s="48"/>
      <c r="CV737" s="48"/>
      <c r="CW737" s="48"/>
      <c r="CX737" s="48"/>
      <c r="CY737" s="48"/>
      <c r="CZ737" s="48"/>
      <c r="DA737" s="48"/>
      <c r="DB737" s="48"/>
      <c r="DC737" s="48"/>
      <c r="DD737" s="48"/>
      <c r="DE737" s="48"/>
      <c r="DF737" s="48"/>
      <c r="DG737" s="48"/>
      <c r="DH737" s="48"/>
      <c r="DI737" s="48"/>
      <c r="DJ737" s="48"/>
      <c r="DK737" s="48"/>
      <c r="DL737" s="48"/>
      <c r="DM737" s="48"/>
      <c r="DN737" s="48"/>
      <c r="DO737" s="48"/>
      <c r="DP737" s="48"/>
      <c r="DQ737" s="48"/>
      <c r="DR737" s="48"/>
      <c r="DS737" s="48"/>
    </row>
    <row r="738" spans="1:123" ht="15">
      <c r="A738"/>
      <c r="B738"/>
      <c r="C738"/>
      <c r="D738"/>
      <c r="E738"/>
      <c r="F738"/>
      <c r="G738"/>
      <c r="H738"/>
      <c r="I738"/>
      <c r="J73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c r="BS738" s="48"/>
      <c r="BT738" s="48"/>
      <c r="BU738" s="48"/>
      <c r="BV738" s="48"/>
      <c r="BW738" s="48"/>
      <c r="BX738" s="48"/>
      <c r="BY738" s="48"/>
      <c r="BZ738" s="48"/>
      <c r="CA738" s="48"/>
      <c r="CB738" s="48"/>
      <c r="CC738" s="48"/>
      <c r="CD738" s="48"/>
      <c r="CE738" s="48"/>
      <c r="CF738" s="48"/>
      <c r="CG738" s="48"/>
      <c r="CH738" s="48"/>
      <c r="CI738" s="48"/>
      <c r="CJ738" s="48"/>
      <c r="CK738" s="48"/>
      <c r="CL738" s="48"/>
      <c r="CM738" s="48"/>
      <c r="CN738" s="48"/>
      <c r="CO738" s="48"/>
      <c r="CP738" s="48"/>
      <c r="CQ738" s="48"/>
      <c r="CR738" s="48"/>
      <c r="CS738" s="48"/>
      <c r="CT738" s="48"/>
      <c r="CU738" s="48"/>
      <c r="CV738" s="48"/>
      <c r="CW738" s="48"/>
      <c r="CX738" s="48"/>
      <c r="CY738" s="48"/>
      <c r="CZ738" s="48"/>
      <c r="DA738" s="48"/>
      <c r="DB738" s="48"/>
      <c r="DC738" s="48"/>
      <c r="DD738" s="48"/>
      <c r="DE738" s="48"/>
      <c r="DF738" s="48"/>
      <c r="DG738" s="48"/>
      <c r="DH738" s="48"/>
      <c r="DI738" s="48"/>
      <c r="DJ738" s="48"/>
      <c r="DK738" s="48"/>
      <c r="DL738" s="48"/>
      <c r="DM738" s="48"/>
      <c r="DN738" s="48"/>
      <c r="DO738" s="48"/>
      <c r="DP738" s="48"/>
      <c r="DQ738" s="48"/>
      <c r="DR738" s="48"/>
      <c r="DS738" s="48"/>
    </row>
    <row r="739" spans="1:123" ht="15">
      <c r="A739"/>
      <c r="B739"/>
      <c r="C739"/>
      <c r="D739"/>
      <c r="E739"/>
      <c r="F739"/>
      <c r="G739"/>
      <c r="H739"/>
      <c r="I739"/>
      <c r="J739"/>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48"/>
      <c r="BH739" s="48"/>
      <c r="BI739" s="48"/>
      <c r="BJ739" s="48"/>
      <c r="BK739" s="48"/>
      <c r="BL739" s="48"/>
      <c r="BM739" s="48"/>
      <c r="BN739" s="48"/>
      <c r="BO739" s="48"/>
      <c r="BP739" s="48"/>
      <c r="BQ739" s="48"/>
      <c r="BR739" s="48"/>
      <c r="BS739" s="48"/>
      <c r="BT739" s="48"/>
      <c r="BU739" s="48"/>
      <c r="BV739" s="48"/>
      <c r="BW739" s="48"/>
      <c r="BX739" s="48"/>
      <c r="BY739" s="48"/>
      <c r="BZ739" s="48"/>
      <c r="CA739" s="48"/>
      <c r="CB739" s="48"/>
      <c r="CC739" s="48"/>
      <c r="CD739" s="48"/>
      <c r="CE739" s="48"/>
      <c r="CF739" s="48"/>
      <c r="CG739" s="48"/>
      <c r="CH739" s="48"/>
      <c r="CI739" s="48"/>
      <c r="CJ739" s="48"/>
      <c r="CK739" s="48"/>
      <c r="CL739" s="48"/>
      <c r="CM739" s="48"/>
      <c r="CN739" s="48"/>
      <c r="CO739" s="48"/>
      <c r="CP739" s="48"/>
      <c r="CQ739" s="48"/>
      <c r="CR739" s="48"/>
      <c r="CS739" s="48"/>
      <c r="CT739" s="48"/>
      <c r="CU739" s="48"/>
      <c r="CV739" s="48"/>
      <c r="CW739" s="48"/>
      <c r="CX739" s="48"/>
      <c r="CY739" s="48"/>
      <c r="CZ739" s="48"/>
      <c r="DA739" s="48"/>
      <c r="DB739" s="48"/>
      <c r="DC739" s="48"/>
      <c r="DD739" s="48"/>
      <c r="DE739" s="48"/>
      <c r="DF739" s="48"/>
      <c r="DG739" s="48"/>
      <c r="DH739" s="48"/>
      <c r="DI739" s="48"/>
      <c r="DJ739" s="48"/>
      <c r="DK739" s="48"/>
      <c r="DL739" s="48"/>
      <c r="DM739" s="48"/>
      <c r="DN739" s="48"/>
      <c r="DO739" s="48"/>
      <c r="DP739" s="48"/>
      <c r="DQ739" s="48"/>
      <c r="DR739" s="48"/>
      <c r="DS739" s="48"/>
    </row>
    <row r="740" spans="1:123" ht="15">
      <c r="A740"/>
      <c r="B740"/>
      <c r="C740"/>
      <c r="D740"/>
      <c r="E740"/>
      <c r="F740"/>
      <c r="G740"/>
      <c r="H740"/>
      <c r="I740"/>
      <c r="J740"/>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c r="BS740" s="48"/>
      <c r="BT740" s="48"/>
      <c r="BU740" s="48"/>
      <c r="BV740" s="48"/>
      <c r="BW740" s="48"/>
      <c r="BX740" s="48"/>
      <c r="BY740" s="48"/>
      <c r="BZ740" s="48"/>
      <c r="CA740" s="48"/>
      <c r="CB740" s="48"/>
      <c r="CC740" s="48"/>
      <c r="CD740" s="48"/>
      <c r="CE740" s="48"/>
      <c r="CF740" s="48"/>
      <c r="CG740" s="48"/>
      <c r="CH740" s="48"/>
      <c r="CI740" s="48"/>
      <c r="CJ740" s="48"/>
      <c r="CK740" s="48"/>
      <c r="CL740" s="48"/>
      <c r="CM740" s="48"/>
      <c r="CN740" s="48"/>
      <c r="CO740" s="48"/>
      <c r="CP740" s="48"/>
      <c r="CQ740" s="48"/>
      <c r="CR740" s="48"/>
      <c r="CS740" s="48"/>
      <c r="CT740" s="48"/>
      <c r="CU740" s="48"/>
      <c r="CV740" s="48"/>
      <c r="CW740" s="48"/>
      <c r="CX740" s="48"/>
      <c r="CY740" s="48"/>
      <c r="CZ740" s="48"/>
      <c r="DA740" s="48"/>
      <c r="DB740" s="48"/>
      <c r="DC740" s="48"/>
      <c r="DD740" s="48"/>
      <c r="DE740" s="48"/>
      <c r="DF740" s="48"/>
      <c r="DG740" s="48"/>
      <c r="DH740" s="48"/>
      <c r="DI740" s="48"/>
      <c r="DJ740" s="48"/>
      <c r="DK740" s="48"/>
      <c r="DL740" s="48"/>
      <c r="DM740" s="48"/>
      <c r="DN740" s="48"/>
      <c r="DO740" s="48"/>
      <c r="DP740" s="48"/>
      <c r="DQ740" s="48"/>
      <c r="DR740" s="48"/>
      <c r="DS740" s="48"/>
    </row>
    <row r="741" spans="1:123" ht="15">
      <c r="A741"/>
      <c r="B741"/>
      <c r="C741"/>
      <c r="D741"/>
      <c r="E741"/>
      <c r="F741"/>
      <c r="G741"/>
      <c r="H741"/>
      <c r="I741"/>
      <c r="J741"/>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48"/>
      <c r="BH741" s="48"/>
      <c r="BI741" s="48"/>
      <c r="BJ741" s="48"/>
      <c r="BK741" s="48"/>
      <c r="BL741" s="48"/>
      <c r="BM741" s="48"/>
      <c r="BN741" s="48"/>
      <c r="BO741" s="48"/>
      <c r="BP741" s="48"/>
      <c r="BQ741" s="48"/>
      <c r="BR741" s="48"/>
      <c r="BS741" s="48"/>
      <c r="BT741" s="48"/>
      <c r="BU741" s="48"/>
      <c r="BV741" s="48"/>
      <c r="BW741" s="48"/>
      <c r="BX741" s="48"/>
      <c r="BY741" s="48"/>
      <c r="BZ741" s="48"/>
      <c r="CA741" s="48"/>
      <c r="CB741" s="48"/>
      <c r="CC741" s="48"/>
      <c r="CD741" s="48"/>
      <c r="CE741" s="48"/>
      <c r="CF741" s="48"/>
      <c r="CG741" s="48"/>
      <c r="CH741" s="48"/>
      <c r="CI741" s="48"/>
      <c r="CJ741" s="48"/>
      <c r="CK741" s="48"/>
      <c r="CL741" s="48"/>
      <c r="CM741" s="48"/>
      <c r="CN741" s="48"/>
      <c r="CO741" s="48"/>
      <c r="CP741" s="48"/>
      <c r="CQ741" s="48"/>
      <c r="CR741" s="48"/>
      <c r="CS741" s="48"/>
      <c r="CT741" s="48"/>
      <c r="CU741" s="48"/>
      <c r="CV741" s="48"/>
      <c r="CW741" s="48"/>
      <c r="CX741" s="48"/>
      <c r="CY741" s="48"/>
      <c r="CZ741" s="48"/>
      <c r="DA741" s="48"/>
      <c r="DB741" s="48"/>
      <c r="DC741" s="48"/>
      <c r="DD741" s="48"/>
      <c r="DE741" s="48"/>
      <c r="DF741" s="48"/>
      <c r="DG741" s="48"/>
      <c r="DH741" s="48"/>
      <c r="DI741" s="48"/>
      <c r="DJ741" s="48"/>
      <c r="DK741" s="48"/>
      <c r="DL741" s="48"/>
      <c r="DM741" s="48"/>
      <c r="DN741" s="48"/>
      <c r="DO741" s="48"/>
      <c r="DP741" s="48"/>
      <c r="DQ741" s="48"/>
      <c r="DR741" s="48"/>
      <c r="DS741" s="48"/>
    </row>
    <row r="742" spans="1:123" ht="15">
      <c r="A742"/>
      <c r="B742"/>
      <c r="C742"/>
      <c r="D742"/>
      <c r="E742"/>
      <c r="F742"/>
      <c r="G742"/>
      <c r="H742"/>
      <c r="I742"/>
      <c r="J742"/>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48"/>
      <c r="BH742" s="48"/>
      <c r="BI742" s="48"/>
      <c r="BJ742" s="48"/>
      <c r="BK742" s="48"/>
      <c r="BL742" s="48"/>
      <c r="BM742" s="48"/>
      <c r="BN742" s="48"/>
      <c r="BO742" s="48"/>
      <c r="BP742" s="48"/>
      <c r="BQ742" s="48"/>
      <c r="BR742" s="48"/>
      <c r="BS742" s="48"/>
      <c r="BT742" s="48"/>
      <c r="BU742" s="48"/>
      <c r="BV742" s="48"/>
      <c r="BW742" s="48"/>
      <c r="BX742" s="48"/>
      <c r="BY742" s="48"/>
      <c r="BZ742" s="48"/>
      <c r="CA742" s="48"/>
      <c r="CB742" s="48"/>
      <c r="CC742" s="48"/>
      <c r="CD742" s="48"/>
      <c r="CE742" s="48"/>
      <c r="CF742" s="48"/>
      <c r="CG742" s="48"/>
      <c r="CH742" s="48"/>
      <c r="CI742" s="48"/>
      <c r="CJ742" s="48"/>
      <c r="CK742" s="48"/>
      <c r="CL742" s="48"/>
      <c r="CM742" s="48"/>
      <c r="CN742" s="48"/>
      <c r="CO742" s="48"/>
      <c r="CP742" s="48"/>
      <c r="CQ742" s="48"/>
      <c r="CR742" s="48"/>
      <c r="CS742" s="48"/>
      <c r="CT742" s="48"/>
      <c r="CU742" s="48"/>
      <c r="CV742" s="48"/>
      <c r="CW742" s="48"/>
      <c r="CX742" s="48"/>
      <c r="CY742" s="48"/>
      <c r="CZ742" s="48"/>
      <c r="DA742" s="48"/>
      <c r="DB742" s="48"/>
      <c r="DC742" s="48"/>
      <c r="DD742" s="48"/>
      <c r="DE742" s="48"/>
      <c r="DF742" s="48"/>
      <c r="DG742" s="48"/>
      <c r="DH742" s="48"/>
      <c r="DI742" s="48"/>
      <c r="DJ742" s="48"/>
      <c r="DK742" s="48"/>
      <c r="DL742" s="48"/>
      <c r="DM742" s="48"/>
      <c r="DN742" s="48"/>
      <c r="DO742" s="48"/>
      <c r="DP742" s="48"/>
      <c r="DQ742" s="48"/>
      <c r="DR742" s="48"/>
      <c r="DS742" s="48"/>
    </row>
    <row r="743" spans="1:123" ht="15">
      <c r="A743"/>
      <c r="B743"/>
      <c r="C743"/>
      <c r="D743"/>
      <c r="E743"/>
      <c r="F743"/>
      <c r="G743"/>
      <c r="H743"/>
      <c r="I743"/>
      <c r="J743"/>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c r="BM743" s="48"/>
      <c r="BN743" s="48"/>
      <c r="BO743" s="48"/>
      <c r="BP743" s="48"/>
      <c r="BQ743" s="48"/>
      <c r="BR743" s="48"/>
      <c r="BS743" s="48"/>
      <c r="BT743" s="48"/>
      <c r="BU743" s="48"/>
      <c r="BV743" s="48"/>
      <c r="BW743" s="48"/>
      <c r="BX743" s="48"/>
      <c r="BY743" s="48"/>
      <c r="BZ743" s="48"/>
      <c r="CA743" s="48"/>
      <c r="CB743" s="48"/>
      <c r="CC743" s="48"/>
      <c r="CD743" s="48"/>
      <c r="CE743" s="48"/>
      <c r="CF743" s="48"/>
      <c r="CG743" s="48"/>
      <c r="CH743" s="48"/>
      <c r="CI743" s="48"/>
      <c r="CJ743" s="48"/>
      <c r="CK743" s="48"/>
      <c r="CL743" s="48"/>
      <c r="CM743" s="48"/>
      <c r="CN743" s="48"/>
      <c r="CO743" s="48"/>
      <c r="CP743" s="48"/>
      <c r="CQ743" s="48"/>
      <c r="CR743" s="48"/>
      <c r="CS743" s="48"/>
      <c r="CT743" s="48"/>
      <c r="CU743" s="48"/>
      <c r="CV743" s="48"/>
      <c r="CW743" s="48"/>
      <c r="CX743" s="48"/>
      <c r="CY743" s="48"/>
      <c r="CZ743" s="48"/>
      <c r="DA743" s="48"/>
      <c r="DB743" s="48"/>
      <c r="DC743" s="48"/>
      <c r="DD743" s="48"/>
      <c r="DE743" s="48"/>
      <c r="DF743" s="48"/>
      <c r="DG743" s="48"/>
      <c r="DH743" s="48"/>
      <c r="DI743" s="48"/>
      <c r="DJ743" s="48"/>
      <c r="DK743" s="48"/>
      <c r="DL743" s="48"/>
      <c r="DM743" s="48"/>
      <c r="DN743" s="48"/>
      <c r="DO743" s="48"/>
      <c r="DP743" s="48"/>
      <c r="DQ743" s="48"/>
      <c r="DR743" s="48"/>
      <c r="DS743" s="48"/>
    </row>
    <row r="744" spans="1:123" ht="15">
      <c r="A744"/>
      <c r="B744"/>
      <c r="C744"/>
      <c r="D744"/>
      <c r="E744"/>
      <c r="F744"/>
      <c r="G744"/>
      <c r="H744"/>
      <c r="I744"/>
      <c r="J744"/>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48"/>
      <c r="BJ744" s="48"/>
      <c r="BK744" s="48"/>
      <c r="BL744" s="48"/>
      <c r="BM744" s="48"/>
      <c r="BN744" s="48"/>
      <c r="BO744" s="48"/>
      <c r="BP744" s="48"/>
      <c r="BQ744" s="48"/>
      <c r="BR744" s="48"/>
      <c r="BS744" s="48"/>
      <c r="BT744" s="48"/>
      <c r="BU744" s="48"/>
      <c r="BV744" s="48"/>
      <c r="BW744" s="48"/>
      <c r="BX744" s="48"/>
      <c r="BY744" s="48"/>
      <c r="BZ744" s="48"/>
      <c r="CA744" s="48"/>
      <c r="CB744" s="48"/>
      <c r="CC744" s="48"/>
      <c r="CD744" s="48"/>
      <c r="CE744" s="48"/>
      <c r="CF744" s="48"/>
      <c r="CG744" s="48"/>
      <c r="CH744" s="48"/>
      <c r="CI744" s="48"/>
      <c r="CJ744" s="48"/>
      <c r="CK744" s="48"/>
      <c r="CL744" s="48"/>
      <c r="CM744" s="48"/>
      <c r="CN744" s="48"/>
      <c r="CO744" s="48"/>
      <c r="CP744" s="48"/>
      <c r="CQ744" s="48"/>
      <c r="CR744" s="48"/>
      <c r="CS744" s="48"/>
      <c r="CT744" s="48"/>
      <c r="CU744" s="48"/>
      <c r="CV744" s="48"/>
      <c r="CW744" s="48"/>
      <c r="CX744" s="48"/>
      <c r="CY744" s="48"/>
      <c r="CZ744" s="48"/>
      <c r="DA744" s="48"/>
      <c r="DB744" s="48"/>
      <c r="DC744" s="48"/>
      <c r="DD744" s="48"/>
      <c r="DE744" s="48"/>
      <c r="DF744" s="48"/>
      <c r="DG744" s="48"/>
      <c r="DH744" s="48"/>
      <c r="DI744" s="48"/>
      <c r="DJ744" s="48"/>
      <c r="DK744" s="48"/>
      <c r="DL744" s="48"/>
      <c r="DM744" s="48"/>
      <c r="DN744" s="48"/>
      <c r="DO744" s="48"/>
      <c r="DP744" s="48"/>
      <c r="DQ744" s="48"/>
      <c r="DR744" s="48"/>
      <c r="DS744" s="48"/>
    </row>
    <row r="745" spans="1:123" ht="15">
      <c r="A745"/>
      <c r="B745"/>
      <c r="C745"/>
      <c r="D745"/>
      <c r="E745"/>
      <c r="F745"/>
      <c r="G745"/>
      <c r="H745"/>
      <c r="I745"/>
      <c r="J745"/>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48"/>
      <c r="BJ745" s="48"/>
      <c r="BK745" s="48"/>
      <c r="BL745" s="48"/>
      <c r="BM745" s="48"/>
      <c r="BN745" s="48"/>
      <c r="BO745" s="48"/>
      <c r="BP745" s="48"/>
      <c r="BQ745" s="48"/>
      <c r="BR745" s="48"/>
      <c r="BS745" s="48"/>
      <c r="BT745" s="48"/>
      <c r="BU745" s="48"/>
      <c r="BV745" s="48"/>
      <c r="BW745" s="48"/>
      <c r="BX745" s="48"/>
      <c r="BY745" s="48"/>
      <c r="BZ745" s="48"/>
      <c r="CA745" s="48"/>
      <c r="CB745" s="48"/>
      <c r="CC745" s="48"/>
      <c r="CD745" s="48"/>
      <c r="CE745" s="48"/>
      <c r="CF745" s="48"/>
      <c r="CG745" s="48"/>
      <c r="CH745" s="48"/>
      <c r="CI745" s="48"/>
      <c r="CJ745" s="48"/>
      <c r="CK745" s="48"/>
      <c r="CL745" s="48"/>
      <c r="CM745" s="48"/>
      <c r="CN745" s="48"/>
      <c r="CO745" s="48"/>
      <c r="CP745" s="48"/>
      <c r="CQ745" s="48"/>
      <c r="CR745" s="48"/>
      <c r="CS745" s="48"/>
      <c r="CT745" s="48"/>
      <c r="CU745" s="48"/>
      <c r="CV745" s="48"/>
      <c r="CW745" s="48"/>
      <c r="CX745" s="48"/>
      <c r="CY745" s="48"/>
      <c r="CZ745" s="48"/>
      <c r="DA745" s="48"/>
      <c r="DB745" s="48"/>
      <c r="DC745" s="48"/>
      <c r="DD745" s="48"/>
      <c r="DE745" s="48"/>
      <c r="DF745" s="48"/>
      <c r="DG745" s="48"/>
      <c r="DH745" s="48"/>
      <c r="DI745" s="48"/>
      <c r="DJ745" s="48"/>
      <c r="DK745" s="48"/>
      <c r="DL745" s="48"/>
      <c r="DM745" s="48"/>
      <c r="DN745" s="48"/>
      <c r="DO745" s="48"/>
      <c r="DP745" s="48"/>
      <c r="DQ745" s="48"/>
      <c r="DR745" s="48"/>
      <c r="DS745" s="48"/>
    </row>
    <row r="746" spans="1:123" ht="15">
      <c r="A746"/>
      <c r="B746"/>
      <c r="C746"/>
      <c r="D746"/>
      <c r="E746"/>
      <c r="F746"/>
      <c r="G746"/>
      <c r="H746"/>
      <c r="I746"/>
      <c r="J746"/>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48"/>
      <c r="BH746" s="48"/>
      <c r="BI746" s="48"/>
      <c r="BJ746" s="48"/>
      <c r="BK746" s="48"/>
      <c r="BL746" s="48"/>
      <c r="BM746" s="48"/>
      <c r="BN746" s="48"/>
      <c r="BO746" s="48"/>
      <c r="BP746" s="48"/>
      <c r="BQ746" s="48"/>
      <c r="BR746" s="48"/>
      <c r="BS746" s="48"/>
      <c r="BT746" s="48"/>
      <c r="BU746" s="48"/>
      <c r="BV746" s="48"/>
      <c r="BW746" s="48"/>
      <c r="BX746" s="48"/>
      <c r="BY746" s="48"/>
      <c r="BZ746" s="48"/>
      <c r="CA746" s="48"/>
      <c r="CB746" s="48"/>
      <c r="CC746" s="48"/>
      <c r="CD746" s="48"/>
      <c r="CE746" s="48"/>
      <c r="CF746" s="48"/>
      <c r="CG746" s="48"/>
      <c r="CH746" s="48"/>
      <c r="CI746" s="48"/>
      <c r="CJ746" s="48"/>
      <c r="CK746" s="48"/>
      <c r="CL746" s="48"/>
      <c r="CM746" s="48"/>
      <c r="CN746" s="48"/>
      <c r="CO746" s="48"/>
      <c r="CP746" s="48"/>
      <c r="CQ746" s="48"/>
      <c r="CR746" s="48"/>
      <c r="CS746" s="48"/>
      <c r="CT746" s="48"/>
      <c r="CU746" s="48"/>
      <c r="CV746" s="48"/>
      <c r="CW746" s="48"/>
      <c r="CX746" s="48"/>
      <c r="CY746" s="48"/>
      <c r="CZ746" s="48"/>
      <c r="DA746" s="48"/>
      <c r="DB746" s="48"/>
      <c r="DC746" s="48"/>
      <c r="DD746" s="48"/>
      <c r="DE746" s="48"/>
      <c r="DF746" s="48"/>
      <c r="DG746" s="48"/>
      <c r="DH746" s="48"/>
      <c r="DI746" s="48"/>
      <c r="DJ746" s="48"/>
      <c r="DK746" s="48"/>
      <c r="DL746" s="48"/>
      <c r="DM746" s="48"/>
      <c r="DN746" s="48"/>
      <c r="DO746" s="48"/>
      <c r="DP746" s="48"/>
      <c r="DQ746" s="48"/>
      <c r="DR746" s="48"/>
      <c r="DS746" s="48"/>
    </row>
    <row r="747" spans="1:123" ht="15">
      <c r="A747"/>
      <c r="B747"/>
      <c r="C747"/>
      <c r="D747"/>
      <c r="E747"/>
      <c r="F747"/>
      <c r="G747"/>
      <c r="H747"/>
      <c r="I747"/>
      <c r="J747"/>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48"/>
      <c r="BH747" s="48"/>
      <c r="BI747" s="48"/>
      <c r="BJ747" s="48"/>
      <c r="BK747" s="48"/>
      <c r="BL747" s="48"/>
      <c r="BM747" s="48"/>
      <c r="BN747" s="48"/>
      <c r="BO747" s="48"/>
      <c r="BP747" s="48"/>
      <c r="BQ747" s="48"/>
      <c r="BR747" s="48"/>
      <c r="BS747" s="48"/>
      <c r="BT747" s="48"/>
      <c r="BU747" s="48"/>
      <c r="BV747" s="48"/>
      <c r="BW747" s="48"/>
      <c r="BX747" s="48"/>
      <c r="BY747" s="48"/>
      <c r="BZ747" s="48"/>
      <c r="CA747" s="48"/>
      <c r="CB747" s="48"/>
      <c r="CC747" s="48"/>
      <c r="CD747" s="48"/>
      <c r="CE747" s="48"/>
      <c r="CF747" s="48"/>
      <c r="CG747" s="48"/>
      <c r="CH747" s="48"/>
      <c r="CI747" s="48"/>
      <c r="CJ747" s="48"/>
      <c r="CK747" s="48"/>
      <c r="CL747" s="48"/>
      <c r="CM747" s="48"/>
      <c r="CN747" s="48"/>
      <c r="CO747" s="48"/>
      <c r="CP747" s="48"/>
      <c r="CQ747" s="48"/>
      <c r="CR747" s="48"/>
      <c r="CS747" s="48"/>
      <c r="CT747" s="48"/>
      <c r="CU747" s="48"/>
      <c r="CV747" s="48"/>
      <c r="CW747" s="48"/>
      <c r="CX747" s="48"/>
      <c r="CY747" s="48"/>
      <c r="CZ747" s="48"/>
      <c r="DA747" s="48"/>
      <c r="DB747" s="48"/>
      <c r="DC747" s="48"/>
      <c r="DD747" s="48"/>
      <c r="DE747" s="48"/>
      <c r="DF747" s="48"/>
      <c r="DG747" s="48"/>
      <c r="DH747" s="48"/>
      <c r="DI747" s="48"/>
      <c r="DJ747" s="48"/>
      <c r="DK747" s="48"/>
      <c r="DL747" s="48"/>
      <c r="DM747" s="48"/>
      <c r="DN747" s="48"/>
      <c r="DO747" s="48"/>
      <c r="DP747" s="48"/>
      <c r="DQ747" s="48"/>
      <c r="DR747" s="48"/>
      <c r="DS747" s="48"/>
    </row>
    <row r="748" spans="1:123" ht="15">
      <c r="A748"/>
      <c r="B748"/>
      <c r="C748"/>
      <c r="D748"/>
      <c r="E748"/>
      <c r="F748"/>
      <c r="G748"/>
      <c r="H748"/>
      <c r="I748"/>
      <c r="J7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c r="BM748" s="48"/>
      <c r="BN748" s="48"/>
      <c r="BO748" s="48"/>
      <c r="BP748" s="48"/>
      <c r="BQ748" s="48"/>
      <c r="BR748" s="48"/>
      <c r="BS748" s="48"/>
      <c r="BT748" s="48"/>
      <c r="BU748" s="48"/>
      <c r="BV748" s="48"/>
      <c r="BW748" s="48"/>
      <c r="BX748" s="48"/>
      <c r="BY748" s="48"/>
      <c r="BZ748" s="48"/>
      <c r="CA748" s="48"/>
      <c r="CB748" s="48"/>
      <c r="CC748" s="48"/>
      <c r="CD748" s="48"/>
      <c r="CE748" s="48"/>
      <c r="CF748" s="48"/>
      <c r="CG748" s="48"/>
      <c r="CH748" s="48"/>
      <c r="CI748" s="48"/>
      <c r="CJ748" s="48"/>
      <c r="CK748" s="48"/>
      <c r="CL748" s="48"/>
      <c r="CM748" s="48"/>
      <c r="CN748" s="48"/>
      <c r="CO748" s="48"/>
      <c r="CP748" s="48"/>
      <c r="CQ748" s="48"/>
      <c r="CR748" s="48"/>
      <c r="CS748" s="48"/>
      <c r="CT748" s="48"/>
      <c r="CU748" s="48"/>
      <c r="CV748" s="48"/>
      <c r="CW748" s="48"/>
      <c r="CX748" s="48"/>
      <c r="CY748" s="48"/>
      <c r="CZ748" s="48"/>
      <c r="DA748" s="48"/>
      <c r="DB748" s="48"/>
      <c r="DC748" s="48"/>
      <c r="DD748" s="48"/>
      <c r="DE748" s="48"/>
      <c r="DF748" s="48"/>
      <c r="DG748" s="48"/>
      <c r="DH748" s="48"/>
      <c r="DI748" s="48"/>
      <c r="DJ748" s="48"/>
      <c r="DK748" s="48"/>
      <c r="DL748" s="48"/>
      <c r="DM748" s="48"/>
      <c r="DN748" s="48"/>
      <c r="DO748" s="48"/>
      <c r="DP748" s="48"/>
      <c r="DQ748" s="48"/>
      <c r="DR748" s="48"/>
      <c r="DS748" s="48"/>
    </row>
    <row r="749" spans="1:123" ht="15">
      <c r="A749"/>
      <c r="B749"/>
      <c r="C749"/>
      <c r="D749"/>
      <c r="E749"/>
      <c r="F749"/>
      <c r="G749"/>
      <c r="H749"/>
      <c r="I749"/>
      <c r="J749"/>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48"/>
      <c r="BJ749" s="48"/>
      <c r="BK749" s="48"/>
      <c r="BL749" s="48"/>
      <c r="BM749" s="48"/>
      <c r="BN749" s="48"/>
      <c r="BO749" s="48"/>
      <c r="BP749" s="48"/>
      <c r="BQ749" s="48"/>
      <c r="BR749" s="48"/>
      <c r="BS749" s="48"/>
      <c r="BT749" s="48"/>
      <c r="BU749" s="48"/>
      <c r="BV749" s="48"/>
      <c r="BW749" s="48"/>
      <c r="BX749" s="48"/>
      <c r="BY749" s="48"/>
      <c r="BZ749" s="48"/>
      <c r="CA749" s="48"/>
      <c r="CB749" s="48"/>
      <c r="CC749" s="48"/>
      <c r="CD749" s="48"/>
      <c r="CE749" s="48"/>
      <c r="CF749" s="48"/>
      <c r="CG749" s="48"/>
      <c r="CH749" s="48"/>
      <c r="CI749" s="48"/>
      <c r="CJ749" s="48"/>
      <c r="CK749" s="48"/>
      <c r="CL749" s="48"/>
      <c r="CM749" s="48"/>
      <c r="CN749" s="48"/>
      <c r="CO749" s="48"/>
      <c r="CP749" s="48"/>
      <c r="CQ749" s="48"/>
      <c r="CR749" s="48"/>
      <c r="CS749" s="48"/>
      <c r="CT749" s="48"/>
      <c r="CU749" s="48"/>
      <c r="CV749" s="48"/>
      <c r="CW749" s="48"/>
      <c r="CX749" s="48"/>
      <c r="CY749" s="48"/>
      <c r="CZ749" s="48"/>
      <c r="DA749" s="48"/>
      <c r="DB749" s="48"/>
      <c r="DC749" s="48"/>
      <c r="DD749" s="48"/>
      <c r="DE749" s="48"/>
      <c r="DF749" s="48"/>
      <c r="DG749" s="48"/>
      <c r="DH749" s="48"/>
      <c r="DI749" s="48"/>
      <c r="DJ749" s="48"/>
      <c r="DK749" s="48"/>
      <c r="DL749" s="48"/>
      <c r="DM749" s="48"/>
      <c r="DN749" s="48"/>
      <c r="DO749" s="48"/>
      <c r="DP749" s="48"/>
      <c r="DQ749" s="48"/>
      <c r="DR749" s="48"/>
      <c r="DS749" s="48"/>
    </row>
    <row r="750" spans="1:123" ht="15">
      <c r="A750"/>
      <c r="B750"/>
      <c r="C750"/>
      <c r="D750"/>
      <c r="E750"/>
      <c r="F750"/>
      <c r="G750"/>
      <c r="H750"/>
      <c r="I750"/>
      <c r="J750"/>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48"/>
      <c r="BH750" s="48"/>
      <c r="BI750" s="48"/>
      <c r="BJ750" s="48"/>
      <c r="BK750" s="48"/>
      <c r="BL750" s="48"/>
      <c r="BM750" s="48"/>
      <c r="BN750" s="48"/>
      <c r="BO750" s="48"/>
      <c r="BP750" s="48"/>
      <c r="BQ750" s="48"/>
      <c r="BR750" s="48"/>
      <c r="BS750" s="48"/>
      <c r="BT750" s="48"/>
      <c r="BU750" s="48"/>
      <c r="BV750" s="48"/>
      <c r="BW750" s="48"/>
      <c r="BX750" s="48"/>
      <c r="BY750" s="48"/>
      <c r="BZ750" s="48"/>
      <c r="CA750" s="48"/>
      <c r="CB750" s="48"/>
      <c r="CC750" s="48"/>
      <c r="CD750" s="48"/>
      <c r="CE750" s="48"/>
      <c r="CF750" s="48"/>
      <c r="CG750" s="48"/>
      <c r="CH750" s="48"/>
      <c r="CI750" s="48"/>
      <c r="CJ750" s="48"/>
      <c r="CK750" s="48"/>
      <c r="CL750" s="48"/>
      <c r="CM750" s="48"/>
      <c r="CN750" s="48"/>
      <c r="CO750" s="48"/>
      <c r="CP750" s="48"/>
      <c r="CQ750" s="48"/>
      <c r="CR750" s="48"/>
      <c r="CS750" s="48"/>
      <c r="CT750" s="48"/>
      <c r="CU750" s="48"/>
      <c r="CV750" s="48"/>
      <c r="CW750" s="48"/>
      <c r="CX750" s="48"/>
      <c r="CY750" s="48"/>
      <c r="CZ750" s="48"/>
      <c r="DA750" s="48"/>
      <c r="DB750" s="48"/>
      <c r="DC750" s="48"/>
      <c r="DD750" s="48"/>
      <c r="DE750" s="48"/>
      <c r="DF750" s="48"/>
      <c r="DG750" s="48"/>
      <c r="DH750" s="48"/>
      <c r="DI750" s="48"/>
      <c r="DJ750" s="48"/>
      <c r="DK750" s="48"/>
      <c r="DL750" s="48"/>
      <c r="DM750" s="48"/>
      <c r="DN750" s="48"/>
      <c r="DO750" s="48"/>
      <c r="DP750" s="48"/>
      <c r="DQ750" s="48"/>
      <c r="DR750" s="48"/>
      <c r="DS750" s="48"/>
    </row>
    <row r="751" spans="1:123" ht="15">
      <c r="A751"/>
      <c r="B751"/>
      <c r="C751"/>
      <c r="D751"/>
      <c r="E751"/>
      <c r="F751"/>
      <c r="G751"/>
      <c r="H751"/>
      <c r="I751"/>
      <c r="J751"/>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c r="BS751" s="48"/>
      <c r="BT751" s="48"/>
      <c r="BU751" s="48"/>
      <c r="BV751" s="48"/>
      <c r="BW751" s="48"/>
      <c r="BX751" s="48"/>
      <c r="BY751" s="48"/>
      <c r="BZ751" s="48"/>
      <c r="CA751" s="48"/>
      <c r="CB751" s="48"/>
      <c r="CC751" s="48"/>
      <c r="CD751" s="48"/>
      <c r="CE751" s="48"/>
      <c r="CF751" s="48"/>
      <c r="CG751" s="48"/>
      <c r="CH751" s="48"/>
      <c r="CI751" s="48"/>
      <c r="CJ751" s="48"/>
      <c r="CK751" s="48"/>
      <c r="CL751" s="48"/>
      <c r="CM751" s="48"/>
      <c r="CN751" s="48"/>
      <c r="CO751" s="48"/>
      <c r="CP751" s="48"/>
      <c r="CQ751" s="48"/>
      <c r="CR751" s="48"/>
      <c r="CS751" s="48"/>
      <c r="CT751" s="48"/>
      <c r="CU751" s="48"/>
      <c r="CV751" s="48"/>
      <c r="CW751" s="48"/>
      <c r="CX751" s="48"/>
      <c r="CY751" s="48"/>
      <c r="CZ751" s="48"/>
      <c r="DA751" s="48"/>
      <c r="DB751" s="48"/>
      <c r="DC751" s="48"/>
      <c r="DD751" s="48"/>
      <c r="DE751" s="48"/>
      <c r="DF751" s="48"/>
      <c r="DG751" s="48"/>
      <c r="DH751" s="48"/>
      <c r="DI751" s="48"/>
      <c r="DJ751" s="48"/>
      <c r="DK751" s="48"/>
      <c r="DL751" s="48"/>
      <c r="DM751" s="48"/>
      <c r="DN751" s="48"/>
      <c r="DO751" s="48"/>
      <c r="DP751" s="48"/>
      <c r="DQ751" s="48"/>
      <c r="DR751" s="48"/>
      <c r="DS751" s="48"/>
    </row>
    <row r="752" spans="1:123" ht="15">
      <c r="A752"/>
      <c r="B752"/>
      <c r="C752"/>
      <c r="D752"/>
      <c r="E752"/>
      <c r="F752"/>
      <c r="G752"/>
      <c r="H752"/>
      <c r="I752"/>
      <c r="J752"/>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48"/>
      <c r="BH752" s="48"/>
      <c r="BI752" s="48"/>
      <c r="BJ752" s="48"/>
      <c r="BK752" s="48"/>
      <c r="BL752" s="48"/>
      <c r="BM752" s="48"/>
      <c r="BN752" s="48"/>
      <c r="BO752" s="48"/>
      <c r="BP752" s="48"/>
      <c r="BQ752" s="48"/>
      <c r="BR752" s="48"/>
      <c r="BS752" s="48"/>
      <c r="BT752" s="48"/>
      <c r="BU752" s="48"/>
      <c r="BV752" s="48"/>
      <c r="BW752" s="48"/>
      <c r="BX752" s="48"/>
      <c r="BY752" s="48"/>
      <c r="BZ752" s="48"/>
      <c r="CA752" s="48"/>
      <c r="CB752" s="48"/>
      <c r="CC752" s="48"/>
      <c r="CD752" s="48"/>
      <c r="CE752" s="48"/>
      <c r="CF752" s="48"/>
      <c r="CG752" s="48"/>
      <c r="CH752" s="48"/>
      <c r="CI752" s="48"/>
      <c r="CJ752" s="48"/>
      <c r="CK752" s="48"/>
      <c r="CL752" s="48"/>
      <c r="CM752" s="48"/>
      <c r="CN752" s="48"/>
      <c r="CO752" s="48"/>
      <c r="CP752" s="48"/>
      <c r="CQ752" s="48"/>
      <c r="CR752" s="48"/>
      <c r="CS752" s="48"/>
      <c r="CT752" s="48"/>
      <c r="CU752" s="48"/>
      <c r="CV752" s="48"/>
      <c r="CW752" s="48"/>
      <c r="CX752" s="48"/>
      <c r="CY752" s="48"/>
      <c r="CZ752" s="48"/>
      <c r="DA752" s="48"/>
      <c r="DB752" s="48"/>
      <c r="DC752" s="48"/>
      <c r="DD752" s="48"/>
      <c r="DE752" s="48"/>
      <c r="DF752" s="48"/>
      <c r="DG752" s="48"/>
      <c r="DH752" s="48"/>
      <c r="DI752" s="48"/>
      <c r="DJ752" s="48"/>
      <c r="DK752" s="48"/>
      <c r="DL752" s="48"/>
      <c r="DM752" s="48"/>
      <c r="DN752" s="48"/>
      <c r="DO752" s="48"/>
      <c r="DP752" s="48"/>
      <c r="DQ752" s="48"/>
      <c r="DR752" s="48"/>
      <c r="DS752" s="48"/>
    </row>
    <row r="753" spans="1:123" ht="15">
      <c r="A753"/>
      <c r="B753"/>
      <c r="C753"/>
      <c r="D753"/>
      <c r="E753"/>
      <c r="F753"/>
      <c r="G753"/>
      <c r="H753"/>
      <c r="I753"/>
      <c r="J753"/>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48"/>
      <c r="BH753" s="48"/>
      <c r="BI753" s="48"/>
      <c r="BJ753" s="48"/>
      <c r="BK753" s="48"/>
      <c r="BL753" s="48"/>
      <c r="BM753" s="48"/>
      <c r="BN753" s="48"/>
      <c r="BO753" s="48"/>
      <c r="BP753" s="48"/>
      <c r="BQ753" s="48"/>
      <c r="BR753" s="48"/>
      <c r="BS753" s="48"/>
      <c r="BT753" s="48"/>
      <c r="BU753" s="48"/>
      <c r="BV753" s="48"/>
      <c r="BW753" s="48"/>
      <c r="BX753" s="48"/>
      <c r="BY753" s="48"/>
      <c r="BZ753" s="48"/>
      <c r="CA753" s="48"/>
      <c r="CB753" s="48"/>
      <c r="CC753" s="48"/>
      <c r="CD753" s="48"/>
      <c r="CE753" s="48"/>
      <c r="CF753" s="48"/>
      <c r="CG753" s="48"/>
      <c r="CH753" s="48"/>
      <c r="CI753" s="48"/>
      <c r="CJ753" s="48"/>
      <c r="CK753" s="48"/>
      <c r="CL753" s="48"/>
      <c r="CM753" s="48"/>
      <c r="CN753" s="48"/>
      <c r="CO753" s="48"/>
      <c r="CP753" s="48"/>
      <c r="CQ753" s="48"/>
      <c r="CR753" s="48"/>
      <c r="CS753" s="48"/>
      <c r="CT753" s="48"/>
      <c r="CU753" s="48"/>
      <c r="CV753" s="48"/>
      <c r="CW753" s="48"/>
      <c r="CX753" s="48"/>
      <c r="CY753" s="48"/>
      <c r="CZ753" s="48"/>
      <c r="DA753" s="48"/>
      <c r="DB753" s="48"/>
      <c r="DC753" s="48"/>
      <c r="DD753" s="48"/>
      <c r="DE753" s="48"/>
      <c r="DF753" s="48"/>
      <c r="DG753" s="48"/>
      <c r="DH753" s="48"/>
      <c r="DI753" s="48"/>
      <c r="DJ753" s="48"/>
      <c r="DK753" s="48"/>
      <c r="DL753" s="48"/>
      <c r="DM753" s="48"/>
      <c r="DN753" s="48"/>
      <c r="DO753" s="48"/>
      <c r="DP753" s="48"/>
      <c r="DQ753" s="48"/>
      <c r="DR753" s="48"/>
      <c r="DS753" s="48"/>
    </row>
    <row r="754" spans="1:123" ht="15">
      <c r="A754"/>
      <c r="B754"/>
      <c r="C754"/>
      <c r="D754"/>
      <c r="E754"/>
      <c r="F754"/>
      <c r="G754"/>
      <c r="H754"/>
      <c r="I754"/>
      <c r="J754"/>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48"/>
      <c r="BH754" s="48"/>
      <c r="BI754" s="48"/>
      <c r="BJ754" s="48"/>
      <c r="BK754" s="48"/>
      <c r="BL754" s="48"/>
      <c r="BM754" s="48"/>
      <c r="BN754" s="48"/>
      <c r="BO754" s="48"/>
      <c r="BP754" s="48"/>
      <c r="BQ754" s="48"/>
      <c r="BR754" s="48"/>
      <c r="BS754" s="48"/>
      <c r="BT754" s="48"/>
      <c r="BU754" s="48"/>
      <c r="BV754" s="48"/>
      <c r="BW754" s="48"/>
      <c r="BX754" s="48"/>
      <c r="BY754" s="48"/>
      <c r="BZ754" s="48"/>
      <c r="CA754" s="48"/>
      <c r="CB754" s="48"/>
      <c r="CC754" s="48"/>
      <c r="CD754" s="48"/>
      <c r="CE754" s="48"/>
      <c r="CF754" s="48"/>
      <c r="CG754" s="48"/>
      <c r="CH754" s="48"/>
      <c r="CI754" s="48"/>
      <c r="CJ754" s="48"/>
      <c r="CK754" s="48"/>
      <c r="CL754" s="48"/>
      <c r="CM754" s="48"/>
      <c r="CN754" s="48"/>
      <c r="CO754" s="48"/>
      <c r="CP754" s="48"/>
      <c r="CQ754" s="48"/>
      <c r="CR754" s="48"/>
      <c r="CS754" s="48"/>
      <c r="CT754" s="48"/>
      <c r="CU754" s="48"/>
      <c r="CV754" s="48"/>
      <c r="CW754" s="48"/>
      <c r="CX754" s="48"/>
      <c r="CY754" s="48"/>
      <c r="CZ754" s="48"/>
      <c r="DA754" s="48"/>
      <c r="DB754" s="48"/>
      <c r="DC754" s="48"/>
      <c r="DD754" s="48"/>
      <c r="DE754" s="48"/>
      <c r="DF754" s="48"/>
      <c r="DG754" s="48"/>
      <c r="DH754" s="48"/>
      <c r="DI754" s="48"/>
      <c r="DJ754" s="48"/>
      <c r="DK754" s="48"/>
      <c r="DL754" s="48"/>
      <c r="DM754" s="48"/>
      <c r="DN754" s="48"/>
      <c r="DO754" s="48"/>
      <c r="DP754" s="48"/>
      <c r="DQ754" s="48"/>
      <c r="DR754" s="48"/>
      <c r="DS754" s="48"/>
    </row>
    <row r="755" spans="1:123" ht="15">
      <c r="A755"/>
      <c r="B755"/>
      <c r="C755"/>
      <c r="D755"/>
      <c r="E755"/>
      <c r="F755"/>
      <c r="G755"/>
      <c r="H755"/>
      <c r="I755"/>
      <c r="J755"/>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c r="BM755" s="48"/>
      <c r="BN755" s="48"/>
      <c r="BO755" s="48"/>
      <c r="BP755" s="48"/>
      <c r="BQ755" s="48"/>
      <c r="BR755" s="48"/>
      <c r="BS755" s="48"/>
      <c r="BT755" s="48"/>
      <c r="BU755" s="48"/>
      <c r="BV755" s="48"/>
      <c r="BW755" s="48"/>
      <c r="BX755" s="48"/>
      <c r="BY755" s="48"/>
      <c r="BZ755" s="48"/>
      <c r="CA755" s="48"/>
      <c r="CB755" s="48"/>
      <c r="CC755" s="48"/>
      <c r="CD755" s="48"/>
      <c r="CE755" s="48"/>
      <c r="CF755" s="48"/>
      <c r="CG755" s="48"/>
      <c r="CH755" s="48"/>
      <c r="CI755" s="48"/>
      <c r="CJ755" s="48"/>
      <c r="CK755" s="48"/>
      <c r="CL755" s="48"/>
      <c r="CM755" s="48"/>
      <c r="CN755" s="48"/>
      <c r="CO755" s="48"/>
      <c r="CP755" s="48"/>
      <c r="CQ755" s="48"/>
      <c r="CR755" s="48"/>
      <c r="CS755" s="48"/>
      <c r="CT755" s="48"/>
      <c r="CU755" s="48"/>
      <c r="CV755" s="48"/>
      <c r="CW755" s="48"/>
      <c r="CX755" s="48"/>
      <c r="CY755" s="48"/>
      <c r="CZ755" s="48"/>
      <c r="DA755" s="48"/>
      <c r="DB755" s="48"/>
      <c r="DC755" s="48"/>
      <c r="DD755" s="48"/>
      <c r="DE755" s="48"/>
      <c r="DF755" s="48"/>
      <c r="DG755" s="48"/>
      <c r="DH755" s="48"/>
      <c r="DI755" s="48"/>
      <c r="DJ755" s="48"/>
      <c r="DK755" s="48"/>
      <c r="DL755" s="48"/>
      <c r="DM755" s="48"/>
      <c r="DN755" s="48"/>
      <c r="DO755" s="48"/>
      <c r="DP755" s="48"/>
      <c r="DQ755" s="48"/>
      <c r="DR755" s="48"/>
      <c r="DS755" s="48"/>
    </row>
    <row r="756" spans="1:123" ht="15">
      <c r="A756"/>
      <c r="B756"/>
      <c r="C756"/>
      <c r="D756"/>
      <c r="E756"/>
      <c r="F756"/>
      <c r="G756"/>
      <c r="H756"/>
      <c r="I756"/>
      <c r="J756"/>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c r="BM756" s="48"/>
      <c r="BN756" s="48"/>
      <c r="BO756" s="48"/>
      <c r="BP756" s="48"/>
      <c r="BQ756" s="48"/>
      <c r="BR756" s="48"/>
      <c r="BS756" s="48"/>
      <c r="BT756" s="48"/>
      <c r="BU756" s="48"/>
      <c r="BV756" s="48"/>
      <c r="BW756" s="48"/>
      <c r="BX756" s="48"/>
      <c r="BY756" s="48"/>
      <c r="BZ756" s="48"/>
      <c r="CA756" s="48"/>
      <c r="CB756" s="48"/>
      <c r="CC756" s="48"/>
      <c r="CD756" s="48"/>
      <c r="CE756" s="48"/>
      <c r="CF756" s="48"/>
      <c r="CG756" s="48"/>
      <c r="CH756" s="48"/>
      <c r="CI756" s="48"/>
      <c r="CJ756" s="48"/>
      <c r="CK756" s="48"/>
      <c r="CL756" s="48"/>
      <c r="CM756" s="48"/>
      <c r="CN756" s="48"/>
      <c r="CO756" s="48"/>
      <c r="CP756" s="48"/>
      <c r="CQ756" s="48"/>
      <c r="CR756" s="48"/>
      <c r="CS756" s="48"/>
      <c r="CT756" s="48"/>
      <c r="CU756" s="48"/>
      <c r="CV756" s="48"/>
      <c r="CW756" s="48"/>
      <c r="CX756" s="48"/>
      <c r="CY756" s="48"/>
      <c r="CZ756" s="48"/>
      <c r="DA756" s="48"/>
      <c r="DB756" s="48"/>
      <c r="DC756" s="48"/>
      <c r="DD756" s="48"/>
      <c r="DE756" s="48"/>
      <c r="DF756" s="48"/>
      <c r="DG756" s="48"/>
      <c r="DH756" s="48"/>
      <c r="DI756" s="48"/>
      <c r="DJ756" s="48"/>
      <c r="DK756" s="48"/>
      <c r="DL756" s="48"/>
      <c r="DM756" s="48"/>
      <c r="DN756" s="48"/>
      <c r="DO756" s="48"/>
      <c r="DP756" s="48"/>
      <c r="DQ756" s="48"/>
      <c r="DR756" s="48"/>
      <c r="DS756" s="48"/>
    </row>
    <row r="757" spans="1:123" ht="15">
      <c r="A757"/>
      <c r="B757"/>
      <c r="C757"/>
      <c r="D757"/>
      <c r="E757"/>
      <c r="F757"/>
      <c r="G757"/>
      <c r="H757"/>
      <c r="I757"/>
      <c r="J757"/>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48"/>
      <c r="BH757" s="48"/>
      <c r="BI757" s="48"/>
      <c r="BJ757" s="48"/>
      <c r="BK757" s="48"/>
      <c r="BL757" s="48"/>
      <c r="BM757" s="48"/>
      <c r="BN757" s="48"/>
      <c r="BO757" s="48"/>
      <c r="BP757" s="48"/>
      <c r="BQ757" s="48"/>
      <c r="BR757" s="48"/>
      <c r="BS757" s="48"/>
      <c r="BT757" s="48"/>
      <c r="BU757" s="48"/>
      <c r="BV757" s="48"/>
      <c r="BW757" s="48"/>
      <c r="BX757" s="48"/>
      <c r="BY757" s="48"/>
      <c r="BZ757" s="48"/>
      <c r="CA757" s="48"/>
      <c r="CB757" s="48"/>
      <c r="CC757" s="48"/>
      <c r="CD757" s="48"/>
      <c r="CE757" s="48"/>
      <c r="CF757" s="48"/>
      <c r="CG757" s="48"/>
      <c r="CH757" s="48"/>
      <c r="CI757" s="48"/>
      <c r="CJ757" s="48"/>
      <c r="CK757" s="48"/>
      <c r="CL757" s="48"/>
      <c r="CM757" s="48"/>
      <c r="CN757" s="48"/>
      <c r="CO757" s="48"/>
      <c r="CP757" s="48"/>
      <c r="CQ757" s="48"/>
      <c r="CR757" s="48"/>
      <c r="CS757" s="48"/>
      <c r="CT757" s="48"/>
      <c r="CU757" s="48"/>
      <c r="CV757" s="48"/>
      <c r="CW757" s="48"/>
      <c r="CX757" s="48"/>
      <c r="CY757" s="48"/>
      <c r="CZ757" s="48"/>
      <c r="DA757" s="48"/>
      <c r="DB757" s="48"/>
      <c r="DC757" s="48"/>
      <c r="DD757" s="48"/>
      <c r="DE757" s="48"/>
      <c r="DF757" s="48"/>
      <c r="DG757" s="48"/>
      <c r="DH757" s="48"/>
      <c r="DI757" s="48"/>
      <c r="DJ757" s="48"/>
      <c r="DK757" s="48"/>
      <c r="DL757" s="48"/>
      <c r="DM757" s="48"/>
      <c r="DN757" s="48"/>
      <c r="DO757" s="48"/>
      <c r="DP757" s="48"/>
      <c r="DQ757" s="48"/>
      <c r="DR757" s="48"/>
      <c r="DS757" s="48"/>
    </row>
    <row r="758" spans="1:123" ht="15">
      <c r="A758"/>
      <c r="B758"/>
      <c r="C758"/>
      <c r="D758"/>
      <c r="E758"/>
      <c r="F758"/>
      <c r="G758"/>
      <c r="H758"/>
      <c r="I758"/>
      <c r="J75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48"/>
      <c r="BH758" s="48"/>
      <c r="BI758" s="48"/>
      <c r="BJ758" s="48"/>
      <c r="BK758" s="48"/>
      <c r="BL758" s="48"/>
      <c r="BM758" s="48"/>
      <c r="BN758" s="48"/>
      <c r="BO758" s="48"/>
      <c r="BP758" s="48"/>
      <c r="BQ758" s="48"/>
      <c r="BR758" s="48"/>
      <c r="BS758" s="48"/>
      <c r="BT758" s="48"/>
      <c r="BU758" s="48"/>
      <c r="BV758" s="48"/>
      <c r="BW758" s="48"/>
      <c r="BX758" s="48"/>
      <c r="BY758" s="48"/>
      <c r="BZ758" s="48"/>
      <c r="CA758" s="48"/>
      <c r="CB758" s="48"/>
      <c r="CC758" s="48"/>
      <c r="CD758" s="48"/>
      <c r="CE758" s="48"/>
      <c r="CF758" s="48"/>
      <c r="CG758" s="48"/>
      <c r="CH758" s="48"/>
      <c r="CI758" s="48"/>
      <c r="CJ758" s="48"/>
      <c r="CK758" s="48"/>
      <c r="CL758" s="48"/>
      <c r="CM758" s="48"/>
      <c r="CN758" s="48"/>
      <c r="CO758" s="48"/>
      <c r="CP758" s="48"/>
      <c r="CQ758" s="48"/>
      <c r="CR758" s="48"/>
      <c r="CS758" s="48"/>
      <c r="CT758" s="48"/>
      <c r="CU758" s="48"/>
      <c r="CV758" s="48"/>
      <c r="CW758" s="48"/>
      <c r="CX758" s="48"/>
      <c r="CY758" s="48"/>
      <c r="CZ758" s="48"/>
      <c r="DA758" s="48"/>
      <c r="DB758" s="48"/>
      <c r="DC758" s="48"/>
      <c r="DD758" s="48"/>
      <c r="DE758" s="48"/>
      <c r="DF758" s="48"/>
      <c r="DG758" s="48"/>
      <c r="DH758" s="48"/>
      <c r="DI758" s="48"/>
      <c r="DJ758" s="48"/>
      <c r="DK758" s="48"/>
      <c r="DL758" s="48"/>
      <c r="DM758" s="48"/>
      <c r="DN758" s="48"/>
      <c r="DO758" s="48"/>
      <c r="DP758" s="48"/>
      <c r="DQ758" s="48"/>
      <c r="DR758" s="48"/>
      <c r="DS758" s="48"/>
    </row>
    <row r="759" spans="1:123" ht="15">
      <c r="A759"/>
      <c r="B759"/>
      <c r="C759"/>
      <c r="D759"/>
      <c r="E759"/>
      <c r="F759"/>
      <c r="G759"/>
      <c r="H759"/>
      <c r="I759"/>
      <c r="J759"/>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48"/>
      <c r="BH759" s="48"/>
      <c r="BI759" s="48"/>
      <c r="BJ759" s="48"/>
      <c r="BK759" s="48"/>
      <c r="BL759" s="48"/>
      <c r="BM759" s="48"/>
      <c r="BN759" s="48"/>
      <c r="BO759" s="48"/>
      <c r="BP759" s="48"/>
      <c r="BQ759" s="48"/>
      <c r="BR759" s="48"/>
      <c r="BS759" s="48"/>
      <c r="BT759" s="48"/>
      <c r="BU759" s="48"/>
      <c r="BV759" s="48"/>
      <c r="BW759" s="48"/>
      <c r="BX759" s="48"/>
      <c r="BY759" s="48"/>
      <c r="BZ759" s="48"/>
      <c r="CA759" s="48"/>
      <c r="CB759" s="48"/>
      <c r="CC759" s="48"/>
      <c r="CD759" s="48"/>
      <c r="CE759" s="48"/>
      <c r="CF759" s="48"/>
      <c r="CG759" s="48"/>
      <c r="CH759" s="48"/>
      <c r="CI759" s="48"/>
      <c r="CJ759" s="48"/>
      <c r="CK759" s="48"/>
      <c r="CL759" s="48"/>
      <c r="CM759" s="48"/>
      <c r="CN759" s="48"/>
      <c r="CO759" s="48"/>
      <c r="CP759" s="48"/>
      <c r="CQ759" s="48"/>
      <c r="CR759" s="48"/>
      <c r="CS759" s="48"/>
      <c r="CT759" s="48"/>
      <c r="CU759" s="48"/>
      <c r="CV759" s="48"/>
      <c r="CW759" s="48"/>
      <c r="CX759" s="48"/>
      <c r="CY759" s="48"/>
      <c r="CZ759" s="48"/>
      <c r="DA759" s="48"/>
      <c r="DB759" s="48"/>
      <c r="DC759" s="48"/>
      <c r="DD759" s="48"/>
      <c r="DE759" s="48"/>
      <c r="DF759" s="48"/>
      <c r="DG759" s="48"/>
      <c r="DH759" s="48"/>
      <c r="DI759" s="48"/>
      <c r="DJ759" s="48"/>
      <c r="DK759" s="48"/>
      <c r="DL759" s="48"/>
      <c r="DM759" s="48"/>
      <c r="DN759" s="48"/>
      <c r="DO759" s="48"/>
      <c r="DP759" s="48"/>
      <c r="DQ759" s="48"/>
      <c r="DR759" s="48"/>
      <c r="DS759" s="48"/>
    </row>
    <row r="760" spans="1:123" ht="15">
      <c r="A760"/>
      <c r="B760"/>
      <c r="C760"/>
      <c r="D760"/>
      <c r="E760"/>
      <c r="F760"/>
      <c r="G760"/>
      <c r="H760"/>
      <c r="I760"/>
      <c r="J760"/>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48"/>
      <c r="BH760" s="48"/>
      <c r="BI760" s="48"/>
      <c r="BJ760" s="48"/>
      <c r="BK760" s="48"/>
      <c r="BL760" s="48"/>
      <c r="BM760" s="48"/>
      <c r="BN760" s="48"/>
      <c r="BO760" s="48"/>
      <c r="BP760" s="48"/>
      <c r="BQ760" s="48"/>
      <c r="BR760" s="48"/>
      <c r="BS760" s="48"/>
      <c r="BT760" s="48"/>
      <c r="BU760" s="48"/>
      <c r="BV760" s="48"/>
      <c r="BW760" s="48"/>
      <c r="BX760" s="48"/>
      <c r="BY760" s="48"/>
      <c r="BZ760" s="48"/>
      <c r="CA760" s="48"/>
      <c r="CB760" s="48"/>
      <c r="CC760" s="48"/>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c r="DB760" s="48"/>
      <c r="DC760" s="48"/>
      <c r="DD760" s="48"/>
      <c r="DE760" s="48"/>
      <c r="DF760" s="48"/>
      <c r="DG760" s="48"/>
      <c r="DH760" s="48"/>
      <c r="DI760" s="48"/>
      <c r="DJ760" s="48"/>
      <c r="DK760" s="48"/>
      <c r="DL760" s="48"/>
      <c r="DM760" s="48"/>
      <c r="DN760" s="48"/>
      <c r="DO760" s="48"/>
      <c r="DP760" s="48"/>
      <c r="DQ760" s="48"/>
      <c r="DR760" s="48"/>
      <c r="DS760" s="48"/>
    </row>
    <row r="761" spans="1:123" ht="15">
      <c r="A761"/>
      <c r="B761"/>
      <c r="C761"/>
      <c r="D761"/>
      <c r="E761"/>
      <c r="F761"/>
      <c r="G761"/>
      <c r="H761"/>
      <c r="I761"/>
      <c r="J761"/>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48"/>
      <c r="BH761" s="48"/>
      <c r="BI761" s="48"/>
      <c r="BJ761" s="48"/>
      <c r="BK761" s="48"/>
      <c r="BL761" s="48"/>
      <c r="BM761" s="48"/>
      <c r="BN761" s="48"/>
      <c r="BO761" s="48"/>
      <c r="BP761" s="48"/>
      <c r="BQ761" s="48"/>
      <c r="BR761" s="48"/>
      <c r="BS761" s="48"/>
      <c r="BT761" s="48"/>
      <c r="BU761" s="48"/>
      <c r="BV761" s="48"/>
      <c r="BW761" s="48"/>
      <c r="BX761" s="48"/>
      <c r="BY761" s="48"/>
      <c r="BZ761" s="48"/>
      <c r="CA761" s="48"/>
      <c r="CB761" s="48"/>
      <c r="CC761" s="48"/>
      <c r="CD761" s="48"/>
      <c r="CE761" s="48"/>
      <c r="CF761" s="48"/>
      <c r="CG761" s="48"/>
      <c r="CH761" s="48"/>
      <c r="CI761" s="48"/>
      <c r="CJ761" s="48"/>
      <c r="CK761" s="48"/>
      <c r="CL761" s="48"/>
      <c r="CM761" s="48"/>
      <c r="CN761" s="48"/>
      <c r="CO761" s="48"/>
      <c r="CP761" s="48"/>
      <c r="CQ761" s="48"/>
      <c r="CR761" s="48"/>
      <c r="CS761" s="48"/>
      <c r="CT761" s="48"/>
      <c r="CU761" s="48"/>
      <c r="CV761" s="48"/>
      <c r="CW761" s="48"/>
      <c r="CX761" s="48"/>
      <c r="CY761" s="48"/>
      <c r="CZ761" s="48"/>
      <c r="DA761" s="48"/>
      <c r="DB761" s="48"/>
      <c r="DC761" s="48"/>
      <c r="DD761" s="48"/>
      <c r="DE761" s="48"/>
      <c r="DF761" s="48"/>
      <c r="DG761" s="48"/>
      <c r="DH761" s="48"/>
      <c r="DI761" s="48"/>
      <c r="DJ761" s="48"/>
      <c r="DK761" s="48"/>
      <c r="DL761" s="48"/>
      <c r="DM761" s="48"/>
      <c r="DN761" s="48"/>
      <c r="DO761" s="48"/>
      <c r="DP761" s="48"/>
      <c r="DQ761" s="48"/>
      <c r="DR761" s="48"/>
      <c r="DS761" s="48"/>
    </row>
    <row r="762" spans="1:123" ht="15">
      <c r="A762"/>
      <c r="B762"/>
      <c r="C762"/>
      <c r="D762"/>
      <c r="E762"/>
      <c r="F762"/>
      <c r="G762"/>
      <c r="H762"/>
      <c r="I762"/>
      <c r="J762"/>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c r="BS762" s="48"/>
      <c r="BT762" s="48"/>
      <c r="BU762" s="48"/>
      <c r="BV762" s="48"/>
      <c r="BW762" s="48"/>
      <c r="BX762" s="48"/>
      <c r="BY762" s="48"/>
      <c r="BZ762" s="48"/>
      <c r="CA762" s="48"/>
      <c r="CB762" s="48"/>
      <c r="CC762" s="48"/>
      <c r="CD762" s="48"/>
      <c r="CE762" s="48"/>
      <c r="CF762" s="48"/>
      <c r="CG762" s="48"/>
      <c r="CH762" s="48"/>
      <c r="CI762" s="48"/>
      <c r="CJ762" s="48"/>
      <c r="CK762" s="48"/>
      <c r="CL762" s="48"/>
      <c r="CM762" s="48"/>
      <c r="CN762" s="48"/>
      <c r="CO762" s="48"/>
      <c r="CP762" s="48"/>
      <c r="CQ762" s="48"/>
      <c r="CR762" s="48"/>
      <c r="CS762" s="48"/>
      <c r="CT762" s="48"/>
      <c r="CU762" s="48"/>
      <c r="CV762" s="48"/>
      <c r="CW762" s="48"/>
      <c r="CX762" s="48"/>
      <c r="CY762" s="48"/>
      <c r="CZ762" s="48"/>
      <c r="DA762" s="48"/>
      <c r="DB762" s="48"/>
      <c r="DC762" s="48"/>
      <c r="DD762" s="48"/>
      <c r="DE762" s="48"/>
      <c r="DF762" s="48"/>
      <c r="DG762" s="48"/>
      <c r="DH762" s="48"/>
      <c r="DI762" s="48"/>
      <c r="DJ762" s="48"/>
      <c r="DK762" s="48"/>
      <c r="DL762" s="48"/>
      <c r="DM762" s="48"/>
      <c r="DN762" s="48"/>
      <c r="DO762" s="48"/>
      <c r="DP762" s="48"/>
      <c r="DQ762" s="48"/>
      <c r="DR762" s="48"/>
      <c r="DS762" s="48"/>
    </row>
    <row r="763" spans="1:123" ht="15">
      <c r="A763"/>
      <c r="B763"/>
      <c r="C763"/>
      <c r="D763"/>
      <c r="E763"/>
      <c r="F763"/>
      <c r="G763"/>
      <c r="H763"/>
      <c r="I763"/>
      <c r="J763"/>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c r="BO763" s="48"/>
      <c r="BP763" s="48"/>
      <c r="BQ763" s="48"/>
      <c r="BR763" s="48"/>
      <c r="BS763" s="48"/>
      <c r="BT763" s="48"/>
      <c r="BU763" s="48"/>
      <c r="BV763" s="48"/>
      <c r="BW763" s="48"/>
      <c r="BX763" s="48"/>
      <c r="BY763" s="48"/>
      <c r="BZ763" s="48"/>
      <c r="CA763" s="48"/>
      <c r="CB763" s="48"/>
      <c r="CC763" s="48"/>
      <c r="CD763" s="48"/>
      <c r="CE763" s="48"/>
      <c r="CF763" s="48"/>
      <c r="CG763" s="48"/>
      <c r="CH763" s="48"/>
      <c r="CI763" s="48"/>
      <c r="CJ763" s="48"/>
      <c r="CK763" s="48"/>
      <c r="CL763" s="48"/>
      <c r="CM763" s="48"/>
      <c r="CN763" s="48"/>
      <c r="CO763" s="48"/>
      <c r="CP763" s="48"/>
      <c r="CQ763" s="48"/>
      <c r="CR763" s="48"/>
      <c r="CS763" s="48"/>
      <c r="CT763" s="48"/>
      <c r="CU763" s="48"/>
      <c r="CV763" s="48"/>
      <c r="CW763" s="48"/>
      <c r="CX763" s="48"/>
      <c r="CY763" s="48"/>
      <c r="CZ763" s="48"/>
      <c r="DA763" s="48"/>
      <c r="DB763" s="48"/>
      <c r="DC763" s="48"/>
      <c r="DD763" s="48"/>
      <c r="DE763" s="48"/>
      <c r="DF763" s="48"/>
      <c r="DG763" s="48"/>
      <c r="DH763" s="48"/>
      <c r="DI763" s="48"/>
      <c r="DJ763" s="48"/>
      <c r="DK763" s="48"/>
      <c r="DL763" s="48"/>
      <c r="DM763" s="48"/>
      <c r="DN763" s="48"/>
      <c r="DO763" s="48"/>
      <c r="DP763" s="48"/>
      <c r="DQ763" s="48"/>
      <c r="DR763" s="48"/>
      <c r="DS763" s="48"/>
    </row>
    <row r="764" spans="1:123" ht="15">
      <c r="A764"/>
      <c r="B764"/>
      <c r="C764"/>
      <c r="D764"/>
      <c r="E764"/>
      <c r="F764"/>
      <c r="G764"/>
      <c r="H764"/>
      <c r="I764"/>
      <c r="J764"/>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c r="BO764" s="48"/>
      <c r="BP764" s="48"/>
      <c r="BQ764" s="48"/>
      <c r="BR764" s="48"/>
      <c r="BS764" s="48"/>
      <c r="BT764" s="48"/>
      <c r="BU764" s="48"/>
      <c r="BV764" s="48"/>
      <c r="BW764" s="48"/>
      <c r="BX764" s="48"/>
      <c r="BY764" s="48"/>
      <c r="BZ764" s="48"/>
      <c r="CA764" s="48"/>
      <c r="CB764" s="48"/>
      <c r="CC764" s="48"/>
      <c r="CD764" s="48"/>
      <c r="CE764" s="48"/>
      <c r="CF764" s="48"/>
      <c r="CG764" s="48"/>
      <c r="CH764" s="48"/>
      <c r="CI764" s="48"/>
      <c r="CJ764" s="48"/>
      <c r="CK764" s="48"/>
      <c r="CL764" s="48"/>
      <c r="CM764" s="48"/>
      <c r="CN764" s="48"/>
      <c r="CO764" s="48"/>
      <c r="CP764" s="48"/>
      <c r="CQ764" s="48"/>
      <c r="CR764" s="48"/>
      <c r="CS764" s="48"/>
      <c r="CT764" s="48"/>
      <c r="CU764" s="48"/>
      <c r="CV764" s="48"/>
      <c r="CW764" s="48"/>
      <c r="CX764" s="48"/>
      <c r="CY764" s="48"/>
      <c r="CZ764" s="48"/>
      <c r="DA764" s="48"/>
      <c r="DB764" s="48"/>
      <c r="DC764" s="48"/>
      <c r="DD764" s="48"/>
      <c r="DE764" s="48"/>
      <c r="DF764" s="48"/>
      <c r="DG764" s="48"/>
      <c r="DH764" s="48"/>
      <c r="DI764" s="48"/>
      <c r="DJ764" s="48"/>
      <c r="DK764" s="48"/>
      <c r="DL764" s="48"/>
      <c r="DM764" s="48"/>
      <c r="DN764" s="48"/>
      <c r="DO764" s="48"/>
      <c r="DP764" s="48"/>
      <c r="DQ764" s="48"/>
      <c r="DR764" s="48"/>
      <c r="DS764" s="48"/>
    </row>
    <row r="765" spans="1:123" ht="15">
      <c r="A765"/>
      <c r="B765"/>
      <c r="C765"/>
      <c r="D765"/>
      <c r="E765"/>
      <c r="F765"/>
      <c r="G765"/>
      <c r="H765"/>
      <c r="I765"/>
      <c r="J765"/>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48"/>
      <c r="BH765" s="48"/>
      <c r="BI765" s="48"/>
      <c r="BJ765" s="48"/>
      <c r="BK765" s="48"/>
      <c r="BL765" s="48"/>
      <c r="BM765" s="48"/>
      <c r="BN765" s="48"/>
      <c r="BO765" s="48"/>
      <c r="BP765" s="48"/>
      <c r="BQ765" s="48"/>
      <c r="BR765" s="48"/>
      <c r="BS765" s="48"/>
      <c r="BT765" s="48"/>
      <c r="BU765" s="48"/>
      <c r="BV765" s="48"/>
      <c r="BW765" s="48"/>
      <c r="BX765" s="48"/>
      <c r="BY765" s="48"/>
      <c r="BZ765" s="48"/>
      <c r="CA765" s="48"/>
      <c r="CB765" s="48"/>
      <c r="CC765" s="48"/>
      <c r="CD765" s="48"/>
      <c r="CE765" s="48"/>
      <c r="CF765" s="48"/>
      <c r="CG765" s="48"/>
      <c r="CH765" s="48"/>
      <c r="CI765" s="48"/>
      <c r="CJ765" s="48"/>
      <c r="CK765" s="48"/>
      <c r="CL765" s="48"/>
      <c r="CM765" s="48"/>
      <c r="CN765" s="48"/>
      <c r="CO765" s="48"/>
      <c r="CP765" s="48"/>
      <c r="CQ765" s="48"/>
      <c r="CR765" s="48"/>
      <c r="CS765" s="48"/>
      <c r="CT765" s="48"/>
      <c r="CU765" s="48"/>
      <c r="CV765" s="48"/>
      <c r="CW765" s="48"/>
      <c r="CX765" s="48"/>
      <c r="CY765" s="48"/>
      <c r="CZ765" s="48"/>
      <c r="DA765" s="48"/>
      <c r="DB765" s="48"/>
      <c r="DC765" s="48"/>
      <c r="DD765" s="48"/>
      <c r="DE765" s="48"/>
      <c r="DF765" s="48"/>
      <c r="DG765" s="48"/>
      <c r="DH765" s="48"/>
      <c r="DI765" s="48"/>
      <c r="DJ765" s="48"/>
      <c r="DK765" s="48"/>
      <c r="DL765" s="48"/>
      <c r="DM765" s="48"/>
      <c r="DN765" s="48"/>
      <c r="DO765" s="48"/>
      <c r="DP765" s="48"/>
      <c r="DQ765" s="48"/>
      <c r="DR765" s="48"/>
      <c r="DS765" s="48"/>
    </row>
    <row r="766" spans="1:123" ht="15">
      <c r="A766"/>
      <c r="B766"/>
      <c r="C766"/>
      <c r="D766"/>
      <c r="E766"/>
      <c r="F766"/>
      <c r="G766"/>
      <c r="H766"/>
      <c r="I766"/>
      <c r="J766"/>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48"/>
      <c r="BH766" s="48"/>
      <c r="BI766" s="48"/>
      <c r="BJ766" s="48"/>
      <c r="BK766" s="48"/>
      <c r="BL766" s="48"/>
      <c r="BM766" s="48"/>
      <c r="BN766" s="48"/>
      <c r="BO766" s="48"/>
      <c r="BP766" s="48"/>
      <c r="BQ766" s="48"/>
      <c r="BR766" s="48"/>
      <c r="BS766" s="48"/>
      <c r="BT766" s="48"/>
      <c r="BU766" s="48"/>
      <c r="BV766" s="48"/>
      <c r="BW766" s="48"/>
      <c r="BX766" s="48"/>
      <c r="BY766" s="48"/>
      <c r="BZ766" s="48"/>
      <c r="CA766" s="48"/>
      <c r="CB766" s="48"/>
      <c r="CC766" s="48"/>
      <c r="CD766" s="48"/>
      <c r="CE766" s="48"/>
      <c r="CF766" s="48"/>
      <c r="CG766" s="48"/>
      <c r="CH766" s="48"/>
      <c r="CI766" s="48"/>
      <c r="CJ766" s="48"/>
      <c r="CK766" s="48"/>
      <c r="CL766" s="48"/>
      <c r="CM766" s="48"/>
      <c r="CN766" s="48"/>
      <c r="CO766" s="48"/>
      <c r="CP766" s="48"/>
      <c r="CQ766" s="48"/>
      <c r="CR766" s="48"/>
      <c r="CS766" s="48"/>
      <c r="CT766" s="48"/>
      <c r="CU766" s="48"/>
      <c r="CV766" s="48"/>
      <c r="CW766" s="48"/>
      <c r="CX766" s="48"/>
      <c r="CY766" s="48"/>
      <c r="CZ766" s="48"/>
      <c r="DA766" s="48"/>
      <c r="DB766" s="48"/>
      <c r="DC766" s="48"/>
      <c r="DD766" s="48"/>
      <c r="DE766" s="48"/>
      <c r="DF766" s="48"/>
      <c r="DG766" s="48"/>
      <c r="DH766" s="48"/>
      <c r="DI766" s="48"/>
      <c r="DJ766" s="48"/>
      <c r="DK766" s="48"/>
      <c r="DL766" s="48"/>
      <c r="DM766" s="48"/>
      <c r="DN766" s="48"/>
      <c r="DO766" s="48"/>
      <c r="DP766" s="48"/>
      <c r="DQ766" s="48"/>
      <c r="DR766" s="48"/>
      <c r="DS766" s="48"/>
    </row>
    <row r="767" spans="1:123" ht="15">
      <c r="A767"/>
      <c r="B767"/>
      <c r="C767"/>
      <c r="D767"/>
      <c r="E767"/>
      <c r="F767"/>
      <c r="G767"/>
      <c r="H767"/>
      <c r="I767"/>
      <c r="J767"/>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48"/>
      <c r="BJ767" s="48"/>
      <c r="BK767" s="48"/>
      <c r="BL767" s="48"/>
      <c r="BM767" s="48"/>
      <c r="BN767" s="48"/>
      <c r="BO767" s="48"/>
      <c r="BP767" s="48"/>
      <c r="BQ767" s="48"/>
      <c r="BR767" s="48"/>
      <c r="BS767" s="48"/>
      <c r="BT767" s="48"/>
      <c r="BU767" s="48"/>
      <c r="BV767" s="48"/>
      <c r="BW767" s="48"/>
      <c r="BX767" s="48"/>
      <c r="BY767" s="48"/>
      <c r="BZ767" s="48"/>
      <c r="CA767" s="48"/>
      <c r="CB767" s="48"/>
      <c r="CC767" s="48"/>
      <c r="CD767" s="48"/>
      <c r="CE767" s="48"/>
      <c r="CF767" s="48"/>
      <c r="CG767" s="48"/>
      <c r="CH767" s="48"/>
      <c r="CI767" s="48"/>
      <c r="CJ767" s="48"/>
      <c r="CK767" s="48"/>
      <c r="CL767" s="48"/>
      <c r="CM767" s="48"/>
      <c r="CN767" s="48"/>
      <c r="CO767" s="48"/>
      <c r="CP767" s="48"/>
      <c r="CQ767" s="48"/>
      <c r="CR767" s="48"/>
      <c r="CS767" s="48"/>
      <c r="CT767" s="48"/>
      <c r="CU767" s="48"/>
      <c r="CV767" s="48"/>
      <c r="CW767" s="48"/>
      <c r="CX767" s="48"/>
      <c r="CY767" s="48"/>
      <c r="CZ767" s="48"/>
      <c r="DA767" s="48"/>
      <c r="DB767" s="48"/>
      <c r="DC767" s="48"/>
      <c r="DD767" s="48"/>
      <c r="DE767" s="48"/>
      <c r="DF767" s="48"/>
      <c r="DG767" s="48"/>
      <c r="DH767" s="48"/>
      <c r="DI767" s="48"/>
      <c r="DJ767" s="48"/>
      <c r="DK767" s="48"/>
      <c r="DL767" s="48"/>
      <c r="DM767" s="48"/>
      <c r="DN767" s="48"/>
      <c r="DO767" s="48"/>
      <c r="DP767" s="48"/>
      <c r="DQ767" s="48"/>
      <c r="DR767" s="48"/>
      <c r="DS767" s="48"/>
    </row>
    <row r="768" spans="1:123" ht="15">
      <c r="A768"/>
      <c r="B768"/>
      <c r="C768"/>
      <c r="D768"/>
      <c r="E768"/>
      <c r="F768"/>
      <c r="G768"/>
      <c r="H768"/>
      <c r="I768"/>
      <c r="J76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c r="BS768" s="48"/>
      <c r="BT768" s="48"/>
      <c r="BU768" s="48"/>
      <c r="BV768" s="48"/>
      <c r="BW768" s="48"/>
      <c r="BX768" s="48"/>
      <c r="BY768" s="48"/>
      <c r="BZ768" s="48"/>
      <c r="CA768" s="48"/>
      <c r="CB768" s="48"/>
      <c r="CC768" s="48"/>
      <c r="CD768" s="48"/>
      <c r="CE768" s="48"/>
      <c r="CF768" s="48"/>
      <c r="CG768" s="48"/>
      <c r="CH768" s="48"/>
      <c r="CI768" s="48"/>
      <c r="CJ768" s="48"/>
      <c r="CK768" s="48"/>
      <c r="CL768" s="48"/>
      <c r="CM768" s="48"/>
      <c r="CN768" s="48"/>
      <c r="CO768" s="48"/>
      <c r="CP768" s="48"/>
      <c r="CQ768" s="48"/>
      <c r="CR768" s="48"/>
      <c r="CS768" s="48"/>
      <c r="CT768" s="48"/>
      <c r="CU768" s="48"/>
      <c r="CV768" s="48"/>
      <c r="CW768" s="48"/>
      <c r="CX768" s="48"/>
      <c r="CY768" s="48"/>
      <c r="CZ768" s="48"/>
      <c r="DA768" s="48"/>
      <c r="DB768" s="48"/>
      <c r="DC768" s="48"/>
      <c r="DD768" s="48"/>
      <c r="DE768" s="48"/>
      <c r="DF768" s="48"/>
      <c r="DG768" s="48"/>
      <c r="DH768" s="48"/>
      <c r="DI768" s="48"/>
      <c r="DJ768" s="48"/>
      <c r="DK768" s="48"/>
      <c r="DL768" s="48"/>
      <c r="DM768" s="48"/>
      <c r="DN768" s="48"/>
      <c r="DO768" s="48"/>
      <c r="DP768" s="48"/>
      <c r="DQ768" s="48"/>
      <c r="DR768" s="48"/>
      <c r="DS768" s="48"/>
    </row>
    <row r="769" spans="1:123" ht="15">
      <c r="A769"/>
      <c r="B769"/>
      <c r="C769"/>
      <c r="D769"/>
      <c r="E769"/>
      <c r="F769"/>
      <c r="G769"/>
      <c r="H769"/>
      <c r="I769"/>
      <c r="J769"/>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c r="BM769" s="48"/>
      <c r="BN769" s="48"/>
      <c r="BO769" s="48"/>
      <c r="BP769" s="48"/>
      <c r="BQ769" s="48"/>
      <c r="BR769" s="48"/>
      <c r="BS769" s="48"/>
      <c r="BT769" s="48"/>
      <c r="BU769" s="48"/>
      <c r="BV769" s="48"/>
      <c r="BW769" s="48"/>
      <c r="BX769" s="48"/>
      <c r="BY769" s="48"/>
      <c r="BZ769" s="48"/>
      <c r="CA769" s="48"/>
      <c r="CB769" s="48"/>
      <c r="CC769" s="48"/>
      <c r="CD769" s="48"/>
      <c r="CE769" s="48"/>
      <c r="CF769" s="48"/>
      <c r="CG769" s="48"/>
      <c r="CH769" s="48"/>
      <c r="CI769" s="48"/>
      <c r="CJ769" s="48"/>
      <c r="CK769" s="48"/>
      <c r="CL769" s="48"/>
      <c r="CM769" s="48"/>
      <c r="CN769" s="48"/>
      <c r="CO769" s="48"/>
      <c r="CP769" s="48"/>
      <c r="CQ769" s="48"/>
      <c r="CR769" s="48"/>
      <c r="CS769" s="48"/>
      <c r="CT769" s="48"/>
      <c r="CU769" s="48"/>
      <c r="CV769" s="48"/>
      <c r="CW769" s="48"/>
      <c r="CX769" s="48"/>
      <c r="CY769" s="48"/>
      <c r="CZ769" s="48"/>
      <c r="DA769" s="48"/>
      <c r="DB769" s="48"/>
      <c r="DC769" s="48"/>
      <c r="DD769" s="48"/>
      <c r="DE769" s="48"/>
      <c r="DF769" s="48"/>
      <c r="DG769" s="48"/>
      <c r="DH769" s="48"/>
      <c r="DI769" s="48"/>
      <c r="DJ769" s="48"/>
      <c r="DK769" s="48"/>
      <c r="DL769" s="48"/>
      <c r="DM769" s="48"/>
      <c r="DN769" s="48"/>
      <c r="DO769" s="48"/>
      <c r="DP769" s="48"/>
      <c r="DQ769" s="48"/>
      <c r="DR769" s="48"/>
      <c r="DS769" s="48"/>
    </row>
    <row r="770" spans="1:123" ht="15">
      <c r="A770"/>
      <c r="B770"/>
      <c r="C770"/>
      <c r="D770"/>
      <c r="E770"/>
      <c r="F770"/>
      <c r="G770"/>
      <c r="H770"/>
      <c r="I770"/>
      <c r="J770"/>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48"/>
      <c r="BJ770" s="48"/>
      <c r="BK770" s="48"/>
      <c r="BL770" s="48"/>
      <c r="BM770" s="48"/>
      <c r="BN770" s="48"/>
      <c r="BO770" s="48"/>
      <c r="BP770" s="48"/>
      <c r="BQ770" s="48"/>
      <c r="BR770" s="48"/>
      <c r="BS770" s="48"/>
      <c r="BT770" s="48"/>
      <c r="BU770" s="48"/>
      <c r="BV770" s="48"/>
      <c r="BW770" s="48"/>
      <c r="BX770" s="48"/>
      <c r="BY770" s="48"/>
      <c r="BZ770" s="48"/>
      <c r="CA770" s="48"/>
      <c r="CB770" s="48"/>
      <c r="CC770" s="48"/>
      <c r="CD770" s="48"/>
      <c r="CE770" s="48"/>
      <c r="CF770" s="48"/>
      <c r="CG770" s="48"/>
      <c r="CH770" s="48"/>
      <c r="CI770" s="48"/>
      <c r="CJ770" s="48"/>
      <c r="CK770" s="48"/>
      <c r="CL770" s="48"/>
      <c r="CM770" s="48"/>
      <c r="CN770" s="48"/>
      <c r="CO770" s="48"/>
      <c r="CP770" s="48"/>
      <c r="CQ770" s="48"/>
      <c r="CR770" s="48"/>
      <c r="CS770" s="48"/>
      <c r="CT770" s="48"/>
      <c r="CU770" s="48"/>
      <c r="CV770" s="48"/>
      <c r="CW770" s="48"/>
      <c r="CX770" s="48"/>
      <c r="CY770" s="48"/>
      <c r="CZ770" s="48"/>
      <c r="DA770" s="48"/>
      <c r="DB770" s="48"/>
      <c r="DC770" s="48"/>
      <c r="DD770" s="48"/>
      <c r="DE770" s="48"/>
      <c r="DF770" s="48"/>
      <c r="DG770" s="48"/>
      <c r="DH770" s="48"/>
      <c r="DI770" s="48"/>
      <c r="DJ770" s="48"/>
      <c r="DK770" s="48"/>
      <c r="DL770" s="48"/>
      <c r="DM770" s="48"/>
      <c r="DN770" s="48"/>
      <c r="DO770" s="48"/>
      <c r="DP770" s="48"/>
      <c r="DQ770" s="48"/>
      <c r="DR770" s="48"/>
      <c r="DS770" s="48"/>
    </row>
    <row r="771" spans="1:123" ht="15">
      <c r="A771"/>
      <c r="B771"/>
      <c r="C771"/>
      <c r="D771"/>
      <c r="E771"/>
      <c r="F771"/>
      <c r="G771"/>
      <c r="H771"/>
      <c r="I771"/>
      <c r="J771"/>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48"/>
      <c r="BH771" s="48"/>
      <c r="BI771" s="48"/>
      <c r="BJ771" s="48"/>
      <c r="BK771" s="48"/>
      <c r="BL771" s="48"/>
      <c r="BM771" s="48"/>
      <c r="BN771" s="48"/>
      <c r="BO771" s="48"/>
      <c r="BP771" s="48"/>
      <c r="BQ771" s="48"/>
      <c r="BR771" s="48"/>
      <c r="BS771" s="48"/>
      <c r="BT771" s="48"/>
      <c r="BU771" s="48"/>
      <c r="BV771" s="48"/>
      <c r="BW771" s="48"/>
      <c r="BX771" s="48"/>
      <c r="BY771" s="48"/>
      <c r="BZ771" s="48"/>
      <c r="CA771" s="48"/>
      <c r="CB771" s="48"/>
      <c r="CC771" s="48"/>
      <c r="CD771" s="48"/>
      <c r="CE771" s="48"/>
      <c r="CF771" s="48"/>
      <c r="CG771" s="48"/>
      <c r="CH771" s="48"/>
      <c r="CI771" s="48"/>
      <c r="CJ771" s="48"/>
      <c r="CK771" s="48"/>
      <c r="CL771" s="48"/>
      <c r="CM771" s="48"/>
      <c r="CN771" s="48"/>
      <c r="CO771" s="48"/>
      <c r="CP771" s="48"/>
      <c r="CQ771" s="48"/>
      <c r="CR771" s="48"/>
      <c r="CS771" s="48"/>
      <c r="CT771" s="48"/>
      <c r="CU771" s="48"/>
      <c r="CV771" s="48"/>
      <c r="CW771" s="48"/>
      <c r="CX771" s="48"/>
      <c r="CY771" s="48"/>
      <c r="CZ771" s="48"/>
      <c r="DA771" s="48"/>
      <c r="DB771" s="48"/>
      <c r="DC771" s="48"/>
      <c r="DD771" s="48"/>
      <c r="DE771" s="48"/>
      <c r="DF771" s="48"/>
      <c r="DG771" s="48"/>
      <c r="DH771" s="48"/>
      <c r="DI771" s="48"/>
      <c r="DJ771" s="48"/>
      <c r="DK771" s="48"/>
      <c r="DL771" s="48"/>
      <c r="DM771" s="48"/>
      <c r="DN771" s="48"/>
      <c r="DO771" s="48"/>
      <c r="DP771" s="48"/>
      <c r="DQ771" s="48"/>
      <c r="DR771" s="48"/>
      <c r="DS771" s="48"/>
    </row>
    <row r="772" spans="1:123" ht="15">
      <c r="A772"/>
      <c r="B772"/>
      <c r="C772"/>
      <c r="D772"/>
      <c r="E772"/>
      <c r="F772"/>
      <c r="G772"/>
      <c r="H772"/>
      <c r="I772"/>
      <c r="J772"/>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48"/>
      <c r="BH772" s="48"/>
      <c r="BI772" s="48"/>
      <c r="BJ772" s="48"/>
      <c r="BK772" s="48"/>
      <c r="BL772" s="48"/>
      <c r="BM772" s="48"/>
      <c r="BN772" s="48"/>
      <c r="BO772" s="48"/>
      <c r="BP772" s="48"/>
      <c r="BQ772" s="48"/>
      <c r="BR772" s="48"/>
      <c r="BS772" s="48"/>
      <c r="BT772" s="48"/>
      <c r="BU772" s="48"/>
      <c r="BV772" s="48"/>
      <c r="BW772" s="48"/>
      <c r="BX772" s="48"/>
      <c r="BY772" s="48"/>
      <c r="BZ772" s="48"/>
      <c r="CA772" s="48"/>
      <c r="CB772" s="48"/>
      <c r="CC772" s="48"/>
      <c r="CD772" s="48"/>
      <c r="CE772" s="48"/>
      <c r="CF772" s="48"/>
      <c r="CG772" s="48"/>
      <c r="CH772" s="48"/>
      <c r="CI772" s="48"/>
      <c r="CJ772" s="48"/>
      <c r="CK772" s="48"/>
      <c r="CL772" s="48"/>
      <c r="CM772" s="48"/>
      <c r="CN772" s="48"/>
      <c r="CO772" s="48"/>
      <c r="CP772" s="48"/>
      <c r="CQ772" s="48"/>
      <c r="CR772" s="48"/>
      <c r="CS772" s="48"/>
      <c r="CT772" s="48"/>
      <c r="CU772" s="48"/>
      <c r="CV772" s="48"/>
      <c r="CW772" s="48"/>
      <c r="CX772" s="48"/>
      <c r="CY772" s="48"/>
      <c r="CZ772" s="48"/>
      <c r="DA772" s="48"/>
      <c r="DB772" s="48"/>
      <c r="DC772" s="48"/>
      <c r="DD772" s="48"/>
      <c r="DE772" s="48"/>
      <c r="DF772" s="48"/>
      <c r="DG772" s="48"/>
      <c r="DH772" s="48"/>
      <c r="DI772" s="48"/>
      <c r="DJ772" s="48"/>
      <c r="DK772" s="48"/>
      <c r="DL772" s="48"/>
      <c r="DM772" s="48"/>
      <c r="DN772" s="48"/>
      <c r="DO772" s="48"/>
      <c r="DP772" s="48"/>
      <c r="DQ772" s="48"/>
      <c r="DR772" s="48"/>
      <c r="DS772" s="48"/>
    </row>
    <row r="773" spans="1:123" ht="15">
      <c r="A773"/>
      <c r="B773"/>
      <c r="C773"/>
      <c r="D773"/>
      <c r="E773"/>
      <c r="F773"/>
      <c r="G773"/>
      <c r="H773"/>
      <c r="I773"/>
      <c r="J773"/>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c r="BS773" s="48"/>
      <c r="BT773" s="48"/>
      <c r="BU773" s="48"/>
      <c r="BV773" s="48"/>
      <c r="BW773" s="48"/>
      <c r="BX773" s="48"/>
      <c r="BY773" s="48"/>
      <c r="BZ773" s="48"/>
      <c r="CA773" s="48"/>
      <c r="CB773" s="48"/>
      <c r="CC773" s="48"/>
      <c r="CD773" s="48"/>
      <c r="CE773" s="48"/>
      <c r="CF773" s="48"/>
      <c r="CG773" s="48"/>
      <c r="CH773" s="48"/>
      <c r="CI773" s="48"/>
      <c r="CJ773" s="48"/>
      <c r="CK773" s="48"/>
      <c r="CL773" s="48"/>
      <c r="CM773" s="48"/>
      <c r="CN773" s="48"/>
      <c r="CO773" s="48"/>
      <c r="CP773" s="48"/>
      <c r="CQ773" s="48"/>
      <c r="CR773" s="48"/>
      <c r="CS773" s="48"/>
      <c r="CT773" s="48"/>
      <c r="CU773" s="48"/>
      <c r="CV773" s="48"/>
      <c r="CW773" s="48"/>
      <c r="CX773" s="48"/>
      <c r="CY773" s="48"/>
      <c r="CZ773" s="48"/>
      <c r="DA773" s="48"/>
      <c r="DB773" s="48"/>
      <c r="DC773" s="48"/>
      <c r="DD773" s="48"/>
      <c r="DE773" s="48"/>
      <c r="DF773" s="48"/>
      <c r="DG773" s="48"/>
      <c r="DH773" s="48"/>
      <c r="DI773" s="48"/>
      <c r="DJ773" s="48"/>
      <c r="DK773" s="48"/>
      <c r="DL773" s="48"/>
      <c r="DM773" s="48"/>
      <c r="DN773" s="48"/>
      <c r="DO773" s="48"/>
      <c r="DP773" s="48"/>
      <c r="DQ773" s="48"/>
      <c r="DR773" s="48"/>
      <c r="DS773" s="48"/>
    </row>
    <row r="774" spans="1:123" ht="15">
      <c r="A774"/>
      <c r="B774"/>
      <c r="C774"/>
      <c r="D774"/>
      <c r="E774"/>
      <c r="F774"/>
      <c r="G774"/>
      <c r="H774"/>
      <c r="I774"/>
      <c r="J774"/>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c r="BM774" s="48"/>
      <c r="BN774" s="48"/>
      <c r="BO774" s="48"/>
      <c r="BP774" s="48"/>
      <c r="BQ774" s="48"/>
      <c r="BR774" s="48"/>
      <c r="BS774" s="48"/>
      <c r="BT774" s="48"/>
      <c r="BU774" s="48"/>
      <c r="BV774" s="48"/>
      <c r="BW774" s="48"/>
      <c r="BX774" s="48"/>
      <c r="BY774" s="48"/>
      <c r="BZ774" s="48"/>
      <c r="CA774" s="48"/>
      <c r="CB774" s="48"/>
      <c r="CC774" s="48"/>
      <c r="CD774" s="48"/>
      <c r="CE774" s="48"/>
      <c r="CF774" s="48"/>
      <c r="CG774" s="48"/>
      <c r="CH774" s="48"/>
      <c r="CI774" s="48"/>
      <c r="CJ774" s="48"/>
      <c r="CK774" s="48"/>
      <c r="CL774" s="48"/>
      <c r="CM774" s="48"/>
      <c r="CN774" s="48"/>
      <c r="CO774" s="48"/>
      <c r="CP774" s="48"/>
      <c r="CQ774" s="48"/>
      <c r="CR774" s="48"/>
      <c r="CS774" s="48"/>
      <c r="CT774" s="48"/>
      <c r="CU774" s="48"/>
      <c r="CV774" s="48"/>
      <c r="CW774" s="48"/>
      <c r="CX774" s="48"/>
      <c r="CY774" s="48"/>
      <c r="CZ774" s="48"/>
      <c r="DA774" s="48"/>
      <c r="DB774" s="48"/>
      <c r="DC774" s="48"/>
      <c r="DD774" s="48"/>
      <c r="DE774" s="48"/>
      <c r="DF774" s="48"/>
      <c r="DG774" s="48"/>
      <c r="DH774" s="48"/>
      <c r="DI774" s="48"/>
      <c r="DJ774" s="48"/>
      <c r="DK774" s="48"/>
      <c r="DL774" s="48"/>
      <c r="DM774" s="48"/>
      <c r="DN774" s="48"/>
      <c r="DO774" s="48"/>
      <c r="DP774" s="48"/>
      <c r="DQ774" s="48"/>
      <c r="DR774" s="48"/>
      <c r="DS774" s="48"/>
    </row>
    <row r="775" spans="1:123" ht="15">
      <c r="A775"/>
      <c r="B775"/>
      <c r="C775"/>
      <c r="D775"/>
      <c r="E775"/>
      <c r="F775"/>
      <c r="G775"/>
      <c r="H775"/>
      <c r="I775"/>
      <c r="J775"/>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48"/>
      <c r="BJ775" s="48"/>
      <c r="BK775" s="48"/>
      <c r="BL775" s="48"/>
      <c r="BM775" s="48"/>
      <c r="BN775" s="48"/>
      <c r="BO775" s="48"/>
      <c r="BP775" s="48"/>
      <c r="BQ775" s="48"/>
      <c r="BR775" s="48"/>
      <c r="BS775" s="48"/>
      <c r="BT775" s="48"/>
      <c r="BU775" s="48"/>
      <c r="BV775" s="48"/>
      <c r="BW775" s="48"/>
      <c r="BX775" s="48"/>
      <c r="BY775" s="48"/>
      <c r="BZ775" s="48"/>
      <c r="CA775" s="48"/>
      <c r="CB775" s="48"/>
      <c r="CC775" s="48"/>
      <c r="CD775" s="48"/>
      <c r="CE775" s="48"/>
      <c r="CF775" s="48"/>
      <c r="CG775" s="48"/>
      <c r="CH775" s="48"/>
      <c r="CI775" s="48"/>
      <c r="CJ775" s="48"/>
      <c r="CK775" s="48"/>
      <c r="CL775" s="48"/>
      <c r="CM775" s="48"/>
      <c r="CN775" s="48"/>
      <c r="CO775" s="48"/>
      <c r="CP775" s="48"/>
      <c r="CQ775" s="48"/>
      <c r="CR775" s="48"/>
      <c r="CS775" s="48"/>
      <c r="CT775" s="48"/>
      <c r="CU775" s="48"/>
      <c r="CV775" s="48"/>
      <c r="CW775" s="48"/>
      <c r="CX775" s="48"/>
      <c r="CY775" s="48"/>
      <c r="CZ775" s="48"/>
      <c r="DA775" s="48"/>
      <c r="DB775" s="48"/>
      <c r="DC775" s="48"/>
      <c r="DD775" s="48"/>
      <c r="DE775" s="48"/>
      <c r="DF775" s="48"/>
      <c r="DG775" s="48"/>
      <c r="DH775" s="48"/>
      <c r="DI775" s="48"/>
      <c r="DJ775" s="48"/>
      <c r="DK775" s="48"/>
      <c r="DL775" s="48"/>
      <c r="DM775" s="48"/>
      <c r="DN775" s="48"/>
      <c r="DO775" s="48"/>
      <c r="DP775" s="48"/>
      <c r="DQ775" s="48"/>
      <c r="DR775" s="48"/>
      <c r="DS775" s="48"/>
    </row>
    <row r="776" spans="1:123" ht="15">
      <c r="A776"/>
      <c r="B776"/>
      <c r="C776"/>
      <c r="D776"/>
      <c r="E776"/>
      <c r="F776"/>
      <c r="G776"/>
      <c r="H776"/>
      <c r="I776"/>
      <c r="J776"/>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48"/>
      <c r="BJ776" s="48"/>
      <c r="BK776" s="48"/>
      <c r="BL776" s="48"/>
      <c r="BM776" s="48"/>
      <c r="BN776" s="48"/>
      <c r="BO776" s="48"/>
      <c r="BP776" s="48"/>
      <c r="BQ776" s="48"/>
      <c r="BR776" s="48"/>
      <c r="BS776" s="48"/>
      <c r="BT776" s="48"/>
      <c r="BU776" s="48"/>
      <c r="BV776" s="48"/>
      <c r="BW776" s="48"/>
      <c r="BX776" s="48"/>
      <c r="BY776" s="48"/>
      <c r="BZ776" s="48"/>
      <c r="CA776" s="48"/>
      <c r="CB776" s="48"/>
      <c r="CC776" s="48"/>
      <c r="CD776" s="48"/>
      <c r="CE776" s="48"/>
      <c r="CF776" s="48"/>
      <c r="CG776" s="48"/>
      <c r="CH776" s="48"/>
      <c r="CI776" s="48"/>
      <c r="CJ776" s="48"/>
      <c r="CK776" s="48"/>
      <c r="CL776" s="48"/>
      <c r="CM776" s="48"/>
      <c r="CN776" s="48"/>
      <c r="CO776" s="48"/>
      <c r="CP776" s="48"/>
      <c r="CQ776" s="48"/>
      <c r="CR776" s="48"/>
      <c r="CS776" s="48"/>
      <c r="CT776" s="48"/>
      <c r="CU776" s="48"/>
      <c r="CV776" s="48"/>
      <c r="CW776" s="48"/>
      <c r="CX776" s="48"/>
      <c r="CY776" s="48"/>
      <c r="CZ776" s="48"/>
      <c r="DA776" s="48"/>
      <c r="DB776" s="48"/>
      <c r="DC776" s="48"/>
      <c r="DD776" s="48"/>
      <c r="DE776" s="48"/>
      <c r="DF776" s="48"/>
      <c r="DG776" s="48"/>
      <c r="DH776" s="48"/>
      <c r="DI776" s="48"/>
      <c r="DJ776" s="48"/>
      <c r="DK776" s="48"/>
      <c r="DL776" s="48"/>
      <c r="DM776" s="48"/>
      <c r="DN776" s="48"/>
      <c r="DO776" s="48"/>
      <c r="DP776" s="48"/>
      <c r="DQ776" s="48"/>
      <c r="DR776" s="48"/>
      <c r="DS776" s="48"/>
    </row>
    <row r="777" spans="1:123" ht="15">
      <c r="A777"/>
      <c r="B777"/>
      <c r="C777"/>
      <c r="D777"/>
      <c r="E777"/>
      <c r="F777"/>
      <c r="G777"/>
      <c r="H777"/>
      <c r="I777"/>
      <c r="J777"/>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48"/>
      <c r="BH777" s="48"/>
      <c r="BI777" s="48"/>
      <c r="BJ777" s="48"/>
      <c r="BK777" s="48"/>
      <c r="BL777" s="48"/>
      <c r="BM777" s="48"/>
      <c r="BN777" s="48"/>
      <c r="BO777" s="48"/>
      <c r="BP777" s="48"/>
      <c r="BQ777" s="48"/>
      <c r="BR777" s="48"/>
      <c r="BS777" s="48"/>
      <c r="BT777" s="48"/>
      <c r="BU777" s="48"/>
      <c r="BV777" s="48"/>
      <c r="BW777" s="48"/>
      <c r="BX777" s="48"/>
      <c r="BY777" s="48"/>
      <c r="BZ777" s="48"/>
      <c r="CA777" s="48"/>
      <c r="CB777" s="48"/>
      <c r="CC777" s="48"/>
      <c r="CD777" s="48"/>
      <c r="CE777" s="48"/>
      <c r="CF777" s="48"/>
      <c r="CG777" s="48"/>
      <c r="CH777" s="48"/>
      <c r="CI777" s="48"/>
      <c r="CJ777" s="48"/>
      <c r="CK777" s="48"/>
      <c r="CL777" s="48"/>
      <c r="CM777" s="48"/>
      <c r="CN777" s="48"/>
      <c r="CO777" s="48"/>
      <c r="CP777" s="48"/>
      <c r="CQ777" s="48"/>
      <c r="CR777" s="48"/>
      <c r="CS777" s="48"/>
      <c r="CT777" s="48"/>
      <c r="CU777" s="48"/>
      <c r="CV777" s="48"/>
      <c r="CW777" s="48"/>
      <c r="CX777" s="48"/>
      <c r="CY777" s="48"/>
      <c r="CZ777" s="48"/>
      <c r="DA777" s="48"/>
      <c r="DB777" s="48"/>
      <c r="DC777" s="48"/>
      <c r="DD777" s="48"/>
      <c r="DE777" s="48"/>
      <c r="DF777" s="48"/>
      <c r="DG777" s="48"/>
      <c r="DH777" s="48"/>
      <c r="DI777" s="48"/>
      <c r="DJ777" s="48"/>
      <c r="DK777" s="48"/>
      <c r="DL777" s="48"/>
      <c r="DM777" s="48"/>
      <c r="DN777" s="48"/>
      <c r="DO777" s="48"/>
      <c r="DP777" s="48"/>
      <c r="DQ777" s="48"/>
      <c r="DR777" s="48"/>
      <c r="DS777" s="48"/>
    </row>
    <row r="778" spans="1:123" ht="15">
      <c r="A778"/>
      <c r="B778"/>
      <c r="C778"/>
      <c r="D778"/>
      <c r="E778"/>
      <c r="F778"/>
      <c r="G778"/>
      <c r="H778"/>
      <c r="I778"/>
      <c r="J77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48"/>
      <c r="BH778" s="48"/>
      <c r="BI778" s="48"/>
      <c r="BJ778" s="48"/>
      <c r="BK778" s="48"/>
      <c r="BL778" s="48"/>
      <c r="BM778" s="48"/>
      <c r="BN778" s="48"/>
      <c r="BO778" s="48"/>
      <c r="BP778" s="48"/>
      <c r="BQ778" s="48"/>
      <c r="BR778" s="48"/>
      <c r="BS778" s="48"/>
      <c r="BT778" s="48"/>
      <c r="BU778" s="48"/>
      <c r="BV778" s="48"/>
      <c r="BW778" s="48"/>
      <c r="BX778" s="48"/>
      <c r="BY778" s="48"/>
      <c r="BZ778" s="48"/>
      <c r="CA778" s="48"/>
      <c r="CB778" s="48"/>
      <c r="CC778" s="48"/>
      <c r="CD778" s="48"/>
      <c r="CE778" s="48"/>
      <c r="CF778" s="48"/>
      <c r="CG778" s="48"/>
      <c r="CH778" s="48"/>
      <c r="CI778" s="48"/>
      <c r="CJ778" s="48"/>
      <c r="CK778" s="48"/>
      <c r="CL778" s="48"/>
      <c r="CM778" s="48"/>
      <c r="CN778" s="48"/>
      <c r="CO778" s="48"/>
      <c r="CP778" s="48"/>
      <c r="CQ778" s="48"/>
      <c r="CR778" s="48"/>
      <c r="CS778" s="48"/>
      <c r="CT778" s="48"/>
      <c r="CU778" s="48"/>
      <c r="CV778" s="48"/>
      <c r="CW778" s="48"/>
      <c r="CX778" s="48"/>
      <c r="CY778" s="48"/>
      <c r="CZ778" s="48"/>
      <c r="DA778" s="48"/>
      <c r="DB778" s="48"/>
      <c r="DC778" s="48"/>
      <c r="DD778" s="48"/>
      <c r="DE778" s="48"/>
      <c r="DF778" s="48"/>
      <c r="DG778" s="48"/>
      <c r="DH778" s="48"/>
      <c r="DI778" s="48"/>
      <c r="DJ778" s="48"/>
      <c r="DK778" s="48"/>
      <c r="DL778" s="48"/>
      <c r="DM778" s="48"/>
      <c r="DN778" s="48"/>
      <c r="DO778" s="48"/>
      <c r="DP778" s="48"/>
      <c r="DQ778" s="48"/>
      <c r="DR778" s="48"/>
      <c r="DS778" s="48"/>
    </row>
    <row r="779" spans="1:123" ht="15">
      <c r="A779"/>
      <c r="B779"/>
      <c r="C779"/>
      <c r="D779"/>
      <c r="E779"/>
      <c r="F779"/>
      <c r="G779"/>
      <c r="H779"/>
      <c r="I779"/>
      <c r="J779"/>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48"/>
      <c r="BJ779" s="48"/>
      <c r="BK779" s="48"/>
      <c r="BL779" s="48"/>
      <c r="BM779" s="48"/>
      <c r="BN779" s="48"/>
      <c r="BO779" s="48"/>
      <c r="BP779" s="48"/>
      <c r="BQ779" s="48"/>
      <c r="BR779" s="48"/>
      <c r="BS779" s="48"/>
      <c r="BT779" s="48"/>
      <c r="BU779" s="48"/>
      <c r="BV779" s="48"/>
      <c r="BW779" s="48"/>
      <c r="BX779" s="48"/>
      <c r="BY779" s="48"/>
      <c r="BZ779" s="48"/>
      <c r="CA779" s="48"/>
      <c r="CB779" s="48"/>
      <c r="CC779" s="48"/>
      <c r="CD779" s="48"/>
      <c r="CE779" s="48"/>
      <c r="CF779" s="48"/>
      <c r="CG779" s="48"/>
      <c r="CH779" s="48"/>
      <c r="CI779" s="48"/>
      <c r="CJ779" s="48"/>
      <c r="CK779" s="48"/>
      <c r="CL779" s="48"/>
      <c r="CM779" s="48"/>
      <c r="CN779" s="48"/>
      <c r="CO779" s="48"/>
      <c r="CP779" s="48"/>
      <c r="CQ779" s="48"/>
      <c r="CR779" s="48"/>
      <c r="CS779" s="48"/>
      <c r="CT779" s="48"/>
      <c r="CU779" s="48"/>
      <c r="CV779" s="48"/>
      <c r="CW779" s="48"/>
      <c r="CX779" s="48"/>
      <c r="CY779" s="48"/>
      <c r="CZ779" s="48"/>
      <c r="DA779" s="48"/>
      <c r="DB779" s="48"/>
      <c r="DC779" s="48"/>
      <c r="DD779" s="48"/>
      <c r="DE779" s="48"/>
      <c r="DF779" s="48"/>
      <c r="DG779" s="48"/>
      <c r="DH779" s="48"/>
      <c r="DI779" s="48"/>
      <c r="DJ779" s="48"/>
      <c r="DK779" s="48"/>
      <c r="DL779" s="48"/>
      <c r="DM779" s="48"/>
      <c r="DN779" s="48"/>
      <c r="DO779" s="48"/>
      <c r="DP779" s="48"/>
      <c r="DQ779" s="48"/>
      <c r="DR779" s="48"/>
      <c r="DS779" s="48"/>
    </row>
    <row r="780" spans="1:123" ht="15">
      <c r="A780"/>
      <c r="B780"/>
      <c r="C780"/>
      <c r="D780"/>
      <c r="E780"/>
      <c r="F780"/>
      <c r="G780"/>
      <c r="H780"/>
      <c r="I780"/>
      <c r="J780"/>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c r="BS780" s="48"/>
      <c r="BT780" s="48"/>
      <c r="BU780" s="48"/>
      <c r="BV780" s="48"/>
      <c r="BW780" s="48"/>
      <c r="BX780" s="48"/>
      <c r="BY780" s="48"/>
      <c r="BZ780" s="48"/>
      <c r="CA780" s="48"/>
      <c r="CB780" s="48"/>
      <c r="CC780" s="48"/>
      <c r="CD780" s="48"/>
      <c r="CE780" s="48"/>
      <c r="CF780" s="48"/>
      <c r="CG780" s="48"/>
      <c r="CH780" s="48"/>
      <c r="CI780" s="48"/>
      <c r="CJ780" s="48"/>
      <c r="CK780" s="48"/>
      <c r="CL780" s="48"/>
      <c r="CM780" s="48"/>
      <c r="CN780" s="48"/>
      <c r="CO780" s="48"/>
      <c r="CP780" s="48"/>
      <c r="CQ780" s="48"/>
      <c r="CR780" s="48"/>
      <c r="CS780" s="48"/>
      <c r="CT780" s="48"/>
      <c r="CU780" s="48"/>
      <c r="CV780" s="48"/>
      <c r="CW780" s="48"/>
      <c r="CX780" s="48"/>
      <c r="CY780" s="48"/>
      <c r="CZ780" s="48"/>
      <c r="DA780" s="48"/>
      <c r="DB780" s="48"/>
      <c r="DC780" s="48"/>
      <c r="DD780" s="48"/>
      <c r="DE780" s="48"/>
      <c r="DF780" s="48"/>
      <c r="DG780" s="48"/>
      <c r="DH780" s="48"/>
      <c r="DI780" s="48"/>
      <c r="DJ780" s="48"/>
      <c r="DK780" s="48"/>
      <c r="DL780" s="48"/>
      <c r="DM780" s="48"/>
      <c r="DN780" s="48"/>
      <c r="DO780" s="48"/>
      <c r="DP780" s="48"/>
      <c r="DQ780" s="48"/>
      <c r="DR780" s="48"/>
      <c r="DS780" s="48"/>
    </row>
    <row r="781" spans="1:123" ht="15">
      <c r="A781"/>
      <c r="B781"/>
      <c r="C781"/>
      <c r="D781"/>
      <c r="E781"/>
      <c r="F781"/>
      <c r="G781"/>
      <c r="H781"/>
      <c r="I781"/>
      <c r="J781"/>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48"/>
      <c r="BH781" s="48"/>
      <c r="BI781" s="48"/>
      <c r="BJ781" s="48"/>
      <c r="BK781" s="48"/>
      <c r="BL781" s="48"/>
      <c r="BM781" s="48"/>
      <c r="BN781" s="48"/>
      <c r="BO781" s="48"/>
      <c r="BP781" s="48"/>
      <c r="BQ781" s="48"/>
      <c r="BR781" s="48"/>
      <c r="BS781" s="48"/>
      <c r="BT781" s="48"/>
      <c r="BU781" s="48"/>
      <c r="BV781" s="48"/>
      <c r="BW781" s="48"/>
      <c r="BX781" s="48"/>
      <c r="BY781" s="48"/>
      <c r="BZ781" s="48"/>
      <c r="CA781" s="48"/>
      <c r="CB781" s="48"/>
      <c r="CC781" s="48"/>
      <c r="CD781" s="48"/>
      <c r="CE781" s="48"/>
      <c r="CF781" s="48"/>
      <c r="CG781" s="48"/>
      <c r="CH781" s="48"/>
      <c r="CI781" s="48"/>
      <c r="CJ781" s="48"/>
      <c r="CK781" s="48"/>
      <c r="CL781" s="48"/>
      <c r="CM781" s="48"/>
      <c r="CN781" s="48"/>
      <c r="CO781" s="48"/>
      <c r="CP781" s="48"/>
      <c r="CQ781" s="48"/>
      <c r="CR781" s="48"/>
      <c r="CS781" s="48"/>
      <c r="CT781" s="48"/>
      <c r="CU781" s="48"/>
      <c r="CV781" s="48"/>
      <c r="CW781" s="48"/>
      <c r="CX781" s="48"/>
      <c r="CY781" s="48"/>
      <c r="CZ781" s="48"/>
      <c r="DA781" s="48"/>
      <c r="DB781" s="48"/>
      <c r="DC781" s="48"/>
      <c r="DD781" s="48"/>
      <c r="DE781" s="48"/>
      <c r="DF781" s="48"/>
      <c r="DG781" s="48"/>
      <c r="DH781" s="48"/>
      <c r="DI781" s="48"/>
      <c r="DJ781" s="48"/>
      <c r="DK781" s="48"/>
      <c r="DL781" s="48"/>
      <c r="DM781" s="48"/>
      <c r="DN781" s="48"/>
      <c r="DO781" s="48"/>
      <c r="DP781" s="48"/>
      <c r="DQ781" s="48"/>
      <c r="DR781" s="48"/>
      <c r="DS781" s="48"/>
    </row>
    <row r="782" spans="1:123" ht="15">
      <c r="A782"/>
      <c r="B782"/>
      <c r="C782"/>
      <c r="D782"/>
      <c r="E782"/>
      <c r="F782"/>
      <c r="G782"/>
      <c r="H782"/>
      <c r="I782"/>
      <c r="J782"/>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48"/>
      <c r="BJ782" s="48"/>
      <c r="BK782" s="48"/>
      <c r="BL782" s="48"/>
      <c r="BM782" s="48"/>
      <c r="BN782" s="48"/>
      <c r="BO782" s="48"/>
      <c r="BP782" s="48"/>
      <c r="BQ782" s="48"/>
      <c r="BR782" s="48"/>
      <c r="BS782" s="48"/>
      <c r="BT782" s="48"/>
      <c r="BU782" s="48"/>
      <c r="BV782" s="48"/>
      <c r="BW782" s="48"/>
      <c r="BX782" s="48"/>
      <c r="BY782" s="48"/>
      <c r="BZ782" s="48"/>
      <c r="CA782" s="48"/>
      <c r="CB782" s="48"/>
      <c r="CC782" s="48"/>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c r="DB782" s="48"/>
      <c r="DC782" s="48"/>
      <c r="DD782" s="48"/>
      <c r="DE782" s="48"/>
      <c r="DF782" s="48"/>
      <c r="DG782" s="48"/>
      <c r="DH782" s="48"/>
      <c r="DI782" s="48"/>
      <c r="DJ782" s="48"/>
      <c r="DK782" s="48"/>
      <c r="DL782" s="48"/>
      <c r="DM782" s="48"/>
      <c r="DN782" s="48"/>
      <c r="DO782" s="48"/>
      <c r="DP782" s="48"/>
      <c r="DQ782" s="48"/>
      <c r="DR782" s="48"/>
      <c r="DS782" s="48"/>
    </row>
    <row r="783" spans="1:123" ht="15">
      <c r="A783"/>
      <c r="B783"/>
      <c r="C783"/>
      <c r="D783"/>
      <c r="E783"/>
      <c r="F783"/>
      <c r="G783"/>
      <c r="H783"/>
      <c r="I783"/>
      <c r="J783"/>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48"/>
      <c r="BH783" s="48"/>
      <c r="BI783" s="48"/>
      <c r="BJ783" s="48"/>
      <c r="BK783" s="48"/>
      <c r="BL783" s="48"/>
      <c r="BM783" s="48"/>
      <c r="BN783" s="48"/>
      <c r="BO783" s="48"/>
      <c r="BP783" s="48"/>
      <c r="BQ783" s="48"/>
      <c r="BR783" s="48"/>
      <c r="BS783" s="48"/>
      <c r="BT783" s="48"/>
      <c r="BU783" s="48"/>
      <c r="BV783" s="48"/>
      <c r="BW783" s="48"/>
      <c r="BX783" s="48"/>
      <c r="BY783" s="48"/>
      <c r="BZ783" s="48"/>
      <c r="CA783" s="48"/>
      <c r="CB783" s="48"/>
      <c r="CC783" s="48"/>
      <c r="CD783" s="48"/>
      <c r="CE783" s="48"/>
      <c r="CF783" s="48"/>
      <c r="CG783" s="48"/>
      <c r="CH783" s="48"/>
      <c r="CI783" s="48"/>
      <c r="CJ783" s="48"/>
      <c r="CK783" s="48"/>
      <c r="CL783" s="48"/>
      <c r="CM783" s="48"/>
      <c r="CN783" s="48"/>
      <c r="CO783" s="48"/>
      <c r="CP783" s="48"/>
      <c r="CQ783" s="48"/>
      <c r="CR783" s="48"/>
      <c r="CS783" s="48"/>
      <c r="CT783" s="48"/>
      <c r="CU783" s="48"/>
      <c r="CV783" s="48"/>
      <c r="CW783" s="48"/>
      <c r="CX783" s="48"/>
      <c r="CY783" s="48"/>
      <c r="CZ783" s="48"/>
      <c r="DA783" s="48"/>
      <c r="DB783" s="48"/>
      <c r="DC783" s="48"/>
      <c r="DD783" s="48"/>
      <c r="DE783" s="48"/>
      <c r="DF783" s="48"/>
      <c r="DG783" s="48"/>
      <c r="DH783" s="48"/>
      <c r="DI783" s="48"/>
      <c r="DJ783" s="48"/>
      <c r="DK783" s="48"/>
      <c r="DL783" s="48"/>
      <c r="DM783" s="48"/>
      <c r="DN783" s="48"/>
      <c r="DO783" s="48"/>
      <c r="DP783" s="48"/>
      <c r="DQ783" s="48"/>
      <c r="DR783" s="48"/>
      <c r="DS783" s="48"/>
    </row>
    <row r="784" spans="1:123" ht="15">
      <c r="A784"/>
      <c r="B784"/>
      <c r="C784"/>
      <c r="D784"/>
      <c r="E784"/>
      <c r="F784"/>
      <c r="G784"/>
      <c r="H784"/>
      <c r="I784"/>
      <c r="J784"/>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48"/>
      <c r="BH784" s="48"/>
      <c r="BI784" s="48"/>
      <c r="BJ784" s="48"/>
      <c r="BK784" s="48"/>
      <c r="BL784" s="48"/>
      <c r="BM784" s="48"/>
      <c r="BN784" s="48"/>
      <c r="BO784" s="48"/>
      <c r="BP784" s="48"/>
      <c r="BQ784" s="48"/>
      <c r="BR784" s="48"/>
      <c r="BS784" s="48"/>
      <c r="BT784" s="48"/>
      <c r="BU784" s="48"/>
      <c r="BV784" s="48"/>
      <c r="BW784" s="48"/>
      <c r="BX784" s="48"/>
      <c r="BY784" s="48"/>
      <c r="BZ784" s="48"/>
      <c r="CA784" s="48"/>
      <c r="CB784" s="48"/>
      <c r="CC784" s="48"/>
      <c r="CD784" s="48"/>
      <c r="CE784" s="48"/>
      <c r="CF784" s="48"/>
      <c r="CG784" s="48"/>
      <c r="CH784" s="48"/>
      <c r="CI784" s="48"/>
      <c r="CJ784" s="48"/>
      <c r="CK784" s="48"/>
      <c r="CL784" s="48"/>
      <c r="CM784" s="48"/>
      <c r="CN784" s="48"/>
      <c r="CO784" s="48"/>
      <c r="CP784" s="48"/>
      <c r="CQ784" s="48"/>
      <c r="CR784" s="48"/>
      <c r="CS784" s="48"/>
      <c r="CT784" s="48"/>
      <c r="CU784" s="48"/>
      <c r="CV784" s="48"/>
      <c r="CW784" s="48"/>
      <c r="CX784" s="48"/>
      <c r="CY784" s="48"/>
      <c r="CZ784" s="48"/>
      <c r="DA784" s="48"/>
      <c r="DB784" s="48"/>
      <c r="DC784" s="48"/>
      <c r="DD784" s="48"/>
      <c r="DE784" s="48"/>
      <c r="DF784" s="48"/>
      <c r="DG784" s="48"/>
      <c r="DH784" s="48"/>
      <c r="DI784" s="48"/>
      <c r="DJ784" s="48"/>
      <c r="DK784" s="48"/>
      <c r="DL784" s="48"/>
      <c r="DM784" s="48"/>
      <c r="DN784" s="48"/>
      <c r="DO784" s="48"/>
      <c r="DP784" s="48"/>
      <c r="DQ784" s="48"/>
      <c r="DR784" s="48"/>
      <c r="DS784" s="48"/>
    </row>
    <row r="785" spans="1:123" ht="15">
      <c r="A785"/>
      <c r="B785"/>
      <c r="C785"/>
      <c r="D785"/>
      <c r="E785"/>
      <c r="F785"/>
      <c r="G785"/>
      <c r="H785"/>
      <c r="I785"/>
      <c r="J785"/>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48"/>
      <c r="BH785" s="48"/>
      <c r="BI785" s="48"/>
      <c r="BJ785" s="48"/>
      <c r="BK785" s="48"/>
      <c r="BL785" s="48"/>
      <c r="BM785" s="48"/>
      <c r="BN785" s="48"/>
      <c r="BO785" s="48"/>
      <c r="BP785" s="48"/>
      <c r="BQ785" s="48"/>
      <c r="BR785" s="48"/>
      <c r="BS785" s="48"/>
      <c r="BT785" s="48"/>
      <c r="BU785" s="48"/>
      <c r="BV785" s="48"/>
      <c r="BW785" s="48"/>
      <c r="BX785" s="48"/>
      <c r="BY785" s="48"/>
      <c r="BZ785" s="48"/>
      <c r="CA785" s="48"/>
      <c r="CB785" s="48"/>
      <c r="CC785" s="48"/>
      <c r="CD785" s="48"/>
      <c r="CE785" s="48"/>
      <c r="CF785" s="48"/>
      <c r="CG785" s="48"/>
      <c r="CH785" s="48"/>
      <c r="CI785" s="48"/>
      <c r="CJ785" s="48"/>
      <c r="CK785" s="48"/>
      <c r="CL785" s="48"/>
      <c r="CM785" s="48"/>
      <c r="CN785" s="48"/>
      <c r="CO785" s="48"/>
      <c r="CP785" s="48"/>
      <c r="CQ785" s="48"/>
      <c r="CR785" s="48"/>
      <c r="CS785" s="48"/>
      <c r="CT785" s="48"/>
      <c r="CU785" s="48"/>
      <c r="CV785" s="48"/>
      <c r="CW785" s="48"/>
      <c r="CX785" s="48"/>
      <c r="CY785" s="48"/>
      <c r="CZ785" s="48"/>
      <c r="DA785" s="48"/>
      <c r="DB785" s="48"/>
      <c r="DC785" s="48"/>
      <c r="DD785" s="48"/>
      <c r="DE785" s="48"/>
      <c r="DF785" s="48"/>
      <c r="DG785" s="48"/>
      <c r="DH785" s="48"/>
      <c r="DI785" s="48"/>
      <c r="DJ785" s="48"/>
      <c r="DK785" s="48"/>
      <c r="DL785" s="48"/>
      <c r="DM785" s="48"/>
      <c r="DN785" s="48"/>
      <c r="DO785" s="48"/>
      <c r="DP785" s="48"/>
      <c r="DQ785" s="48"/>
      <c r="DR785" s="48"/>
      <c r="DS785" s="48"/>
    </row>
    <row r="786" spans="1:123" ht="15">
      <c r="A786"/>
      <c r="B786"/>
      <c r="C786"/>
      <c r="D786"/>
      <c r="E786"/>
      <c r="F786"/>
      <c r="G786"/>
      <c r="H786"/>
      <c r="I786"/>
      <c r="J786"/>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48"/>
      <c r="BH786" s="48"/>
      <c r="BI786" s="48"/>
      <c r="BJ786" s="48"/>
      <c r="BK786" s="48"/>
      <c r="BL786" s="48"/>
      <c r="BM786" s="48"/>
      <c r="BN786" s="48"/>
      <c r="BO786" s="48"/>
      <c r="BP786" s="48"/>
      <c r="BQ786" s="48"/>
      <c r="BR786" s="48"/>
      <c r="BS786" s="48"/>
      <c r="BT786" s="48"/>
      <c r="BU786" s="48"/>
      <c r="BV786" s="48"/>
      <c r="BW786" s="48"/>
      <c r="BX786" s="48"/>
      <c r="BY786" s="48"/>
      <c r="BZ786" s="48"/>
      <c r="CA786" s="48"/>
      <c r="CB786" s="48"/>
      <c r="CC786" s="48"/>
      <c r="CD786" s="48"/>
      <c r="CE786" s="48"/>
      <c r="CF786" s="48"/>
      <c r="CG786" s="48"/>
      <c r="CH786" s="48"/>
      <c r="CI786" s="48"/>
      <c r="CJ786" s="48"/>
      <c r="CK786" s="48"/>
      <c r="CL786" s="48"/>
      <c r="CM786" s="48"/>
      <c r="CN786" s="48"/>
      <c r="CO786" s="48"/>
      <c r="CP786" s="48"/>
      <c r="CQ786" s="48"/>
      <c r="CR786" s="48"/>
      <c r="CS786" s="48"/>
      <c r="CT786" s="48"/>
      <c r="CU786" s="48"/>
      <c r="CV786" s="48"/>
      <c r="CW786" s="48"/>
      <c r="CX786" s="48"/>
      <c r="CY786" s="48"/>
      <c r="CZ786" s="48"/>
      <c r="DA786" s="48"/>
      <c r="DB786" s="48"/>
      <c r="DC786" s="48"/>
      <c r="DD786" s="48"/>
      <c r="DE786" s="48"/>
      <c r="DF786" s="48"/>
      <c r="DG786" s="48"/>
      <c r="DH786" s="48"/>
      <c r="DI786" s="48"/>
      <c r="DJ786" s="48"/>
      <c r="DK786" s="48"/>
      <c r="DL786" s="48"/>
      <c r="DM786" s="48"/>
      <c r="DN786" s="48"/>
      <c r="DO786" s="48"/>
      <c r="DP786" s="48"/>
      <c r="DQ786" s="48"/>
      <c r="DR786" s="48"/>
      <c r="DS786" s="48"/>
    </row>
    <row r="787" spans="1:123" ht="15">
      <c r="A787"/>
      <c r="B787"/>
      <c r="C787"/>
      <c r="D787"/>
      <c r="E787"/>
      <c r="F787"/>
      <c r="G787"/>
      <c r="H787"/>
      <c r="I787"/>
      <c r="J787"/>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48"/>
      <c r="BH787" s="48"/>
      <c r="BI787" s="48"/>
      <c r="BJ787" s="48"/>
      <c r="BK787" s="48"/>
      <c r="BL787" s="48"/>
      <c r="BM787" s="48"/>
      <c r="BN787" s="48"/>
      <c r="BO787" s="48"/>
      <c r="BP787" s="48"/>
      <c r="BQ787" s="48"/>
      <c r="BR787" s="48"/>
      <c r="BS787" s="48"/>
      <c r="BT787" s="48"/>
      <c r="BU787" s="48"/>
      <c r="BV787" s="48"/>
      <c r="BW787" s="48"/>
      <c r="BX787" s="48"/>
      <c r="BY787" s="48"/>
      <c r="BZ787" s="48"/>
      <c r="CA787" s="48"/>
      <c r="CB787" s="48"/>
      <c r="CC787" s="48"/>
      <c r="CD787" s="48"/>
      <c r="CE787" s="48"/>
      <c r="CF787" s="48"/>
      <c r="CG787" s="48"/>
      <c r="CH787" s="48"/>
      <c r="CI787" s="48"/>
      <c r="CJ787" s="48"/>
      <c r="CK787" s="48"/>
      <c r="CL787" s="48"/>
      <c r="CM787" s="48"/>
      <c r="CN787" s="48"/>
      <c r="CO787" s="48"/>
      <c r="CP787" s="48"/>
      <c r="CQ787" s="48"/>
      <c r="CR787" s="48"/>
      <c r="CS787" s="48"/>
      <c r="CT787" s="48"/>
      <c r="CU787" s="48"/>
      <c r="CV787" s="48"/>
      <c r="CW787" s="48"/>
      <c r="CX787" s="48"/>
      <c r="CY787" s="48"/>
      <c r="CZ787" s="48"/>
      <c r="DA787" s="48"/>
      <c r="DB787" s="48"/>
      <c r="DC787" s="48"/>
      <c r="DD787" s="48"/>
      <c r="DE787" s="48"/>
      <c r="DF787" s="48"/>
      <c r="DG787" s="48"/>
      <c r="DH787" s="48"/>
      <c r="DI787" s="48"/>
      <c r="DJ787" s="48"/>
      <c r="DK787" s="48"/>
      <c r="DL787" s="48"/>
      <c r="DM787" s="48"/>
      <c r="DN787" s="48"/>
      <c r="DO787" s="48"/>
      <c r="DP787" s="48"/>
      <c r="DQ787" s="48"/>
      <c r="DR787" s="48"/>
      <c r="DS787" s="48"/>
    </row>
    <row r="788" spans="1:123" ht="15">
      <c r="A788"/>
      <c r="B788"/>
      <c r="C788"/>
      <c r="D788"/>
      <c r="E788"/>
      <c r="F788"/>
      <c r="G788"/>
      <c r="H788"/>
      <c r="I788"/>
      <c r="J78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c r="BS788" s="48"/>
      <c r="BT788" s="48"/>
      <c r="BU788" s="48"/>
      <c r="BV788" s="48"/>
      <c r="BW788" s="48"/>
      <c r="BX788" s="48"/>
      <c r="BY788" s="48"/>
      <c r="BZ788" s="48"/>
      <c r="CA788" s="48"/>
      <c r="CB788" s="48"/>
      <c r="CC788" s="48"/>
      <c r="CD788" s="48"/>
      <c r="CE788" s="48"/>
      <c r="CF788" s="48"/>
      <c r="CG788" s="48"/>
      <c r="CH788" s="48"/>
      <c r="CI788" s="48"/>
      <c r="CJ788" s="48"/>
      <c r="CK788" s="48"/>
      <c r="CL788" s="48"/>
      <c r="CM788" s="48"/>
      <c r="CN788" s="48"/>
      <c r="CO788" s="48"/>
      <c r="CP788" s="48"/>
      <c r="CQ788" s="48"/>
      <c r="CR788" s="48"/>
      <c r="CS788" s="48"/>
      <c r="CT788" s="48"/>
      <c r="CU788" s="48"/>
      <c r="CV788" s="48"/>
      <c r="CW788" s="48"/>
      <c r="CX788" s="48"/>
      <c r="CY788" s="48"/>
      <c r="CZ788" s="48"/>
      <c r="DA788" s="48"/>
      <c r="DB788" s="48"/>
      <c r="DC788" s="48"/>
      <c r="DD788" s="48"/>
      <c r="DE788" s="48"/>
      <c r="DF788" s="48"/>
      <c r="DG788" s="48"/>
      <c r="DH788" s="48"/>
      <c r="DI788" s="48"/>
      <c r="DJ788" s="48"/>
      <c r="DK788" s="48"/>
      <c r="DL788" s="48"/>
      <c r="DM788" s="48"/>
      <c r="DN788" s="48"/>
      <c r="DO788" s="48"/>
      <c r="DP788" s="48"/>
      <c r="DQ788" s="48"/>
      <c r="DR788" s="48"/>
      <c r="DS788" s="48"/>
    </row>
    <row r="789" spans="1:123" ht="15">
      <c r="A789"/>
      <c r="B789"/>
      <c r="C789"/>
      <c r="D789"/>
      <c r="E789"/>
      <c r="F789"/>
      <c r="G789"/>
      <c r="H789"/>
      <c r="I789"/>
      <c r="J789"/>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48"/>
      <c r="BH789" s="48"/>
      <c r="BI789" s="48"/>
      <c r="BJ789" s="48"/>
      <c r="BK789" s="48"/>
      <c r="BL789" s="48"/>
      <c r="BM789" s="48"/>
      <c r="BN789" s="48"/>
      <c r="BO789" s="48"/>
      <c r="BP789" s="48"/>
      <c r="BQ789" s="48"/>
      <c r="BR789" s="48"/>
      <c r="BS789" s="48"/>
      <c r="BT789" s="48"/>
      <c r="BU789" s="48"/>
      <c r="BV789" s="48"/>
      <c r="BW789" s="48"/>
      <c r="BX789" s="48"/>
      <c r="BY789" s="48"/>
      <c r="BZ789" s="48"/>
      <c r="CA789" s="48"/>
      <c r="CB789" s="48"/>
      <c r="CC789" s="48"/>
      <c r="CD789" s="48"/>
      <c r="CE789" s="48"/>
      <c r="CF789" s="48"/>
      <c r="CG789" s="48"/>
      <c r="CH789" s="48"/>
      <c r="CI789" s="48"/>
      <c r="CJ789" s="48"/>
      <c r="CK789" s="48"/>
      <c r="CL789" s="48"/>
      <c r="CM789" s="48"/>
      <c r="CN789" s="48"/>
      <c r="CO789" s="48"/>
      <c r="CP789" s="48"/>
      <c r="CQ789" s="48"/>
      <c r="CR789" s="48"/>
      <c r="CS789" s="48"/>
      <c r="CT789" s="48"/>
      <c r="CU789" s="48"/>
      <c r="CV789" s="48"/>
      <c r="CW789" s="48"/>
      <c r="CX789" s="48"/>
      <c r="CY789" s="48"/>
      <c r="CZ789" s="48"/>
      <c r="DA789" s="48"/>
      <c r="DB789" s="48"/>
      <c r="DC789" s="48"/>
      <c r="DD789" s="48"/>
      <c r="DE789" s="48"/>
      <c r="DF789" s="48"/>
      <c r="DG789" s="48"/>
      <c r="DH789" s="48"/>
      <c r="DI789" s="48"/>
      <c r="DJ789" s="48"/>
      <c r="DK789" s="48"/>
      <c r="DL789" s="48"/>
      <c r="DM789" s="48"/>
      <c r="DN789" s="48"/>
      <c r="DO789" s="48"/>
      <c r="DP789" s="48"/>
      <c r="DQ789" s="48"/>
      <c r="DR789" s="48"/>
      <c r="DS789" s="48"/>
    </row>
    <row r="790" spans="1:123" ht="15">
      <c r="A790"/>
      <c r="B790"/>
      <c r="C790"/>
      <c r="D790"/>
      <c r="E790"/>
      <c r="F790"/>
      <c r="G790"/>
      <c r="H790"/>
      <c r="I790"/>
      <c r="J790"/>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48"/>
      <c r="BH790" s="48"/>
      <c r="BI790" s="48"/>
      <c r="BJ790" s="48"/>
      <c r="BK790" s="48"/>
      <c r="BL790" s="48"/>
      <c r="BM790" s="48"/>
      <c r="BN790" s="48"/>
      <c r="BO790" s="48"/>
      <c r="BP790" s="48"/>
      <c r="BQ790" s="48"/>
      <c r="BR790" s="48"/>
      <c r="BS790" s="48"/>
      <c r="BT790" s="48"/>
      <c r="BU790" s="48"/>
      <c r="BV790" s="48"/>
      <c r="BW790" s="48"/>
      <c r="BX790" s="48"/>
      <c r="BY790" s="48"/>
      <c r="BZ790" s="48"/>
      <c r="CA790" s="48"/>
      <c r="CB790" s="48"/>
      <c r="CC790" s="48"/>
      <c r="CD790" s="48"/>
      <c r="CE790" s="48"/>
      <c r="CF790" s="48"/>
      <c r="CG790" s="48"/>
      <c r="CH790" s="48"/>
      <c r="CI790" s="48"/>
      <c r="CJ790" s="48"/>
      <c r="CK790" s="48"/>
      <c r="CL790" s="48"/>
      <c r="CM790" s="48"/>
      <c r="CN790" s="48"/>
      <c r="CO790" s="48"/>
      <c r="CP790" s="48"/>
      <c r="CQ790" s="48"/>
      <c r="CR790" s="48"/>
      <c r="CS790" s="48"/>
      <c r="CT790" s="48"/>
      <c r="CU790" s="48"/>
      <c r="CV790" s="48"/>
      <c r="CW790" s="48"/>
      <c r="CX790" s="48"/>
      <c r="CY790" s="48"/>
      <c r="CZ790" s="48"/>
      <c r="DA790" s="48"/>
      <c r="DB790" s="48"/>
      <c r="DC790" s="48"/>
      <c r="DD790" s="48"/>
      <c r="DE790" s="48"/>
      <c r="DF790" s="48"/>
      <c r="DG790" s="48"/>
      <c r="DH790" s="48"/>
      <c r="DI790" s="48"/>
      <c r="DJ790" s="48"/>
      <c r="DK790" s="48"/>
      <c r="DL790" s="48"/>
      <c r="DM790" s="48"/>
      <c r="DN790" s="48"/>
      <c r="DO790" s="48"/>
      <c r="DP790" s="48"/>
      <c r="DQ790" s="48"/>
      <c r="DR790" s="48"/>
      <c r="DS790" s="48"/>
    </row>
    <row r="791" spans="1:123" ht="15">
      <c r="A791"/>
      <c r="B791"/>
      <c r="C791"/>
      <c r="D791"/>
      <c r="E791"/>
      <c r="F791"/>
      <c r="G791"/>
      <c r="H791"/>
      <c r="I791"/>
      <c r="J791"/>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48"/>
      <c r="BH791" s="48"/>
      <c r="BI791" s="48"/>
      <c r="BJ791" s="48"/>
      <c r="BK791" s="48"/>
      <c r="BL791" s="48"/>
      <c r="BM791" s="48"/>
      <c r="BN791" s="48"/>
      <c r="BO791" s="48"/>
      <c r="BP791" s="48"/>
      <c r="BQ791" s="48"/>
      <c r="BR791" s="48"/>
      <c r="BS791" s="48"/>
      <c r="BT791" s="48"/>
      <c r="BU791" s="48"/>
      <c r="BV791" s="48"/>
      <c r="BW791" s="48"/>
      <c r="BX791" s="48"/>
      <c r="BY791" s="48"/>
      <c r="BZ791" s="48"/>
      <c r="CA791" s="48"/>
      <c r="CB791" s="48"/>
      <c r="CC791" s="48"/>
      <c r="CD791" s="48"/>
      <c r="CE791" s="48"/>
      <c r="CF791" s="48"/>
      <c r="CG791" s="48"/>
      <c r="CH791" s="48"/>
      <c r="CI791" s="48"/>
      <c r="CJ791" s="48"/>
      <c r="CK791" s="48"/>
      <c r="CL791" s="48"/>
      <c r="CM791" s="48"/>
      <c r="CN791" s="48"/>
      <c r="CO791" s="48"/>
      <c r="CP791" s="48"/>
      <c r="CQ791" s="48"/>
      <c r="CR791" s="48"/>
      <c r="CS791" s="48"/>
      <c r="CT791" s="48"/>
      <c r="CU791" s="48"/>
      <c r="CV791" s="48"/>
      <c r="CW791" s="48"/>
      <c r="CX791" s="48"/>
      <c r="CY791" s="48"/>
      <c r="CZ791" s="48"/>
      <c r="DA791" s="48"/>
      <c r="DB791" s="48"/>
      <c r="DC791" s="48"/>
      <c r="DD791" s="48"/>
      <c r="DE791" s="48"/>
      <c r="DF791" s="48"/>
      <c r="DG791" s="48"/>
      <c r="DH791" s="48"/>
      <c r="DI791" s="48"/>
      <c r="DJ791" s="48"/>
      <c r="DK791" s="48"/>
      <c r="DL791" s="48"/>
      <c r="DM791" s="48"/>
      <c r="DN791" s="48"/>
      <c r="DO791" s="48"/>
      <c r="DP791" s="48"/>
      <c r="DQ791" s="48"/>
      <c r="DR791" s="48"/>
      <c r="DS791" s="48"/>
    </row>
    <row r="792" spans="1:123" ht="15">
      <c r="A792"/>
      <c r="B792"/>
      <c r="C792"/>
      <c r="D792"/>
      <c r="E792"/>
      <c r="F792"/>
      <c r="G792"/>
      <c r="H792"/>
      <c r="I792"/>
      <c r="J792"/>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48"/>
      <c r="BH792" s="48"/>
      <c r="BI792" s="48"/>
      <c r="BJ792" s="48"/>
      <c r="BK792" s="48"/>
      <c r="BL792" s="48"/>
      <c r="BM792" s="48"/>
      <c r="BN792" s="48"/>
      <c r="BO792" s="48"/>
      <c r="BP792" s="48"/>
      <c r="BQ792" s="48"/>
      <c r="BR792" s="48"/>
      <c r="BS792" s="48"/>
      <c r="BT792" s="48"/>
      <c r="BU792" s="48"/>
      <c r="BV792" s="48"/>
      <c r="BW792" s="48"/>
      <c r="BX792" s="48"/>
      <c r="BY792" s="48"/>
      <c r="BZ792" s="48"/>
      <c r="CA792" s="48"/>
      <c r="CB792" s="48"/>
      <c r="CC792" s="48"/>
      <c r="CD792" s="48"/>
      <c r="CE792" s="48"/>
      <c r="CF792" s="48"/>
      <c r="CG792" s="48"/>
      <c r="CH792" s="48"/>
      <c r="CI792" s="48"/>
      <c r="CJ792" s="48"/>
      <c r="CK792" s="48"/>
      <c r="CL792" s="48"/>
      <c r="CM792" s="48"/>
      <c r="CN792" s="48"/>
      <c r="CO792" s="48"/>
      <c r="CP792" s="48"/>
      <c r="CQ792" s="48"/>
      <c r="CR792" s="48"/>
      <c r="CS792" s="48"/>
      <c r="CT792" s="48"/>
      <c r="CU792" s="48"/>
      <c r="CV792" s="48"/>
      <c r="CW792" s="48"/>
      <c r="CX792" s="48"/>
      <c r="CY792" s="48"/>
      <c r="CZ792" s="48"/>
      <c r="DA792" s="48"/>
      <c r="DB792" s="48"/>
      <c r="DC792" s="48"/>
      <c r="DD792" s="48"/>
      <c r="DE792" s="48"/>
      <c r="DF792" s="48"/>
      <c r="DG792" s="48"/>
      <c r="DH792" s="48"/>
      <c r="DI792" s="48"/>
      <c r="DJ792" s="48"/>
      <c r="DK792" s="48"/>
      <c r="DL792" s="48"/>
      <c r="DM792" s="48"/>
      <c r="DN792" s="48"/>
      <c r="DO792" s="48"/>
      <c r="DP792" s="48"/>
      <c r="DQ792" s="48"/>
      <c r="DR792" s="48"/>
      <c r="DS792" s="48"/>
    </row>
    <row r="793" spans="1:123" ht="15">
      <c r="A793"/>
      <c r="B793"/>
      <c r="C793"/>
      <c r="D793"/>
      <c r="E793"/>
      <c r="F793"/>
      <c r="G793"/>
      <c r="H793"/>
      <c r="I793"/>
      <c r="J793"/>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48"/>
      <c r="BH793" s="48"/>
      <c r="BI793" s="48"/>
      <c r="BJ793" s="48"/>
      <c r="BK793" s="48"/>
      <c r="BL793" s="48"/>
      <c r="BM793" s="48"/>
      <c r="BN793" s="48"/>
      <c r="BO793" s="48"/>
      <c r="BP793" s="48"/>
      <c r="BQ793" s="48"/>
      <c r="BR793" s="48"/>
      <c r="BS793" s="48"/>
      <c r="BT793" s="48"/>
      <c r="BU793" s="48"/>
      <c r="BV793" s="48"/>
      <c r="BW793" s="48"/>
      <c r="BX793" s="48"/>
      <c r="BY793" s="48"/>
      <c r="BZ793" s="48"/>
      <c r="CA793" s="48"/>
      <c r="CB793" s="48"/>
      <c r="CC793" s="48"/>
      <c r="CD793" s="48"/>
      <c r="CE793" s="48"/>
      <c r="CF793" s="48"/>
      <c r="CG793" s="48"/>
      <c r="CH793" s="48"/>
      <c r="CI793" s="48"/>
      <c r="CJ793" s="48"/>
      <c r="CK793" s="48"/>
      <c r="CL793" s="48"/>
      <c r="CM793" s="48"/>
      <c r="CN793" s="48"/>
      <c r="CO793" s="48"/>
      <c r="CP793" s="48"/>
      <c r="CQ793" s="48"/>
      <c r="CR793" s="48"/>
      <c r="CS793" s="48"/>
      <c r="CT793" s="48"/>
      <c r="CU793" s="48"/>
      <c r="CV793" s="48"/>
      <c r="CW793" s="48"/>
      <c r="CX793" s="48"/>
      <c r="CY793" s="48"/>
      <c r="CZ793" s="48"/>
      <c r="DA793" s="48"/>
      <c r="DB793" s="48"/>
      <c r="DC793" s="48"/>
      <c r="DD793" s="48"/>
      <c r="DE793" s="48"/>
      <c r="DF793" s="48"/>
      <c r="DG793" s="48"/>
      <c r="DH793" s="48"/>
      <c r="DI793" s="48"/>
      <c r="DJ793" s="48"/>
      <c r="DK793" s="48"/>
      <c r="DL793" s="48"/>
      <c r="DM793" s="48"/>
      <c r="DN793" s="48"/>
      <c r="DO793" s="48"/>
      <c r="DP793" s="48"/>
      <c r="DQ793" s="48"/>
      <c r="DR793" s="48"/>
      <c r="DS793" s="48"/>
    </row>
    <row r="794" spans="1:123" ht="15">
      <c r="A794"/>
      <c r="B794"/>
      <c r="C794"/>
      <c r="D794"/>
      <c r="E794"/>
      <c r="F794"/>
      <c r="G794"/>
      <c r="H794"/>
      <c r="I794"/>
      <c r="J794"/>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c r="BS794" s="48"/>
      <c r="BT794" s="48"/>
      <c r="BU794" s="48"/>
      <c r="BV794" s="48"/>
      <c r="BW794" s="48"/>
      <c r="BX794" s="48"/>
      <c r="BY794" s="48"/>
      <c r="BZ794" s="48"/>
      <c r="CA794" s="48"/>
      <c r="CB794" s="48"/>
      <c r="CC794" s="48"/>
      <c r="CD794" s="48"/>
      <c r="CE794" s="48"/>
      <c r="CF794" s="48"/>
      <c r="CG794" s="48"/>
      <c r="CH794" s="48"/>
      <c r="CI794" s="48"/>
      <c r="CJ794" s="48"/>
      <c r="CK794" s="48"/>
      <c r="CL794" s="48"/>
      <c r="CM794" s="48"/>
      <c r="CN794" s="48"/>
      <c r="CO794" s="48"/>
      <c r="CP794" s="48"/>
      <c r="CQ794" s="48"/>
      <c r="CR794" s="48"/>
      <c r="CS794" s="48"/>
      <c r="CT794" s="48"/>
      <c r="CU794" s="48"/>
      <c r="CV794" s="48"/>
      <c r="CW794" s="48"/>
      <c r="CX794" s="48"/>
      <c r="CY794" s="48"/>
      <c r="CZ794" s="48"/>
      <c r="DA794" s="48"/>
      <c r="DB794" s="48"/>
      <c r="DC794" s="48"/>
      <c r="DD794" s="48"/>
      <c r="DE794" s="48"/>
      <c r="DF794" s="48"/>
      <c r="DG794" s="48"/>
      <c r="DH794" s="48"/>
      <c r="DI794" s="48"/>
      <c r="DJ794" s="48"/>
      <c r="DK794" s="48"/>
      <c r="DL794" s="48"/>
      <c r="DM794" s="48"/>
      <c r="DN794" s="48"/>
      <c r="DO794" s="48"/>
      <c r="DP794" s="48"/>
      <c r="DQ794" s="48"/>
      <c r="DR794" s="48"/>
      <c r="DS794" s="48"/>
    </row>
    <row r="795" spans="1:123" ht="15">
      <c r="A795"/>
      <c r="B795"/>
      <c r="C795"/>
      <c r="D795"/>
      <c r="E795"/>
      <c r="F795"/>
      <c r="G795"/>
      <c r="H795"/>
      <c r="I795"/>
      <c r="J795"/>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48"/>
      <c r="BH795" s="48"/>
      <c r="BI795" s="48"/>
      <c r="BJ795" s="48"/>
      <c r="BK795" s="48"/>
      <c r="BL795" s="48"/>
      <c r="BM795" s="48"/>
      <c r="BN795" s="48"/>
      <c r="BO795" s="48"/>
      <c r="BP795" s="48"/>
      <c r="BQ795" s="48"/>
      <c r="BR795" s="48"/>
      <c r="BS795" s="48"/>
      <c r="BT795" s="48"/>
      <c r="BU795" s="48"/>
      <c r="BV795" s="48"/>
      <c r="BW795" s="48"/>
      <c r="BX795" s="48"/>
      <c r="BY795" s="48"/>
      <c r="BZ795" s="48"/>
      <c r="CA795" s="48"/>
      <c r="CB795" s="48"/>
      <c r="CC795" s="48"/>
      <c r="CD795" s="48"/>
      <c r="CE795" s="48"/>
      <c r="CF795" s="48"/>
      <c r="CG795" s="48"/>
      <c r="CH795" s="48"/>
      <c r="CI795" s="48"/>
      <c r="CJ795" s="48"/>
      <c r="CK795" s="48"/>
      <c r="CL795" s="48"/>
      <c r="CM795" s="48"/>
      <c r="CN795" s="48"/>
      <c r="CO795" s="48"/>
      <c r="CP795" s="48"/>
      <c r="CQ795" s="48"/>
      <c r="CR795" s="48"/>
      <c r="CS795" s="48"/>
      <c r="CT795" s="48"/>
      <c r="CU795" s="48"/>
      <c r="CV795" s="48"/>
      <c r="CW795" s="48"/>
      <c r="CX795" s="48"/>
      <c r="CY795" s="48"/>
      <c r="CZ795" s="48"/>
      <c r="DA795" s="48"/>
      <c r="DB795" s="48"/>
      <c r="DC795" s="48"/>
      <c r="DD795" s="48"/>
      <c r="DE795" s="48"/>
      <c r="DF795" s="48"/>
      <c r="DG795" s="48"/>
      <c r="DH795" s="48"/>
      <c r="DI795" s="48"/>
      <c r="DJ795" s="48"/>
      <c r="DK795" s="48"/>
      <c r="DL795" s="48"/>
      <c r="DM795" s="48"/>
      <c r="DN795" s="48"/>
      <c r="DO795" s="48"/>
      <c r="DP795" s="48"/>
      <c r="DQ795" s="48"/>
      <c r="DR795" s="48"/>
      <c r="DS795" s="48"/>
    </row>
    <row r="796" spans="1:123" ht="15">
      <c r="A796"/>
      <c r="B796"/>
      <c r="C796"/>
      <c r="D796"/>
      <c r="E796"/>
      <c r="F796"/>
      <c r="G796"/>
      <c r="H796"/>
      <c r="I796"/>
      <c r="J796"/>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48"/>
      <c r="BH796" s="48"/>
      <c r="BI796" s="48"/>
      <c r="BJ796" s="48"/>
      <c r="BK796" s="48"/>
      <c r="BL796" s="48"/>
      <c r="BM796" s="48"/>
      <c r="BN796" s="48"/>
      <c r="BO796" s="48"/>
      <c r="BP796" s="48"/>
      <c r="BQ796" s="48"/>
      <c r="BR796" s="48"/>
      <c r="BS796" s="48"/>
      <c r="BT796" s="48"/>
      <c r="BU796" s="48"/>
      <c r="BV796" s="48"/>
      <c r="BW796" s="48"/>
      <c r="BX796" s="48"/>
      <c r="BY796" s="48"/>
      <c r="BZ796" s="48"/>
      <c r="CA796" s="48"/>
      <c r="CB796" s="48"/>
      <c r="CC796" s="48"/>
      <c r="CD796" s="48"/>
      <c r="CE796" s="48"/>
      <c r="CF796" s="48"/>
      <c r="CG796" s="48"/>
      <c r="CH796" s="48"/>
      <c r="CI796" s="48"/>
      <c r="CJ796" s="48"/>
      <c r="CK796" s="48"/>
      <c r="CL796" s="48"/>
      <c r="CM796" s="48"/>
      <c r="CN796" s="48"/>
      <c r="CO796" s="48"/>
      <c r="CP796" s="48"/>
      <c r="CQ796" s="48"/>
      <c r="CR796" s="48"/>
      <c r="CS796" s="48"/>
      <c r="CT796" s="48"/>
      <c r="CU796" s="48"/>
      <c r="CV796" s="48"/>
      <c r="CW796" s="48"/>
      <c r="CX796" s="48"/>
      <c r="CY796" s="48"/>
      <c r="CZ796" s="48"/>
      <c r="DA796" s="48"/>
      <c r="DB796" s="48"/>
      <c r="DC796" s="48"/>
      <c r="DD796" s="48"/>
      <c r="DE796" s="48"/>
      <c r="DF796" s="48"/>
      <c r="DG796" s="48"/>
      <c r="DH796" s="48"/>
      <c r="DI796" s="48"/>
      <c r="DJ796" s="48"/>
      <c r="DK796" s="48"/>
      <c r="DL796" s="48"/>
      <c r="DM796" s="48"/>
      <c r="DN796" s="48"/>
      <c r="DO796" s="48"/>
      <c r="DP796" s="48"/>
      <c r="DQ796" s="48"/>
      <c r="DR796" s="48"/>
      <c r="DS796" s="48"/>
    </row>
    <row r="797" spans="1:123" ht="15">
      <c r="A797"/>
      <c r="B797"/>
      <c r="C797"/>
      <c r="D797"/>
      <c r="E797"/>
      <c r="F797"/>
      <c r="G797"/>
      <c r="H797"/>
      <c r="I797"/>
      <c r="J797"/>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48"/>
      <c r="BH797" s="48"/>
      <c r="BI797" s="48"/>
      <c r="BJ797" s="48"/>
      <c r="BK797" s="48"/>
      <c r="BL797" s="48"/>
      <c r="BM797" s="48"/>
      <c r="BN797" s="48"/>
      <c r="BO797" s="48"/>
      <c r="BP797" s="48"/>
      <c r="BQ797" s="48"/>
      <c r="BR797" s="48"/>
      <c r="BS797" s="48"/>
      <c r="BT797" s="48"/>
      <c r="BU797" s="48"/>
      <c r="BV797" s="48"/>
      <c r="BW797" s="48"/>
      <c r="BX797" s="48"/>
      <c r="BY797" s="48"/>
      <c r="BZ797" s="48"/>
      <c r="CA797" s="48"/>
      <c r="CB797" s="48"/>
      <c r="CC797" s="48"/>
      <c r="CD797" s="48"/>
      <c r="CE797" s="48"/>
      <c r="CF797" s="48"/>
      <c r="CG797" s="48"/>
      <c r="CH797" s="48"/>
      <c r="CI797" s="48"/>
      <c r="CJ797" s="48"/>
      <c r="CK797" s="48"/>
      <c r="CL797" s="48"/>
      <c r="CM797" s="48"/>
      <c r="CN797" s="48"/>
      <c r="CO797" s="48"/>
      <c r="CP797" s="48"/>
      <c r="CQ797" s="48"/>
      <c r="CR797" s="48"/>
      <c r="CS797" s="48"/>
      <c r="CT797" s="48"/>
      <c r="CU797" s="48"/>
      <c r="CV797" s="48"/>
      <c r="CW797" s="48"/>
      <c r="CX797" s="48"/>
      <c r="CY797" s="48"/>
      <c r="CZ797" s="48"/>
      <c r="DA797" s="48"/>
      <c r="DB797" s="48"/>
      <c r="DC797" s="48"/>
      <c r="DD797" s="48"/>
      <c r="DE797" s="48"/>
      <c r="DF797" s="48"/>
      <c r="DG797" s="48"/>
      <c r="DH797" s="48"/>
      <c r="DI797" s="48"/>
      <c r="DJ797" s="48"/>
      <c r="DK797" s="48"/>
      <c r="DL797" s="48"/>
      <c r="DM797" s="48"/>
      <c r="DN797" s="48"/>
      <c r="DO797" s="48"/>
      <c r="DP797" s="48"/>
      <c r="DQ797" s="48"/>
      <c r="DR797" s="48"/>
      <c r="DS797" s="48"/>
    </row>
    <row r="798" spans="1:123" ht="15">
      <c r="A798"/>
      <c r="B798"/>
      <c r="C798"/>
      <c r="D798"/>
      <c r="E798"/>
      <c r="F798"/>
      <c r="G798"/>
      <c r="H798"/>
      <c r="I798"/>
      <c r="J79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48"/>
      <c r="BH798" s="48"/>
      <c r="BI798" s="48"/>
      <c r="BJ798" s="48"/>
      <c r="BK798" s="48"/>
      <c r="BL798" s="48"/>
      <c r="BM798" s="48"/>
      <c r="BN798" s="48"/>
      <c r="BO798" s="48"/>
      <c r="BP798" s="48"/>
      <c r="BQ798" s="48"/>
      <c r="BR798" s="48"/>
      <c r="BS798" s="48"/>
      <c r="BT798" s="48"/>
      <c r="BU798" s="48"/>
      <c r="BV798" s="48"/>
      <c r="BW798" s="48"/>
      <c r="BX798" s="48"/>
      <c r="BY798" s="48"/>
      <c r="BZ798" s="48"/>
      <c r="CA798" s="48"/>
      <c r="CB798" s="48"/>
      <c r="CC798" s="48"/>
      <c r="CD798" s="48"/>
      <c r="CE798" s="48"/>
      <c r="CF798" s="48"/>
      <c r="CG798" s="48"/>
      <c r="CH798" s="48"/>
      <c r="CI798" s="48"/>
      <c r="CJ798" s="48"/>
      <c r="CK798" s="48"/>
      <c r="CL798" s="48"/>
      <c r="CM798" s="48"/>
      <c r="CN798" s="48"/>
      <c r="CO798" s="48"/>
      <c r="CP798" s="48"/>
      <c r="CQ798" s="48"/>
      <c r="CR798" s="48"/>
      <c r="CS798" s="48"/>
      <c r="CT798" s="48"/>
      <c r="CU798" s="48"/>
      <c r="CV798" s="48"/>
      <c r="CW798" s="48"/>
      <c r="CX798" s="48"/>
      <c r="CY798" s="48"/>
      <c r="CZ798" s="48"/>
      <c r="DA798" s="48"/>
      <c r="DB798" s="48"/>
      <c r="DC798" s="48"/>
      <c r="DD798" s="48"/>
      <c r="DE798" s="48"/>
      <c r="DF798" s="48"/>
      <c r="DG798" s="48"/>
      <c r="DH798" s="48"/>
      <c r="DI798" s="48"/>
      <c r="DJ798" s="48"/>
      <c r="DK798" s="48"/>
      <c r="DL798" s="48"/>
      <c r="DM798" s="48"/>
      <c r="DN798" s="48"/>
      <c r="DO798" s="48"/>
      <c r="DP798" s="48"/>
      <c r="DQ798" s="48"/>
      <c r="DR798" s="48"/>
      <c r="DS798" s="48"/>
    </row>
    <row r="799" spans="1:123" ht="15">
      <c r="A799"/>
      <c r="B799"/>
      <c r="C799"/>
      <c r="D799"/>
      <c r="E799"/>
      <c r="F799"/>
      <c r="G799"/>
      <c r="H799"/>
      <c r="I799"/>
      <c r="J799"/>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c r="BS799" s="48"/>
      <c r="BT799" s="48"/>
      <c r="BU799" s="48"/>
      <c r="BV799" s="48"/>
      <c r="BW799" s="48"/>
      <c r="BX799" s="48"/>
      <c r="BY799" s="48"/>
      <c r="BZ799" s="48"/>
      <c r="CA799" s="48"/>
      <c r="CB799" s="48"/>
      <c r="CC799" s="48"/>
      <c r="CD799" s="48"/>
      <c r="CE799" s="48"/>
      <c r="CF799" s="48"/>
      <c r="CG799" s="48"/>
      <c r="CH799" s="48"/>
      <c r="CI799" s="48"/>
      <c r="CJ799" s="48"/>
      <c r="CK799" s="48"/>
      <c r="CL799" s="48"/>
      <c r="CM799" s="48"/>
      <c r="CN799" s="48"/>
      <c r="CO799" s="48"/>
      <c r="CP799" s="48"/>
      <c r="CQ799" s="48"/>
      <c r="CR799" s="48"/>
      <c r="CS799" s="48"/>
      <c r="CT799" s="48"/>
      <c r="CU799" s="48"/>
      <c r="CV799" s="48"/>
      <c r="CW799" s="48"/>
      <c r="CX799" s="48"/>
      <c r="CY799" s="48"/>
      <c r="CZ799" s="48"/>
      <c r="DA799" s="48"/>
      <c r="DB799" s="48"/>
      <c r="DC799" s="48"/>
      <c r="DD799" s="48"/>
      <c r="DE799" s="48"/>
      <c r="DF799" s="48"/>
      <c r="DG799" s="48"/>
      <c r="DH799" s="48"/>
      <c r="DI799" s="48"/>
      <c r="DJ799" s="48"/>
      <c r="DK799" s="48"/>
      <c r="DL799" s="48"/>
      <c r="DM799" s="48"/>
      <c r="DN799" s="48"/>
      <c r="DO799" s="48"/>
      <c r="DP799" s="48"/>
      <c r="DQ799" s="48"/>
      <c r="DR799" s="48"/>
      <c r="DS799" s="48"/>
    </row>
    <row r="800" spans="1:123" ht="15">
      <c r="A800"/>
      <c r="B800"/>
      <c r="C800"/>
      <c r="D800"/>
      <c r="E800"/>
      <c r="F800"/>
      <c r="G800"/>
      <c r="H800"/>
      <c r="I800"/>
      <c r="J800"/>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48"/>
      <c r="BH800" s="48"/>
      <c r="BI800" s="48"/>
      <c r="BJ800" s="48"/>
      <c r="BK800" s="48"/>
      <c r="BL800" s="48"/>
      <c r="BM800" s="48"/>
      <c r="BN800" s="48"/>
      <c r="BO800" s="48"/>
      <c r="BP800" s="48"/>
      <c r="BQ800" s="48"/>
      <c r="BR800" s="48"/>
      <c r="BS800" s="48"/>
      <c r="BT800" s="48"/>
      <c r="BU800" s="48"/>
      <c r="BV800" s="48"/>
      <c r="BW800" s="48"/>
      <c r="BX800" s="48"/>
      <c r="BY800" s="48"/>
      <c r="BZ800" s="48"/>
      <c r="CA800" s="48"/>
      <c r="CB800" s="48"/>
      <c r="CC800" s="48"/>
      <c r="CD800" s="48"/>
      <c r="CE800" s="48"/>
      <c r="CF800" s="48"/>
      <c r="CG800" s="48"/>
      <c r="CH800" s="48"/>
      <c r="CI800" s="48"/>
      <c r="CJ800" s="48"/>
      <c r="CK800" s="48"/>
      <c r="CL800" s="48"/>
      <c r="CM800" s="48"/>
      <c r="CN800" s="48"/>
      <c r="CO800" s="48"/>
      <c r="CP800" s="48"/>
      <c r="CQ800" s="48"/>
      <c r="CR800" s="48"/>
      <c r="CS800" s="48"/>
      <c r="CT800" s="48"/>
      <c r="CU800" s="48"/>
      <c r="CV800" s="48"/>
      <c r="CW800" s="48"/>
      <c r="CX800" s="48"/>
      <c r="CY800" s="48"/>
      <c r="CZ800" s="48"/>
      <c r="DA800" s="48"/>
      <c r="DB800" s="48"/>
      <c r="DC800" s="48"/>
      <c r="DD800" s="48"/>
      <c r="DE800" s="48"/>
      <c r="DF800" s="48"/>
      <c r="DG800" s="48"/>
      <c r="DH800" s="48"/>
      <c r="DI800" s="48"/>
      <c r="DJ800" s="48"/>
      <c r="DK800" s="48"/>
      <c r="DL800" s="48"/>
      <c r="DM800" s="48"/>
      <c r="DN800" s="48"/>
      <c r="DO800" s="48"/>
      <c r="DP800" s="48"/>
      <c r="DQ800" s="48"/>
      <c r="DR800" s="48"/>
      <c r="DS800" s="48"/>
    </row>
    <row r="801" spans="1:123" ht="15">
      <c r="A801"/>
      <c r="B801"/>
      <c r="C801"/>
      <c r="D801"/>
      <c r="E801"/>
      <c r="F801"/>
      <c r="G801"/>
      <c r="H801"/>
      <c r="I801"/>
      <c r="J801"/>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48"/>
      <c r="BH801" s="48"/>
      <c r="BI801" s="48"/>
      <c r="BJ801" s="48"/>
      <c r="BK801" s="48"/>
      <c r="BL801" s="48"/>
      <c r="BM801" s="48"/>
      <c r="BN801" s="48"/>
      <c r="BO801" s="48"/>
      <c r="BP801" s="48"/>
      <c r="BQ801" s="48"/>
      <c r="BR801" s="48"/>
      <c r="BS801" s="48"/>
      <c r="BT801" s="48"/>
      <c r="BU801" s="48"/>
      <c r="BV801" s="48"/>
      <c r="BW801" s="48"/>
      <c r="BX801" s="48"/>
      <c r="BY801" s="48"/>
      <c r="BZ801" s="48"/>
      <c r="CA801" s="48"/>
      <c r="CB801" s="48"/>
      <c r="CC801" s="48"/>
      <c r="CD801" s="48"/>
      <c r="CE801" s="48"/>
      <c r="CF801" s="48"/>
      <c r="CG801" s="48"/>
      <c r="CH801" s="48"/>
      <c r="CI801" s="48"/>
      <c r="CJ801" s="48"/>
      <c r="CK801" s="48"/>
      <c r="CL801" s="48"/>
      <c r="CM801" s="48"/>
      <c r="CN801" s="48"/>
      <c r="CO801" s="48"/>
      <c r="CP801" s="48"/>
      <c r="CQ801" s="48"/>
      <c r="CR801" s="48"/>
      <c r="CS801" s="48"/>
      <c r="CT801" s="48"/>
      <c r="CU801" s="48"/>
      <c r="CV801" s="48"/>
      <c r="CW801" s="48"/>
      <c r="CX801" s="48"/>
      <c r="CY801" s="48"/>
      <c r="CZ801" s="48"/>
      <c r="DA801" s="48"/>
      <c r="DB801" s="48"/>
      <c r="DC801" s="48"/>
      <c r="DD801" s="48"/>
      <c r="DE801" s="48"/>
      <c r="DF801" s="48"/>
      <c r="DG801" s="48"/>
      <c r="DH801" s="48"/>
      <c r="DI801" s="48"/>
      <c r="DJ801" s="48"/>
      <c r="DK801" s="48"/>
      <c r="DL801" s="48"/>
      <c r="DM801" s="48"/>
      <c r="DN801" s="48"/>
      <c r="DO801" s="48"/>
      <c r="DP801" s="48"/>
      <c r="DQ801" s="48"/>
      <c r="DR801" s="48"/>
      <c r="DS801" s="48"/>
    </row>
    <row r="802" spans="1:123" ht="15">
      <c r="A802"/>
      <c r="B802"/>
      <c r="C802"/>
      <c r="D802"/>
      <c r="E802"/>
      <c r="F802"/>
      <c r="G802"/>
      <c r="H802"/>
      <c r="I802"/>
      <c r="J802"/>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48"/>
      <c r="BH802" s="48"/>
      <c r="BI802" s="48"/>
      <c r="BJ802" s="48"/>
      <c r="BK802" s="48"/>
      <c r="BL802" s="48"/>
      <c r="BM802" s="48"/>
      <c r="BN802" s="48"/>
      <c r="BO802" s="48"/>
      <c r="BP802" s="48"/>
      <c r="BQ802" s="48"/>
      <c r="BR802" s="48"/>
      <c r="BS802" s="48"/>
      <c r="BT802" s="48"/>
      <c r="BU802" s="48"/>
      <c r="BV802" s="48"/>
      <c r="BW802" s="48"/>
      <c r="BX802" s="48"/>
      <c r="BY802" s="48"/>
      <c r="BZ802" s="48"/>
      <c r="CA802" s="48"/>
      <c r="CB802" s="48"/>
      <c r="CC802" s="48"/>
      <c r="CD802" s="48"/>
      <c r="CE802" s="48"/>
      <c r="CF802" s="48"/>
      <c r="CG802" s="48"/>
      <c r="CH802" s="48"/>
      <c r="CI802" s="48"/>
      <c r="CJ802" s="48"/>
      <c r="CK802" s="48"/>
      <c r="CL802" s="48"/>
      <c r="CM802" s="48"/>
      <c r="CN802" s="48"/>
      <c r="CO802" s="48"/>
      <c r="CP802" s="48"/>
      <c r="CQ802" s="48"/>
      <c r="CR802" s="48"/>
      <c r="CS802" s="48"/>
      <c r="CT802" s="48"/>
      <c r="CU802" s="48"/>
      <c r="CV802" s="48"/>
      <c r="CW802" s="48"/>
      <c r="CX802" s="48"/>
      <c r="CY802" s="48"/>
      <c r="CZ802" s="48"/>
      <c r="DA802" s="48"/>
      <c r="DB802" s="48"/>
      <c r="DC802" s="48"/>
      <c r="DD802" s="48"/>
      <c r="DE802" s="48"/>
      <c r="DF802" s="48"/>
      <c r="DG802" s="48"/>
      <c r="DH802" s="48"/>
      <c r="DI802" s="48"/>
      <c r="DJ802" s="48"/>
      <c r="DK802" s="48"/>
      <c r="DL802" s="48"/>
      <c r="DM802" s="48"/>
      <c r="DN802" s="48"/>
      <c r="DO802" s="48"/>
      <c r="DP802" s="48"/>
      <c r="DQ802" s="48"/>
      <c r="DR802" s="48"/>
      <c r="DS802" s="48"/>
    </row>
    <row r="803" spans="1:123" ht="15">
      <c r="A803"/>
      <c r="B803"/>
      <c r="C803"/>
      <c r="D803"/>
      <c r="E803"/>
      <c r="F803"/>
      <c r="G803"/>
      <c r="H803"/>
      <c r="I803"/>
      <c r="J803"/>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48"/>
      <c r="BH803" s="48"/>
      <c r="BI803" s="48"/>
      <c r="BJ803" s="48"/>
      <c r="BK803" s="48"/>
      <c r="BL803" s="48"/>
      <c r="BM803" s="48"/>
      <c r="BN803" s="48"/>
      <c r="BO803" s="48"/>
      <c r="BP803" s="48"/>
      <c r="BQ803" s="48"/>
      <c r="BR803" s="48"/>
      <c r="BS803" s="48"/>
      <c r="BT803" s="48"/>
      <c r="BU803" s="48"/>
      <c r="BV803" s="48"/>
      <c r="BW803" s="48"/>
      <c r="BX803" s="48"/>
      <c r="BY803" s="48"/>
      <c r="BZ803" s="48"/>
      <c r="CA803" s="48"/>
      <c r="CB803" s="48"/>
      <c r="CC803" s="48"/>
      <c r="CD803" s="48"/>
      <c r="CE803" s="48"/>
      <c r="CF803" s="48"/>
      <c r="CG803" s="48"/>
      <c r="CH803" s="48"/>
      <c r="CI803" s="48"/>
      <c r="CJ803" s="48"/>
      <c r="CK803" s="48"/>
      <c r="CL803" s="48"/>
      <c r="CM803" s="48"/>
      <c r="CN803" s="48"/>
      <c r="CO803" s="48"/>
      <c r="CP803" s="48"/>
      <c r="CQ803" s="48"/>
      <c r="CR803" s="48"/>
      <c r="CS803" s="48"/>
      <c r="CT803" s="48"/>
      <c r="CU803" s="48"/>
      <c r="CV803" s="48"/>
      <c r="CW803" s="48"/>
      <c r="CX803" s="48"/>
      <c r="CY803" s="48"/>
      <c r="CZ803" s="48"/>
      <c r="DA803" s="48"/>
      <c r="DB803" s="48"/>
      <c r="DC803" s="48"/>
      <c r="DD803" s="48"/>
      <c r="DE803" s="48"/>
      <c r="DF803" s="48"/>
      <c r="DG803" s="48"/>
      <c r="DH803" s="48"/>
      <c r="DI803" s="48"/>
      <c r="DJ803" s="48"/>
      <c r="DK803" s="48"/>
      <c r="DL803" s="48"/>
      <c r="DM803" s="48"/>
      <c r="DN803" s="48"/>
      <c r="DO803" s="48"/>
      <c r="DP803" s="48"/>
      <c r="DQ803" s="48"/>
      <c r="DR803" s="48"/>
      <c r="DS803" s="48"/>
    </row>
    <row r="804" spans="1:123" ht="15">
      <c r="A804"/>
      <c r="B804"/>
      <c r="C804"/>
      <c r="D804"/>
      <c r="E804"/>
      <c r="F804"/>
      <c r="G804"/>
      <c r="H804"/>
      <c r="I804"/>
      <c r="J804"/>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48"/>
      <c r="BH804" s="48"/>
      <c r="BI804" s="48"/>
      <c r="BJ804" s="48"/>
      <c r="BK804" s="48"/>
      <c r="BL804" s="48"/>
      <c r="BM804" s="48"/>
      <c r="BN804" s="48"/>
      <c r="BO804" s="48"/>
      <c r="BP804" s="48"/>
      <c r="BQ804" s="48"/>
      <c r="BR804" s="48"/>
      <c r="BS804" s="48"/>
      <c r="BT804" s="48"/>
      <c r="BU804" s="48"/>
      <c r="BV804" s="48"/>
      <c r="BW804" s="48"/>
      <c r="BX804" s="48"/>
      <c r="BY804" s="48"/>
      <c r="BZ804" s="48"/>
      <c r="CA804" s="48"/>
      <c r="CB804" s="48"/>
      <c r="CC804" s="48"/>
      <c r="CD804" s="48"/>
      <c r="CE804" s="48"/>
      <c r="CF804" s="48"/>
      <c r="CG804" s="48"/>
      <c r="CH804" s="48"/>
      <c r="CI804" s="48"/>
      <c r="CJ804" s="48"/>
      <c r="CK804" s="48"/>
      <c r="CL804" s="48"/>
      <c r="CM804" s="48"/>
      <c r="CN804" s="48"/>
      <c r="CO804" s="48"/>
      <c r="CP804" s="48"/>
      <c r="CQ804" s="48"/>
      <c r="CR804" s="48"/>
      <c r="CS804" s="48"/>
      <c r="CT804" s="48"/>
      <c r="CU804" s="48"/>
      <c r="CV804" s="48"/>
      <c r="CW804" s="48"/>
      <c r="CX804" s="48"/>
      <c r="CY804" s="48"/>
      <c r="CZ804" s="48"/>
      <c r="DA804" s="48"/>
      <c r="DB804" s="48"/>
      <c r="DC804" s="48"/>
      <c r="DD804" s="48"/>
      <c r="DE804" s="48"/>
      <c r="DF804" s="48"/>
      <c r="DG804" s="48"/>
      <c r="DH804" s="48"/>
      <c r="DI804" s="48"/>
      <c r="DJ804" s="48"/>
      <c r="DK804" s="48"/>
      <c r="DL804" s="48"/>
      <c r="DM804" s="48"/>
      <c r="DN804" s="48"/>
      <c r="DO804" s="48"/>
      <c r="DP804" s="48"/>
      <c r="DQ804" s="48"/>
      <c r="DR804" s="48"/>
      <c r="DS804" s="48"/>
    </row>
    <row r="805" spans="1:123" ht="15">
      <c r="A805"/>
      <c r="B805"/>
      <c r="C805"/>
      <c r="D805"/>
      <c r="E805"/>
      <c r="F805"/>
      <c r="G805"/>
      <c r="H805"/>
      <c r="I805"/>
      <c r="J805"/>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48"/>
      <c r="BJ805" s="48"/>
      <c r="BK805" s="48"/>
      <c r="BL805" s="48"/>
      <c r="BM805" s="48"/>
      <c r="BN805" s="48"/>
      <c r="BO805" s="48"/>
      <c r="BP805" s="48"/>
      <c r="BQ805" s="48"/>
      <c r="BR805" s="48"/>
      <c r="BS805" s="48"/>
      <c r="BT805" s="48"/>
      <c r="BU805" s="48"/>
      <c r="BV805" s="48"/>
      <c r="BW805" s="48"/>
      <c r="BX805" s="48"/>
      <c r="BY805" s="48"/>
      <c r="BZ805" s="48"/>
      <c r="CA805" s="48"/>
      <c r="CB805" s="48"/>
      <c r="CC805" s="48"/>
      <c r="CD805" s="48"/>
      <c r="CE805" s="48"/>
      <c r="CF805" s="48"/>
      <c r="CG805" s="48"/>
      <c r="CH805" s="48"/>
      <c r="CI805" s="48"/>
      <c r="CJ805" s="48"/>
      <c r="CK805" s="48"/>
      <c r="CL805" s="48"/>
      <c r="CM805" s="48"/>
      <c r="CN805" s="48"/>
      <c r="CO805" s="48"/>
      <c r="CP805" s="48"/>
      <c r="CQ805" s="48"/>
      <c r="CR805" s="48"/>
      <c r="CS805" s="48"/>
      <c r="CT805" s="48"/>
      <c r="CU805" s="48"/>
      <c r="CV805" s="48"/>
      <c r="CW805" s="48"/>
      <c r="CX805" s="48"/>
      <c r="CY805" s="48"/>
      <c r="CZ805" s="48"/>
      <c r="DA805" s="48"/>
      <c r="DB805" s="48"/>
      <c r="DC805" s="48"/>
      <c r="DD805" s="48"/>
      <c r="DE805" s="48"/>
      <c r="DF805" s="48"/>
      <c r="DG805" s="48"/>
      <c r="DH805" s="48"/>
      <c r="DI805" s="48"/>
      <c r="DJ805" s="48"/>
      <c r="DK805" s="48"/>
      <c r="DL805" s="48"/>
      <c r="DM805" s="48"/>
      <c r="DN805" s="48"/>
      <c r="DO805" s="48"/>
      <c r="DP805" s="48"/>
      <c r="DQ805" s="48"/>
      <c r="DR805" s="48"/>
      <c r="DS805" s="48"/>
    </row>
    <row r="806" spans="1:123" ht="15">
      <c r="A806"/>
      <c r="B806"/>
      <c r="C806"/>
      <c r="D806"/>
      <c r="E806"/>
      <c r="F806"/>
      <c r="G806"/>
      <c r="H806"/>
      <c r="I806"/>
      <c r="J806"/>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48"/>
      <c r="BH806" s="48"/>
      <c r="BI806" s="48"/>
      <c r="BJ806" s="48"/>
      <c r="BK806" s="48"/>
      <c r="BL806" s="48"/>
      <c r="BM806" s="48"/>
      <c r="BN806" s="48"/>
      <c r="BO806" s="48"/>
      <c r="BP806" s="48"/>
      <c r="BQ806" s="48"/>
      <c r="BR806" s="48"/>
      <c r="BS806" s="48"/>
      <c r="BT806" s="48"/>
      <c r="BU806" s="48"/>
      <c r="BV806" s="48"/>
      <c r="BW806" s="48"/>
      <c r="BX806" s="48"/>
      <c r="BY806" s="48"/>
      <c r="BZ806" s="48"/>
      <c r="CA806" s="48"/>
      <c r="CB806" s="48"/>
      <c r="CC806" s="48"/>
      <c r="CD806" s="48"/>
      <c r="CE806" s="48"/>
      <c r="CF806" s="48"/>
      <c r="CG806" s="48"/>
      <c r="CH806" s="48"/>
      <c r="CI806" s="48"/>
      <c r="CJ806" s="48"/>
      <c r="CK806" s="48"/>
      <c r="CL806" s="48"/>
      <c r="CM806" s="48"/>
      <c r="CN806" s="48"/>
      <c r="CO806" s="48"/>
      <c r="CP806" s="48"/>
      <c r="CQ806" s="48"/>
      <c r="CR806" s="48"/>
      <c r="CS806" s="48"/>
      <c r="CT806" s="48"/>
      <c r="CU806" s="48"/>
      <c r="CV806" s="48"/>
      <c r="CW806" s="48"/>
      <c r="CX806" s="48"/>
      <c r="CY806" s="48"/>
      <c r="CZ806" s="48"/>
      <c r="DA806" s="48"/>
      <c r="DB806" s="48"/>
      <c r="DC806" s="48"/>
      <c r="DD806" s="48"/>
      <c r="DE806" s="48"/>
      <c r="DF806" s="48"/>
      <c r="DG806" s="48"/>
      <c r="DH806" s="48"/>
      <c r="DI806" s="48"/>
      <c r="DJ806" s="48"/>
      <c r="DK806" s="48"/>
      <c r="DL806" s="48"/>
      <c r="DM806" s="48"/>
      <c r="DN806" s="48"/>
      <c r="DO806" s="48"/>
      <c r="DP806" s="48"/>
      <c r="DQ806" s="48"/>
      <c r="DR806" s="48"/>
      <c r="DS806" s="48"/>
    </row>
    <row r="807" spans="1:123" ht="15">
      <c r="A807"/>
      <c r="B807"/>
      <c r="C807"/>
      <c r="D807"/>
      <c r="E807"/>
      <c r="F807"/>
      <c r="G807"/>
      <c r="H807"/>
      <c r="I807"/>
      <c r="J807"/>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48"/>
      <c r="BH807" s="48"/>
      <c r="BI807" s="48"/>
      <c r="BJ807" s="48"/>
      <c r="BK807" s="48"/>
      <c r="BL807" s="48"/>
      <c r="BM807" s="48"/>
      <c r="BN807" s="48"/>
      <c r="BO807" s="48"/>
      <c r="BP807" s="48"/>
      <c r="BQ807" s="48"/>
      <c r="BR807" s="48"/>
      <c r="BS807" s="48"/>
      <c r="BT807" s="48"/>
      <c r="BU807" s="48"/>
      <c r="BV807" s="48"/>
      <c r="BW807" s="48"/>
      <c r="BX807" s="48"/>
      <c r="BY807" s="48"/>
      <c r="BZ807" s="48"/>
      <c r="CA807" s="48"/>
      <c r="CB807" s="48"/>
      <c r="CC807" s="48"/>
      <c r="CD807" s="48"/>
      <c r="CE807" s="48"/>
      <c r="CF807" s="48"/>
      <c r="CG807" s="48"/>
      <c r="CH807" s="48"/>
      <c r="CI807" s="48"/>
      <c r="CJ807" s="48"/>
      <c r="CK807" s="48"/>
      <c r="CL807" s="48"/>
      <c r="CM807" s="48"/>
      <c r="CN807" s="48"/>
      <c r="CO807" s="48"/>
      <c r="CP807" s="48"/>
      <c r="CQ807" s="48"/>
      <c r="CR807" s="48"/>
      <c r="CS807" s="48"/>
      <c r="CT807" s="48"/>
      <c r="CU807" s="48"/>
      <c r="CV807" s="48"/>
      <c r="CW807" s="48"/>
      <c r="CX807" s="48"/>
      <c r="CY807" s="48"/>
      <c r="CZ807" s="48"/>
      <c r="DA807" s="48"/>
      <c r="DB807" s="48"/>
      <c r="DC807" s="48"/>
      <c r="DD807" s="48"/>
      <c r="DE807" s="48"/>
      <c r="DF807" s="48"/>
      <c r="DG807" s="48"/>
      <c r="DH807" s="48"/>
      <c r="DI807" s="48"/>
      <c r="DJ807" s="48"/>
      <c r="DK807" s="48"/>
      <c r="DL807" s="48"/>
      <c r="DM807" s="48"/>
      <c r="DN807" s="48"/>
      <c r="DO807" s="48"/>
      <c r="DP807" s="48"/>
      <c r="DQ807" s="48"/>
      <c r="DR807" s="48"/>
      <c r="DS807" s="48"/>
    </row>
    <row r="808" spans="1:123" ht="15">
      <c r="A808"/>
      <c r="B808"/>
      <c r="C808"/>
      <c r="D808"/>
      <c r="E808"/>
      <c r="F808"/>
      <c r="G808"/>
      <c r="H808"/>
      <c r="I808"/>
      <c r="J80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48"/>
      <c r="BH808" s="48"/>
      <c r="BI808" s="48"/>
      <c r="BJ808" s="48"/>
      <c r="BK808" s="48"/>
      <c r="BL808" s="48"/>
      <c r="BM808" s="48"/>
      <c r="BN808" s="48"/>
      <c r="BO808" s="48"/>
      <c r="BP808" s="48"/>
      <c r="BQ808" s="48"/>
      <c r="BR808" s="48"/>
      <c r="BS808" s="48"/>
      <c r="BT808" s="48"/>
      <c r="BU808" s="48"/>
      <c r="BV808" s="48"/>
      <c r="BW808" s="48"/>
      <c r="BX808" s="48"/>
      <c r="BY808" s="48"/>
      <c r="BZ808" s="48"/>
      <c r="CA808" s="48"/>
      <c r="CB808" s="48"/>
      <c r="CC808" s="48"/>
      <c r="CD808" s="48"/>
      <c r="CE808" s="48"/>
      <c r="CF808" s="48"/>
      <c r="CG808" s="48"/>
      <c r="CH808" s="48"/>
      <c r="CI808" s="48"/>
      <c r="CJ808" s="48"/>
      <c r="CK808" s="48"/>
      <c r="CL808" s="48"/>
      <c r="CM808" s="48"/>
      <c r="CN808" s="48"/>
      <c r="CO808" s="48"/>
      <c r="CP808" s="48"/>
      <c r="CQ808" s="48"/>
      <c r="CR808" s="48"/>
      <c r="CS808" s="48"/>
      <c r="CT808" s="48"/>
      <c r="CU808" s="48"/>
      <c r="CV808" s="48"/>
      <c r="CW808" s="48"/>
      <c r="CX808" s="48"/>
      <c r="CY808" s="48"/>
      <c r="CZ808" s="48"/>
      <c r="DA808" s="48"/>
      <c r="DB808" s="48"/>
      <c r="DC808" s="48"/>
      <c r="DD808" s="48"/>
      <c r="DE808" s="48"/>
      <c r="DF808" s="48"/>
      <c r="DG808" s="48"/>
      <c r="DH808" s="48"/>
      <c r="DI808" s="48"/>
      <c r="DJ808" s="48"/>
      <c r="DK808" s="48"/>
      <c r="DL808" s="48"/>
      <c r="DM808" s="48"/>
      <c r="DN808" s="48"/>
      <c r="DO808" s="48"/>
      <c r="DP808" s="48"/>
      <c r="DQ808" s="48"/>
      <c r="DR808" s="48"/>
      <c r="DS808" s="48"/>
    </row>
    <row r="809" spans="1:123" ht="15">
      <c r="A809"/>
      <c r="B809"/>
      <c r="C809"/>
      <c r="D809"/>
      <c r="E809"/>
      <c r="F809"/>
      <c r="G809"/>
      <c r="H809"/>
      <c r="I809"/>
      <c r="J809"/>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48"/>
      <c r="BH809" s="48"/>
      <c r="BI809" s="48"/>
      <c r="BJ809" s="48"/>
      <c r="BK809" s="48"/>
      <c r="BL809" s="48"/>
      <c r="BM809" s="48"/>
      <c r="BN809" s="48"/>
      <c r="BO809" s="48"/>
      <c r="BP809" s="48"/>
      <c r="BQ809" s="48"/>
      <c r="BR809" s="48"/>
      <c r="BS809" s="48"/>
      <c r="BT809" s="48"/>
      <c r="BU809" s="48"/>
      <c r="BV809" s="48"/>
      <c r="BW809" s="48"/>
      <c r="BX809" s="48"/>
      <c r="BY809" s="48"/>
      <c r="BZ809" s="48"/>
      <c r="CA809" s="48"/>
      <c r="CB809" s="48"/>
      <c r="CC809" s="48"/>
      <c r="CD809" s="48"/>
      <c r="CE809" s="48"/>
      <c r="CF809" s="48"/>
      <c r="CG809" s="48"/>
      <c r="CH809" s="48"/>
      <c r="CI809" s="48"/>
      <c r="CJ809" s="48"/>
      <c r="CK809" s="48"/>
      <c r="CL809" s="48"/>
      <c r="CM809" s="48"/>
      <c r="CN809" s="48"/>
      <c r="CO809" s="48"/>
      <c r="CP809" s="48"/>
      <c r="CQ809" s="48"/>
      <c r="CR809" s="48"/>
      <c r="CS809" s="48"/>
      <c r="CT809" s="48"/>
      <c r="CU809" s="48"/>
      <c r="CV809" s="48"/>
      <c r="CW809" s="48"/>
      <c r="CX809" s="48"/>
      <c r="CY809" s="48"/>
      <c r="CZ809" s="48"/>
      <c r="DA809" s="48"/>
      <c r="DB809" s="48"/>
      <c r="DC809" s="48"/>
      <c r="DD809" s="48"/>
      <c r="DE809" s="48"/>
      <c r="DF809" s="48"/>
      <c r="DG809" s="48"/>
      <c r="DH809" s="48"/>
      <c r="DI809" s="48"/>
      <c r="DJ809" s="48"/>
      <c r="DK809" s="48"/>
      <c r="DL809" s="48"/>
      <c r="DM809" s="48"/>
      <c r="DN809" s="48"/>
      <c r="DO809" s="48"/>
      <c r="DP809" s="48"/>
      <c r="DQ809" s="48"/>
      <c r="DR809" s="48"/>
      <c r="DS809" s="48"/>
    </row>
    <row r="810" spans="1:123" ht="15">
      <c r="A810"/>
      <c r="B810"/>
      <c r="C810"/>
      <c r="D810"/>
      <c r="E810"/>
      <c r="F810"/>
      <c r="G810"/>
      <c r="H810"/>
      <c r="I810"/>
      <c r="J810"/>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48"/>
      <c r="BH810" s="48"/>
      <c r="BI810" s="48"/>
      <c r="BJ810" s="48"/>
      <c r="BK810" s="48"/>
      <c r="BL810" s="48"/>
      <c r="BM810" s="48"/>
      <c r="BN810" s="48"/>
      <c r="BO810" s="48"/>
      <c r="BP810" s="48"/>
      <c r="BQ810" s="48"/>
      <c r="BR810" s="48"/>
      <c r="BS810" s="48"/>
      <c r="BT810" s="48"/>
      <c r="BU810" s="48"/>
      <c r="BV810" s="48"/>
      <c r="BW810" s="48"/>
      <c r="BX810" s="48"/>
      <c r="BY810" s="48"/>
      <c r="BZ810" s="48"/>
      <c r="CA810" s="48"/>
      <c r="CB810" s="48"/>
      <c r="CC810" s="48"/>
      <c r="CD810" s="48"/>
      <c r="CE810" s="48"/>
      <c r="CF810" s="48"/>
      <c r="CG810" s="48"/>
      <c r="CH810" s="48"/>
      <c r="CI810" s="48"/>
      <c r="CJ810" s="48"/>
      <c r="CK810" s="48"/>
      <c r="CL810" s="48"/>
      <c r="CM810" s="48"/>
      <c r="CN810" s="48"/>
      <c r="CO810" s="48"/>
      <c r="CP810" s="48"/>
      <c r="CQ810" s="48"/>
      <c r="CR810" s="48"/>
      <c r="CS810" s="48"/>
      <c r="CT810" s="48"/>
      <c r="CU810" s="48"/>
      <c r="CV810" s="48"/>
      <c r="CW810" s="48"/>
      <c r="CX810" s="48"/>
      <c r="CY810" s="48"/>
      <c r="CZ810" s="48"/>
      <c r="DA810" s="48"/>
      <c r="DB810" s="48"/>
      <c r="DC810" s="48"/>
      <c r="DD810" s="48"/>
      <c r="DE810" s="48"/>
      <c r="DF810" s="48"/>
      <c r="DG810" s="48"/>
      <c r="DH810" s="48"/>
      <c r="DI810" s="48"/>
      <c r="DJ810" s="48"/>
      <c r="DK810" s="48"/>
      <c r="DL810" s="48"/>
      <c r="DM810" s="48"/>
      <c r="DN810" s="48"/>
      <c r="DO810" s="48"/>
      <c r="DP810" s="48"/>
      <c r="DQ810" s="48"/>
      <c r="DR810" s="48"/>
      <c r="DS810" s="48"/>
    </row>
    <row r="811" spans="1:123" ht="15">
      <c r="A811"/>
      <c r="B811"/>
      <c r="C811"/>
      <c r="D811"/>
      <c r="E811"/>
      <c r="F811"/>
      <c r="G811"/>
      <c r="H811"/>
      <c r="I811"/>
      <c r="J811"/>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48"/>
      <c r="BH811" s="48"/>
      <c r="BI811" s="48"/>
      <c r="BJ811" s="48"/>
      <c r="BK811" s="48"/>
      <c r="BL811" s="48"/>
      <c r="BM811" s="48"/>
      <c r="BN811" s="48"/>
      <c r="BO811" s="48"/>
      <c r="BP811" s="48"/>
      <c r="BQ811" s="48"/>
      <c r="BR811" s="48"/>
      <c r="BS811" s="48"/>
      <c r="BT811" s="48"/>
      <c r="BU811" s="48"/>
      <c r="BV811" s="48"/>
      <c r="BW811" s="48"/>
      <c r="BX811" s="48"/>
      <c r="BY811" s="48"/>
      <c r="BZ811" s="48"/>
      <c r="CA811" s="48"/>
      <c r="CB811" s="48"/>
      <c r="CC811" s="48"/>
      <c r="CD811" s="48"/>
      <c r="CE811" s="48"/>
      <c r="CF811" s="48"/>
      <c r="CG811" s="48"/>
      <c r="CH811" s="48"/>
      <c r="CI811" s="48"/>
      <c r="CJ811" s="48"/>
      <c r="CK811" s="48"/>
      <c r="CL811" s="48"/>
      <c r="CM811" s="48"/>
      <c r="CN811" s="48"/>
      <c r="CO811" s="48"/>
      <c r="CP811" s="48"/>
      <c r="CQ811" s="48"/>
      <c r="CR811" s="48"/>
      <c r="CS811" s="48"/>
      <c r="CT811" s="48"/>
      <c r="CU811" s="48"/>
      <c r="CV811" s="48"/>
      <c r="CW811" s="48"/>
      <c r="CX811" s="48"/>
      <c r="CY811" s="48"/>
      <c r="CZ811" s="48"/>
      <c r="DA811" s="48"/>
      <c r="DB811" s="48"/>
      <c r="DC811" s="48"/>
      <c r="DD811" s="48"/>
      <c r="DE811" s="48"/>
      <c r="DF811" s="48"/>
      <c r="DG811" s="48"/>
      <c r="DH811" s="48"/>
      <c r="DI811" s="48"/>
      <c r="DJ811" s="48"/>
      <c r="DK811" s="48"/>
      <c r="DL811" s="48"/>
      <c r="DM811" s="48"/>
      <c r="DN811" s="48"/>
      <c r="DO811" s="48"/>
      <c r="DP811" s="48"/>
      <c r="DQ811" s="48"/>
      <c r="DR811" s="48"/>
      <c r="DS811" s="48"/>
    </row>
    <row r="812" spans="1:123" ht="15">
      <c r="A812"/>
      <c r="B812"/>
      <c r="C812"/>
      <c r="D812"/>
      <c r="E812"/>
      <c r="F812"/>
      <c r="G812"/>
      <c r="H812"/>
      <c r="I812"/>
      <c r="J812"/>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c r="BS812" s="48"/>
      <c r="BT812" s="48"/>
      <c r="BU812" s="48"/>
      <c r="BV812" s="48"/>
      <c r="BW812" s="48"/>
      <c r="BX812" s="48"/>
      <c r="BY812" s="48"/>
      <c r="BZ812" s="48"/>
      <c r="CA812" s="48"/>
      <c r="CB812" s="48"/>
      <c r="CC812" s="48"/>
      <c r="CD812" s="48"/>
      <c r="CE812" s="48"/>
      <c r="CF812" s="48"/>
      <c r="CG812" s="48"/>
      <c r="CH812" s="48"/>
      <c r="CI812" s="48"/>
      <c r="CJ812" s="48"/>
      <c r="CK812" s="48"/>
      <c r="CL812" s="48"/>
      <c r="CM812" s="48"/>
      <c r="CN812" s="48"/>
      <c r="CO812" s="48"/>
      <c r="CP812" s="48"/>
      <c r="CQ812" s="48"/>
      <c r="CR812" s="48"/>
      <c r="CS812" s="48"/>
      <c r="CT812" s="48"/>
      <c r="CU812" s="48"/>
      <c r="CV812" s="48"/>
      <c r="CW812" s="48"/>
      <c r="CX812" s="48"/>
      <c r="CY812" s="48"/>
      <c r="CZ812" s="48"/>
      <c r="DA812" s="48"/>
      <c r="DB812" s="48"/>
      <c r="DC812" s="48"/>
      <c r="DD812" s="48"/>
      <c r="DE812" s="48"/>
      <c r="DF812" s="48"/>
      <c r="DG812" s="48"/>
      <c r="DH812" s="48"/>
      <c r="DI812" s="48"/>
      <c r="DJ812" s="48"/>
      <c r="DK812" s="48"/>
      <c r="DL812" s="48"/>
      <c r="DM812" s="48"/>
      <c r="DN812" s="48"/>
      <c r="DO812" s="48"/>
      <c r="DP812" s="48"/>
      <c r="DQ812" s="48"/>
      <c r="DR812" s="48"/>
      <c r="DS812" s="48"/>
    </row>
    <row r="813" spans="1:123" ht="15">
      <c r="A813"/>
      <c r="B813"/>
      <c r="C813"/>
      <c r="D813"/>
      <c r="E813"/>
      <c r="F813"/>
      <c r="G813"/>
      <c r="H813"/>
      <c r="I813"/>
      <c r="J813"/>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48"/>
      <c r="BH813" s="48"/>
      <c r="BI813" s="48"/>
      <c r="BJ813" s="48"/>
      <c r="BK813" s="48"/>
      <c r="BL813" s="48"/>
      <c r="BM813" s="48"/>
      <c r="BN813" s="48"/>
      <c r="BO813" s="48"/>
      <c r="BP813" s="48"/>
      <c r="BQ813" s="48"/>
      <c r="BR813" s="48"/>
      <c r="BS813" s="48"/>
      <c r="BT813" s="48"/>
      <c r="BU813" s="48"/>
      <c r="BV813" s="48"/>
      <c r="BW813" s="48"/>
      <c r="BX813" s="48"/>
      <c r="BY813" s="48"/>
      <c r="BZ813" s="48"/>
      <c r="CA813" s="48"/>
      <c r="CB813" s="48"/>
      <c r="CC813" s="48"/>
      <c r="CD813" s="48"/>
      <c r="CE813" s="48"/>
      <c r="CF813" s="48"/>
      <c r="CG813" s="48"/>
      <c r="CH813" s="48"/>
      <c r="CI813" s="48"/>
      <c r="CJ813" s="48"/>
      <c r="CK813" s="48"/>
      <c r="CL813" s="48"/>
      <c r="CM813" s="48"/>
      <c r="CN813" s="48"/>
      <c r="CO813" s="48"/>
      <c r="CP813" s="48"/>
      <c r="CQ813" s="48"/>
      <c r="CR813" s="48"/>
      <c r="CS813" s="48"/>
      <c r="CT813" s="48"/>
      <c r="CU813" s="48"/>
      <c r="CV813" s="48"/>
      <c r="CW813" s="48"/>
      <c r="CX813" s="48"/>
      <c r="CY813" s="48"/>
      <c r="CZ813" s="48"/>
      <c r="DA813" s="48"/>
      <c r="DB813" s="48"/>
      <c r="DC813" s="48"/>
      <c r="DD813" s="48"/>
      <c r="DE813" s="48"/>
      <c r="DF813" s="48"/>
      <c r="DG813" s="48"/>
      <c r="DH813" s="48"/>
      <c r="DI813" s="48"/>
      <c r="DJ813" s="48"/>
      <c r="DK813" s="48"/>
      <c r="DL813" s="48"/>
      <c r="DM813" s="48"/>
      <c r="DN813" s="48"/>
      <c r="DO813" s="48"/>
      <c r="DP813" s="48"/>
      <c r="DQ813" s="48"/>
      <c r="DR813" s="48"/>
      <c r="DS813" s="48"/>
    </row>
    <row r="814" spans="1:123" ht="15">
      <c r="A814"/>
      <c r="B814"/>
      <c r="C814"/>
      <c r="D814"/>
      <c r="E814"/>
      <c r="F814"/>
      <c r="G814"/>
      <c r="H814"/>
      <c r="I814"/>
      <c r="J814"/>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48"/>
      <c r="BH814" s="48"/>
      <c r="BI814" s="48"/>
      <c r="BJ814" s="48"/>
      <c r="BK814" s="48"/>
      <c r="BL814" s="48"/>
      <c r="BM814" s="48"/>
      <c r="BN814" s="48"/>
      <c r="BO814" s="48"/>
      <c r="BP814" s="48"/>
      <c r="BQ814" s="48"/>
      <c r="BR814" s="48"/>
      <c r="BS814" s="48"/>
      <c r="BT814" s="48"/>
      <c r="BU814" s="48"/>
      <c r="BV814" s="48"/>
      <c r="BW814" s="48"/>
      <c r="BX814" s="48"/>
      <c r="BY814" s="48"/>
      <c r="BZ814" s="48"/>
      <c r="CA814" s="48"/>
      <c r="CB814" s="48"/>
      <c r="CC814" s="48"/>
      <c r="CD814" s="48"/>
      <c r="CE814" s="48"/>
      <c r="CF814" s="48"/>
      <c r="CG814" s="48"/>
      <c r="CH814" s="48"/>
      <c r="CI814" s="48"/>
      <c r="CJ814" s="48"/>
      <c r="CK814" s="48"/>
      <c r="CL814" s="48"/>
      <c r="CM814" s="48"/>
      <c r="CN814" s="48"/>
      <c r="CO814" s="48"/>
      <c r="CP814" s="48"/>
      <c r="CQ814" s="48"/>
      <c r="CR814" s="48"/>
      <c r="CS814" s="48"/>
      <c r="CT814" s="48"/>
      <c r="CU814" s="48"/>
      <c r="CV814" s="48"/>
      <c r="CW814" s="48"/>
      <c r="CX814" s="48"/>
      <c r="CY814" s="48"/>
      <c r="CZ814" s="48"/>
      <c r="DA814" s="48"/>
      <c r="DB814" s="48"/>
      <c r="DC814" s="48"/>
      <c r="DD814" s="48"/>
      <c r="DE814" s="48"/>
      <c r="DF814" s="48"/>
      <c r="DG814" s="48"/>
      <c r="DH814" s="48"/>
      <c r="DI814" s="48"/>
      <c r="DJ814" s="48"/>
      <c r="DK814" s="48"/>
      <c r="DL814" s="48"/>
      <c r="DM814" s="48"/>
      <c r="DN814" s="48"/>
      <c r="DO814" s="48"/>
      <c r="DP814" s="48"/>
      <c r="DQ814" s="48"/>
      <c r="DR814" s="48"/>
      <c r="DS814" s="48"/>
    </row>
    <row r="815" spans="1:123" ht="15">
      <c r="A815"/>
      <c r="B815"/>
      <c r="C815"/>
      <c r="D815"/>
      <c r="E815"/>
      <c r="F815"/>
      <c r="G815"/>
      <c r="H815"/>
      <c r="I815"/>
      <c r="J815"/>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48"/>
      <c r="BH815" s="48"/>
      <c r="BI815" s="48"/>
      <c r="BJ815" s="48"/>
      <c r="BK815" s="48"/>
      <c r="BL815" s="48"/>
      <c r="BM815" s="48"/>
      <c r="BN815" s="48"/>
      <c r="BO815" s="48"/>
      <c r="BP815" s="48"/>
      <c r="BQ815" s="48"/>
      <c r="BR815" s="48"/>
      <c r="BS815" s="48"/>
      <c r="BT815" s="48"/>
      <c r="BU815" s="48"/>
      <c r="BV815" s="48"/>
      <c r="BW815" s="48"/>
      <c r="BX815" s="48"/>
      <c r="BY815" s="48"/>
      <c r="BZ815" s="48"/>
      <c r="CA815" s="48"/>
      <c r="CB815" s="48"/>
      <c r="CC815" s="48"/>
      <c r="CD815" s="48"/>
      <c r="CE815" s="48"/>
      <c r="CF815" s="48"/>
      <c r="CG815" s="48"/>
      <c r="CH815" s="48"/>
      <c r="CI815" s="48"/>
      <c r="CJ815" s="48"/>
      <c r="CK815" s="48"/>
      <c r="CL815" s="48"/>
      <c r="CM815" s="48"/>
      <c r="CN815" s="48"/>
      <c r="CO815" s="48"/>
      <c r="CP815" s="48"/>
      <c r="CQ815" s="48"/>
      <c r="CR815" s="48"/>
      <c r="CS815" s="48"/>
      <c r="CT815" s="48"/>
      <c r="CU815" s="48"/>
      <c r="CV815" s="48"/>
      <c r="CW815" s="48"/>
      <c r="CX815" s="48"/>
      <c r="CY815" s="48"/>
      <c r="CZ815" s="48"/>
      <c r="DA815" s="48"/>
      <c r="DB815" s="48"/>
      <c r="DC815" s="48"/>
      <c r="DD815" s="48"/>
      <c r="DE815" s="48"/>
      <c r="DF815" s="48"/>
      <c r="DG815" s="48"/>
      <c r="DH815" s="48"/>
      <c r="DI815" s="48"/>
      <c r="DJ815" s="48"/>
      <c r="DK815" s="48"/>
      <c r="DL815" s="48"/>
      <c r="DM815" s="48"/>
      <c r="DN815" s="48"/>
      <c r="DO815" s="48"/>
      <c r="DP815" s="48"/>
      <c r="DQ815" s="48"/>
      <c r="DR815" s="48"/>
      <c r="DS815" s="48"/>
    </row>
    <row r="816" spans="1:123" ht="15">
      <c r="A816"/>
      <c r="B816"/>
      <c r="C816"/>
      <c r="D816"/>
      <c r="E816"/>
      <c r="F816"/>
      <c r="G816"/>
      <c r="H816"/>
      <c r="I816"/>
      <c r="J816"/>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48"/>
      <c r="BH816" s="48"/>
      <c r="BI816" s="48"/>
      <c r="BJ816" s="48"/>
      <c r="BK816" s="48"/>
      <c r="BL816" s="48"/>
      <c r="BM816" s="48"/>
      <c r="BN816" s="48"/>
      <c r="BO816" s="48"/>
      <c r="BP816" s="48"/>
      <c r="BQ816" s="48"/>
      <c r="BR816" s="48"/>
      <c r="BS816" s="48"/>
      <c r="BT816" s="48"/>
      <c r="BU816" s="48"/>
      <c r="BV816" s="48"/>
      <c r="BW816" s="48"/>
      <c r="BX816" s="48"/>
      <c r="BY816" s="48"/>
      <c r="BZ816" s="48"/>
      <c r="CA816" s="48"/>
      <c r="CB816" s="48"/>
      <c r="CC816" s="48"/>
      <c r="CD816" s="48"/>
      <c r="CE816" s="48"/>
      <c r="CF816" s="48"/>
      <c r="CG816" s="48"/>
      <c r="CH816" s="48"/>
      <c r="CI816" s="48"/>
      <c r="CJ816" s="48"/>
      <c r="CK816" s="48"/>
      <c r="CL816" s="48"/>
      <c r="CM816" s="48"/>
      <c r="CN816" s="48"/>
      <c r="CO816" s="48"/>
      <c r="CP816" s="48"/>
      <c r="CQ816" s="48"/>
      <c r="CR816" s="48"/>
      <c r="CS816" s="48"/>
      <c r="CT816" s="48"/>
      <c r="CU816" s="48"/>
      <c r="CV816" s="48"/>
      <c r="CW816" s="48"/>
      <c r="CX816" s="48"/>
      <c r="CY816" s="48"/>
      <c r="CZ816" s="48"/>
      <c r="DA816" s="48"/>
      <c r="DB816" s="48"/>
      <c r="DC816" s="48"/>
      <c r="DD816" s="48"/>
      <c r="DE816" s="48"/>
      <c r="DF816" s="48"/>
      <c r="DG816" s="48"/>
      <c r="DH816" s="48"/>
      <c r="DI816" s="48"/>
      <c r="DJ816" s="48"/>
      <c r="DK816" s="48"/>
      <c r="DL816" s="48"/>
      <c r="DM816" s="48"/>
      <c r="DN816" s="48"/>
      <c r="DO816" s="48"/>
      <c r="DP816" s="48"/>
      <c r="DQ816" s="48"/>
      <c r="DR816" s="48"/>
      <c r="DS816" s="48"/>
    </row>
    <row r="817" spans="1:123" ht="15">
      <c r="A817"/>
      <c r="B817"/>
      <c r="C817"/>
      <c r="D817"/>
      <c r="E817"/>
      <c r="F817"/>
      <c r="G817"/>
      <c r="H817"/>
      <c r="I817"/>
      <c r="J817"/>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c r="BO817" s="48"/>
      <c r="BP817" s="48"/>
      <c r="BQ817" s="48"/>
      <c r="BR817" s="48"/>
      <c r="BS817" s="48"/>
      <c r="BT817" s="48"/>
      <c r="BU817" s="48"/>
      <c r="BV817" s="48"/>
      <c r="BW817" s="48"/>
      <c r="BX817" s="48"/>
      <c r="BY817" s="48"/>
      <c r="BZ817" s="48"/>
      <c r="CA817" s="48"/>
      <c r="CB817" s="48"/>
      <c r="CC817" s="48"/>
      <c r="CD817" s="48"/>
      <c r="CE817" s="48"/>
      <c r="CF817" s="48"/>
      <c r="CG817" s="48"/>
      <c r="CH817" s="48"/>
      <c r="CI817" s="48"/>
      <c r="CJ817" s="48"/>
      <c r="CK817" s="48"/>
      <c r="CL817" s="48"/>
      <c r="CM817" s="48"/>
      <c r="CN817" s="48"/>
      <c r="CO817" s="48"/>
      <c r="CP817" s="48"/>
      <c r="CQ817" s="48"/>
      <c r="CR817" s="48"/>
      <c r="CS817" s="48"/>
      <c r="CT817" s="48"/>
      <c r="CU817" s="48"/>
      <c r="CV817" s="48"/>
      <c r="CW817" s="48"/>
      <c r="CX817" s="48"/>
      <c r="CY817" s="48"/>
      <c r="CZ817" s="48"/>
      <c r="DA817" s="48"/>
      <c r="DB817" s="48"/>
      <c r="DC817" s="48"/>
      <c r="DD817" s="48"/>
      <c r="DE817" s="48"/>
      <c r="DF817" s="48"/>
      <c r="DG817" s="48"/>
      <c r="DH817" s="48"/>
      <c r="DI817" s="48"/>
      <c r="DJ817" s="48"/>
      <c r="DK817" s="48"/>
      <c r="DL817" s="48"/>
      <c r="DM817" s="48"/>
      <c r="DN817" s="48"/>
      <c r="DO817" s="48"/>
      <c r="DP817" s="48"/>
      <c r="DQ817" s="48"/>
      <c r="DR817" s="48"/>
      <c r="DS817" s="48"/>
    </row>
    <row r="818" spans="1:123" ht="15">
      <c r="A818"/>
      <c r="B818"/>
      <c r="C818"/>
      <c r="D818"/>
      <c r="E818"/>
      <c r="F818"/>
      <c r="G818"/>
      <c r="H818"/>
      <c r="I818"/>
      <c r="J81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c r="BO818" s="48"/>
      <c r="BP818" s="48"/>
      <c r="BQ818" s="48"/>
      <c r="BR818" s="48"/>
      <c r="BS818" s="48"/>
      <c r="BT818" s="48"/>
      <c r="BU818" s="48"/>
      <c r="BV818" s="48"/>
      <c r="BW818" s="48"/>
      <c r="BX818" s="48"/>
      <c r="BY818" s="48"/>
      <c r="BZ818" s="48"/>
      <c r="CA818" s="48"/>
      <c r="CB818" s="48"/>
      <c r="CC818" s="48"/>
      <c r="CD818" s="48"/>
      <c r="CE818" s="48"/>
      <c r="CF818" s="48"/>
      <c r="CG818" s="48"/>
      <c r="CH818" s="48"/>
      <c r="CI818" s="48"/>
      <c r="CJ818" s="48"/>
      <c r="CK818" s="48"/>
      <c r="CL818" s="48"/>
      <c r="CM818" s="48"/>
      <c r="CN818" s="48"/>
      <c r="CO818" s="48"/>
      <c r="CP818" s="48"/>
      <c r="CQ818" s="48"/>
      <c r="CR818" s="48"/>
      <c r="CS818" s="48"/>
      <c r="CT818" s="48"/>
      <c r="CU818" s="48"/>
      <c r="CV818" s="48"/>
      <c r="CW818" s="48"/>
      <c r="CX818" s="48"/>
      <c r="CY818" s="48"/>
      <c r="CZ818" s="48"/>
      <c r="DA818" s="48"/>
      <c r="DB818" s="48"/>
      <c r="DC818" s="48"/>
      <c r="DD818" s="48"/>
      <c r="DE818" s="48"/>
      <c r="DF818" s="48"/>
      <c r="DG818" s="48"/>
      <c r="DH818" s="48"/>
      <c r="DI818" s="48"/>
      <c r="DJ818" s="48"/>
      <c r="DK818" s="48"/>
      <c r="DL818" s="48"/>
      <c r="DM818" s="48"/>
      <c r="DN818" s="48"/>
      <c r="DO818" s="48"/>
      <c r="DP818" s="48"/>
      <c r="DQ818" s="48"/>
      <c r="DR818" s="48"/>
      <c r="DS818" s="48"/>
    </row>
    <row r="819" spans="1:123" ht="15">
      <c r="A819"/>
      <c r="B819"/>
      <c r="C819"/>
      <c r="D819"/>
      <c r="E819"/>
      <c r="F819"/>
      <c r="G819"/>
      <c r="H819"/>
      <c r="I819"/>
      <c r="J819"/>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c r="BO819" s="48"/>
      <c r="BP819" s="48"/>
      <c r="BQ819" s="48"/>
      <c r="BR819" s="48"/>
      <c r="BS819" s="48"/>
      <c r="BT819" s="48"/>
      <c r="BU819" s="48"/>
      <c r="BV819" s="48"/>
      <c r="BW819" s="48"/>
      <c r="BX819" s="48"/>
      <c r="BY819" s="48"/>
      <c r="BZ819" s="48"/>
      <c r="CA819" s="48"/>
      <c r="CB819" s="48"/>
      <c r="CC819" s="48"/>
      <c r="CD819" s="48"/>
      <c r="CE819" s="48"/>
      <c r="CF819" s="48"/>
      <c r="CG819" s="48"/>
      <c r="CH819" s="48"/>
      <c r="CI819" s="48"/>
      <c r="CJ819" s="48"/>
      <c r="CK819" s="48"/>
      <c r="CL819" s="48"/>
      <c r="CM819" s="48"/>
      <c r="CN819" s="48"/>
      <c r="CO819" s="48"/>
      <c r="CP819" s="48"/>
      <c r="CQ819" s="48"/>
      <c r="CR819" s="48"/>
      <c r="CS819" s="48"/>
      <c r="CT819" s="48"/>
      <c r="CU819" s="48"/>
      <c r="CV819" s="48"/>
      <c r="CW819" s="48"/>
      <c r="CX819" s="48"/>
      <c r="CY819" s="48"/>
      <c r="CZ819" s="48"/>
      <c r="DA819" s="48"/>
      <c r="DB819" s="48"/>
      <c r="DC819" s="48"/>
      <c r="DD819" s="48"/>
      <c r="DE819" s="48"/>
      <c r="DF819" s="48"/>
      <c r="DG819" s="48"/>
      <c r="DH819" s="48"/>
      <c r="DI819" s="48"/>
      <c r="DJ819" s="48"/>
      <c r="DK819" s="48"/>
      <c r="DL819" s="48"/>
      <c r="DM819" s="48"/>
      <c r="DN819" s="48"/>
      <c r="DO819" s="48"/>
      <c r="DP819" s="48"/>
      <c r="DQ819" s="48"/>
      <c r="DR819" s="48"/>
      <c r="DS819" s="48"/>
    </row>
    <row r="820" spans="1:123" ht="15">
      <c r="A820"/>
      <c r="B820"/>
      <c r="C820"/>
      <c r="D820"/>
      <c r="E820"/>
      <c r="F820"/>
      <c r="G820"/>
      <c r="H820"/>
      <c r="I820"/>
      <c r="J820"/>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48"/>
      <c r="BH820" s="48"/>
      <c r="BI820" s="48"/>
      <c r="BJ820" s="48"/>
      <c r="BK820" s="48"/>
      <c r="BL820" s="48"/>
      <c r="BM820" s="48"/>
      <c r="BN820" s="48"/>
      <c r="BO820" s="48"/>
      <c r="BP820" s="48"/>
      <c r="BQ820" s="48"/>
      <c r="BR820" s="48"/>
      <c r="BS820" s="48"/>
      <c r="BT820" s="48"/>
      <c r="BU820" s="48"/>
      <c r="BV820" s="48"/>
      <c r="BW820" s="48"/>
      <c r="BX820" s="48"/>
      <c r="BY820" s="48"/>
      <c r="BZ820" s="48"/>
      <c r="CA820" s="48"/>
      <c r="CB820" s="48"/>
      <c r="CC820" s="48"/>
      <c r="CD820" s="48"/>
      <c r="CE820" s="48"/>
      <c r="CF820" s="48"/>
      <c r="CG820" s="48"/>
      <c r="CH820" s="48"/>
      <c r="CI820" s="48"/>
      <c r="CJ820" s="48"/>
      <c r="CK820" s="48"/>
      <c r="CL820" s="48"/>
      <c r="CM820" s="48"/>
      <c r="CN820" s="48"/>
      <c r="CO820" s="48"/>
      <c r="CP820" s="48"/>
      <c r="CQ820" s="48"/>
      <c r="CR820" s="48"/>
      <c r="CS820" s="48"/>
      <c r="CT820" s="48"/>
      <c r="CU820" s="48"/>
      <c r="CV820" s="48"/>
      <c r="CW820" s="48"/>
      <c r="CX820" s="48"/>
      <c r="CY820" s="48"/>
      <c r="CZ820" s="48"/>
      <c r="DA820" s="48"/>
      <c r="DB820" s="48"/>
      <c r="DC820" s="48"/>
      <c r="DD820" s="48"/>
      <c r="DE820" s="48"/>
      <c r="DF820" s="48"/>
      <c r="DG820" s="48"/>
      <c r="DH820" s="48"/>
      <c r="DI820" s="48"/>
      <c r="DJ820" s="48"/>
      <c r="DK820" s="48"/>
      <c r="DL820" s="48"/>
      <c r="DM820" s="48"/>
      <c r="DN820" s="48"/>
      <c r="DO820" s="48"/>
      <c r="DP820" s="48"/>
      <c r="DQ820" s="48"/>
      <c r="DR820" s="48"/>
      <c r="DS820" s="48"/>
    </row>
    <row r="821" spans="1:123" ht="15">
      <c r="A821"/>
      <c r="B821"/>
      <c r="C821"/>
      <c r="D821"/>
      <c r="E821"/>
      <c r="F821"/>
      <c r="G821"/>
      <c r="H821"/>
      <c r="I821"/>
      <c r="J821"/>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48"/>
      <c r="BH821" s="48"/>
      <c r="BI821" s="48"/>
      <c r="BJ821" s="48"/>
      <c r="BK821" s="48"/>
      <c r="BL821" s="48"/>
      <c r="BM821" s="48"/>
      <c r="BN821" s="48"/>
      <c r="BO821" s="48"/>
      <c r="BP821" s="48"/>
      <c r="BQ821" s="48"/>
      <c r="BR821" s="48"/>
      <c r="BS821" s="48"/>
      <c r="BT821" s="48"/>
      <c r="BU821" s="48"/>
      <c r="BV821" s="48"/>
      <c r="BW821" s="48"/>
      <c r="BX821" s="48"/>
      <c r="BY821" s="48"/>
      <c r="BZ821" s="48"/>
      <c r="CA821" s="48"/>
      <c r="CB821" s="48"/>
      <c r="CC821" s="48"/>
      <c r="CD821" s="48"/>
      <c r="CE821" s="48"/>
      <c r="CF821" s="48"/>
      <c r="CG821" s="48"/>
      <c r="CH821" s="48"/>
      <c r="CI821" s="48"/>
      <c r="CJ821" s="48"/>
      <c r="CK821" s="48"/>
      <c r="CL821" s="48"/>
      <c r="CM821" s="48"/>
      <c r="CN821" s="48"/>
      <c r="CO821" s="48"/>
      <c r="CP821" s="48"/>
      <c r="CQ821" s="48"/>
      <c r="CR821" s="48"/>
      <c r="CS821" s="48"/>
      <c r="CT821" s="48"/>
      <c r="CU821" s="48"/>
      <c r="CV821" s="48"/>
      <c r="CW821" s="48"/>
      <c r="CX821" s="48"/>
      <c r="CY821" s="48"/>
      <c r="CZ821" s="48"/>
      <c r="DA821" s="48"/>
      <c r="DB821" s="48"/>
      <c r="DC821" s="48"/>
      <c r="DD821" s="48"/>
      <c r="DE821" s="48"/>
      <c r="DF821" s="48"/>
      <c r="DG821" s="48"/>
      <c r="DH821" s="48"/>
      <c r="DI821" s="48"/>
      <c r="DJ821" s="48"/>
      <c r="DK821" s="48"/>
      <c r="DL821" s="48"/>
      <c r="DM821" s="48"/>
      <c r="DN821" s="48"/>
      <c r="DO821" s="48"/>
      <c r="DP821" s="48"/>
      <c r="DQ821" s="48"/>
      <c r="DR821" s="48"/>
      <c r="DS821" s="48"/>
    </row>
    <row r="822" spans="1:123" ht="15">
      <c r="A822"/>
      <c r="B822"/>
      <c r="C822"/>
      <c r="D822"/>
      <c r="E822"/>
      <c r="F822"/>
      <c r="G822"/>
      <c r="H822"/>
      <c r="I822"/>
      <c r="J822"/>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48"/>
      <c r="BH822" s="48"/>
      <c r="BI822" s="48"/>
      <c r="BJ822" s="48"/>
      <c r="BK822" s="48"/>
      <c r="BL822" s="48"/>
      <c r="BM822" s="48"/>
      <c r="BN822" s="48"/>
      <c r="BO822" s="48"/>
      <c r="BP822" s="48"/>
      <c r="BQ822" s="48"/>
      <c r="BR822" s="48"/>
      <c r="BS822" s="48"/>
      <c r="BT822" s="48"/>
      <c r="BU822" s="48"/>
      <c r="BV822" s="48"/>
      <c r="BW822" s="48"/>
      <c r="BX822" s="48"/>
      <c r="BY822" s="48"/>
      <c r="BZ822" s="48"/>
      <c r="CA822" s="48"/>
      <c r="CB822" s="48"/>
      <c r="CC822" s="48"/>
      <c r="CD822" s="48"/>
      <c r="CE822" s="48"/>
      <c r="CF822" s="48"/>
      <c r="CG822" s="48"/>
      <c r="CH822" s="48"/>
      <c r="CI822" s="48"/>
      <c r="CJ822" s="48"/>
      <c r="CK822" s="48"/>
      <c r="CL822" s="48"/>
      <c r="CM822" s="48"/>
      <c r="CN822" s="48"/>
      <c r="CO822" s="48"/>
      <c r="CP822" s="48"/>
      <c r="CQ822" s="48"/>
      <c r="CR822" s="48"/>
      <c r="CS822" s="48"/>
      <c r="CT822" s="48"/>
      <c r="CU822" s="48"/>
      <c r="CV822" s="48"/>
      <c r="CW822" s="48"/>
      <c r="CX822" s="48"/>
      <c r="CY822" s="48"/>
      <c r="CZ822" s="48"/>
      <c r="DA822" s="48"/>
      <c r="DB822" s="48"/>
      <c r="DC822" s="48"/>
      <c r="DD822" s="48"/>
      <c r="DE822" s="48"/>
      <c r="DF822" s="48"/>
      <c r="DG822" s="48"/>
      <c r="DH822" s="48"/>
      <c r="DI822" s="48"/>
      <c r="DJ822" s="48"/>
      <c r="DK822" s="48"/>
      <c r="DL822" s="48"/>
      <c r="DM822" s="48"/>
      <c r="DN822" s="48"/>
      <c r="DO822" s="48"/>
      <c r="DP822" s="48"/>
      <c r="DQ822" s="48"/>
      <c r="DR822" s="48"/>
      <c r="DS822" s="48"/>
    </row>
    <row r="823" spans="1:123" ht="15">
      <c r="A823"/>
      <c r="B823"/>
      <c r="C823"/>
      <c r="D823"/>
      <c r="E823"/>
      <c r="F823"/>
      <c r="G823"/>
      <c r="H823"/>
      <c r="I823"/>
      <c r="J823"/>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48"/>
      <c r="BH823" s="48"/>
      <c r="BI823" s="48"/>
      <c r="BJ823" s="48"/>
      <c r="BK823" s="48"/>
      <c r="BL823" s="48"/>
      <c r="BM823" s="48"/>
      <c r="BN823" s="48"/>
      <c r="BO823" s="48"/>
      <c r="BP823" s="48"/>
      <c r="BQ823" s="48"/>
      <c r="BR823" s="48"/>
      <c r="BS823" s="48"/>
      <c r="BT823" s="48"/>
      <c r="BU823" s="48"/>
      <c r="BV823" s="48"/>
      <c r="BW823" s="48"/>
      <c r="BX823" s="48"/>
      <c r="BY823" s="48"/>
      <c r="BZ823" s="48"/>
      <c r="CA823" s="48"/>
      <c r="CB823" s="48"/>
      <c r="CC823" s="48"/>
      <c r="CD823" s="48"/>
      <c r="CE823" s="48"/>
      <c r="CF823" s="48"/>
      <c r="CG823" s="48"/>
      <c r="CH823" s="48"/>
      <c r="CI823" s="48"/>
      <c r="CJ823" s="48"/>
      <c r="CK823" s="48"/>
      <c r="CL823" s="48"/>
      <c r="CM823" s="48"/>
      <c r="CN823" s="48"/>
      <c r="CO823" s="48"/>
      <c r="CP823" s="48"/>
      <c r="CQ823" s="48"/>
      <c r="CR823" s="48"/>
      <c r="CS823" s="48"/>
      <c r="CT823" s="48"/>
      <c r="CU823" s="48"/>
      <c r="CV823" s="48"/>
      <c r="CW823" s="48"/>
      <c r="CX823" s="48"/>
      <c r="CY823" s="48"/>
      <c r="CZ823" s="48"/>
      <c r="DA823" s="48"/>
      <c r="DB823" s="48"/>
      <c r="DC823" s="48"/>
      <c r="DD823" s="48"/>
      <c r="DE823" s="48"/>
      <c r="DF823" s="48"/>
      <c r="DG823" s="48"/>
      <c r="DH823" s="48"/>
      <c r="DI823" s="48"/>
      <c r="DJ823" s="48"/>
      <c r="DK823" s="48"/>
      <c r="DL823" s="48"/>
      <c r="DM823" s="48"/>
      <c r="DN823" s="48"/>
      <c r="DO823" s="48"/>
      <c r="DP823" s="48"/>
      <c r="DQ823" s="48"/>
      <c r="DR823" s="48"/>
      <c r="DS823" s="48"/>
    </row>
    <row r="824" spans="1:123" ht="15">
      <c r="A824"/>
      <c r="B824"/>
      <c r="C824"/>
      <c r="D824"/>
      <c r="E824"/>
      <c r="F824"/>
      <c r="G824"/>
      <c r="H824"/>
      <c r="I824"/>
      <c r="J824"/>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48"/>
      <c r="BH824" s="48"/>
      <c r="BI824" s="48"/>
      <c r="BJ824" s="48"/>
      <c r="BK824" s="48"/>
      <c r="BL824" s="48"/>
      <c r="BM824" s="48"/>
      <c r="BN824" s="48"/>
      <c r="BO824" s="48"/>
      <c r="BP824" s="48"/>
      <c r="BQ824" s="48"/>
      <c r="BR824" s="48"/>
      <c r="BS824" s="48"/>
      <c r="BT824" s="48"/>
      <c r="BU824" s="48"/>
      <c r="BV824" s="48"/>
      <c r="BW824" s="48"/>
      <c r="BX824" s="48"/>
      <c r="BY824" s="48"/>
      <c r="BZ824" s="48"/>
      <c r="CA824" s="48"/>
      <c r="CB824" s="48"/>
      <c r="CC824" s="48"/>
      <c r="CD824" s="48"/>
      <c r="CE824" s="48"/>
      <c r="CF824" s="48"/>
      <c r="CG824" s="48"/>
      <c r="CH824" s="48"/>
      <c r="CI824" s="48"/>
      <c r="CJ824" s="48"/>
      <c r="CK824" s="48"/>
      <c r="CL824" s="48"/>
      <c r="CM824" s="48"/>
      <c r="CN824" s="48"/>
      <c r="CO824" s="48"/>
      <c r="CP824" s="48"/>
      <c r="CQ824" s="48"/>
      <c r="CR824" s="48"/>
      <c r="CS824" s="48"/>
      <c r="CT824" s="48"/>
      <c r="CU824" s="48"/>
      <c r="CV824" s="48"/>
      <c r="CW824" s="48"/>
      <c r="CX824" s="48"/>
      <c r="CY824" s="48"/>
      <c r="CZ824" s="48"/>
      <c r="DA824" s="48"/>
      <c r="DB824" s="48"/>
      <c r="DC824" s="48"/>
      <c r="DD824" s="48"/>
      <c r="DE824" s="48"/>
      <c r="DF824" s="48"/>
      <c r="DG824" s="48"/>
      <c r="DH824" s="48"/>
      <c r="DI824" s="48"/>
      <c r="DJ824" s="48"/>
      <c r="DK824" s="48"/>
      <c r="DL824" s="48"/>
      <c r="DM824" s="48"/>
      <c r="DN824" s="48"/>
      <c r="DO824" s="48"/>
      <c r="DP824" s="48"/>
      <c r="DQ824" s="48"/>
      <c r="DR824" s="48"/>
      <c r="DS824" s="48"/>
    </row>
    <row r="825" spans="1:123" ht="15">
      <c r="A825"/>
      <c r="B825"/>
      <c r="C825"/>
      <c r="D825"/>
      <c r="E825"/>
      <c r="F825"/>
      <c r="G825"/>
      <c r="H825"/>
      <c r="I825"/>
      <c r="J825"/>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48"/>
      <c r="BH825" s="48"/>
      <c r="BI825" s="48"/>
      <c r="BJ825" s="48"/>
      <c r="BK825" s="48"/>
      <c r="BL825" s="48"/>
      <c r="BM825" s="48"/>
      <c r="BN825" s="48"/>
      <c r="BO825" s="48"/>
      <c r="BP825" s="48"/>
      <c r="BQ825" s="48"/>
      <c r="BR825" s="48"/>
      <c r="BS825" s="48"/>
      <c r="BT825" s="48"/>
      <c r="BU825" s="48"/>
      <c r="BV825" s="48"/>
      <c r="BW825" s="48"/>
      <c r="BX825" s="48"/>
      <c r="BY825" s="48"/>
      <c r="BZ825" s="48"/>
      <c r="CA825" s="48"/>
      <c r="CB825" s="48"/>
      <c r="CC825" s="48"/>
      <c r="CD825" s="48"/>
      <c r="CE825" s="48"/>
      <c r="CF825" s="48"/>
      <c r="CG825" s="48"/>
      <c r="CH825" s="48"/>
      <c r="CI825" s="48"/>
      <c r="CJ825" s="48"/>
      <c r="CK825" s="48"/>
      <c r="CL825" s="48"/>
      <c r="CM825" s="48"/>
      <c r="CN825" s="48"/>
      <c r="CO825" s="48"/>
      <c r="CP825" s="48"/>
      <c r="CQ825" s="48"/>
      <c r="CR825" s="48"/>
      <c r="CS825" s="48"/>
      <c r="CT825" s="48"/>
      <c r="CU825" s="48"/>
      <c r="CV825" s="48"/>
      <c r="CW825" s="48"/>
      <c r="CX825" s="48"/>
      <c r="CY825" s="48"/>
      <c r="CZ825" s="48"/>
      <c r="DA825" s="48"/>
      <c r="DB825" s="48"/>
      <c r="DC825" s="48"/>
      <c r="DD825" s="48"/>
      <c r="DE825" s="48"/>
      <c r="DF825" s="48"/>
      <c r="DG825" s="48"/>
      <c r="DH825" s="48"/>
      <c r="DI825" s="48"/>
      <c r="DJ825" s="48"/>
      <c r="DK825" s="48"/>
      <c r="DL825" s="48"/>
      <c r="DM825" s="48"/>
      <c r="DN825" s="48"/>
      <c r="DO825" s="48"/>
      <c r="DP825" s="48"/>
      <c r="DQ825" s="48"/>
      <c r="DR825" s="48"/>
      <c r="DS825" s="48"/>
    </row>
    <row r="826" spans="1:123" ht="15">
      <c r="A826"/>
      <c r="B826"/>
      <c r="C826"/>
      <c r="D826"/>
      <c r="E826"/>
      <c r="F826"/>
      <c r="G826"/>
      <c r="H826"/>
      <c r="I826"/>
      <c r="J826"/>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48"/>
      <c r="BH826" s="48"/>
      <c r="BI826" s="48"/>
      <c r="BJ826" s="48"/>
      <c r="BK826" s="48"/>
      <c r="BL826" s="48"/>
      <c r="BM826" s="48"/>
      <c r="BN826" s="48"/>
      <c r="BO826" s="48"/>
      <c r="BP826" s="48"/>
      <c r="BQ826" s="48"/>
      <c r="BR826" s="48"/>
      <c r="BS826" s="48"/>
      <c r="BT826" s="48"/>
      <c r="BU826" s="48"/>
      <c r="BV826" s="48"/>
      <c r="BW826" s="48"/>
      <c r="BX826" s="48"/>
      <c r="BY826" s="48"/>
      <c r="BZ826" s="48"/>
      <c r="CA826" s="48"/>
      <c r="CB826" s="48"/>
      <c r="CC826" s="48"/>
      <c r="CD826" s="48"/>
      <c r="CE826" s="48"/>
      <c r="CF826" s="48"/>
      <c r="CG826" s="48"/>
      <c r="CH826" s="48"/>
      <c r="CI826" s="48"/>
      <c r="CJ826" s="48"/>
      <c r="CK826" s="48"/>
      <c r="CL826" s="48"/>
      <c r="CM826" s="48"/>
      <c r="CN826" s="48"/>
      <c r="CO826" s="48"/>
      <c r="CP826" s="48"/>
      <c r="CQ826" s="48"/>
      <c r="CR826" s="48"/>
      <c r="CS826" s="48"/>
      <c r="CT826" s="48"/>
      <c r="CU826" s="48"/>
      <c r="CV826" s="48"/>
      <c r="CW826" s="48"/>
      <c r="CX826" s="48"/>
      <c r="CY826" s="48"/>
      <c r="CZ826" s="48"/>
      <c r="DA826" s="48"/>
      <c r="DB826" s="48"/>
      <c r="DC826" s="48"/>
      <c r="DD826" s="48"/>
      <c r="DE826" s="48"/>
      <c r="DF826" s="48"/>
      <c r="DG826" s="48"/>
      <c r="DH826" s="48"/>
      <c r="DI826" s="48"/>
      <c r="DJ826" s="48"/>
      <c r="DK826" s="48"/>
      <c r="DL826" s="48"/>
      <c r="DM826" s="48"/>
      <c r="DN826" s="48"/>
      <c r="DO826" s="48"/>
      <c r="DP826" s="48"/>
      <c r="DQ826" s="48"/>
      <c r="DR826" s="48"/>
      <c r="DS826" s="48"/>
    </row>
    <row r="827" spans="1:123" ht="15">
      <c r="A827"/>
      <c r="B827"/>
      <c r="C827"/>
      <c r="D827"/>
      <c r="E827"/>
      <c r="F827"/>
      <c r="G827"/>
      <c r="H827"/>
      <c r="I827"/>
      <c r="J827"/>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48"/>
      <c r="BH827" s="48"/>
      <c r="BI827" s="48"/>
      <c r="BJ827" s="48"/>
      <c r="BK827" s="48"/>
      <c r="BL827" s="48"/>
      <c r="BM827" s="48"/>
      <c r="BN827" s="48"/>
      <c r="BO827" s="48"/>
      <c r="BP827" s="48"/>
      <c r="BQ827" s="48"/>
      <c r="BR827" s="48"/>
      <c r="BS827" s="48"/>
      <c r="BT827" s="48"/>
      <c r="BU827" s="48"/>
      <c r="BV827" s="48"/>
      <c r="BW827" s="48"/>
      <c r="BX827" s="48"/>
      <c r="BY827" s="48"/>
      <c r="BZ827" s="48"/>
      <c r="CA827" s="48"/>
      <c r="CB827" s="48"/>
      <c r="CC827" s="48"/>
      <c r="CD827" s="48"/>
      <c r="CE827" s="48"/>
      <c r="CF827" s="48"/>
      <c r="CG827" s="48"/>
      <c r="CH827" s="48"/>
      <c r="CI827" s="48"/>
      <c r="CJ827" s="48"/>
      <c r="CK827" s="48"/>
      <c r="CL827" s="48"/>
      <c r="CM827" s="48"/>
      <c r="CN827" s="48"/>
      <c r="CO827" s="48"/>
      <c r="CP827" s="48"/>
      <c r="CQ827" s="48"/>
      <c r="CR827" s="48"/>
      <c r="CS827" s="48"/>
      <c r="CT827" s="48"/>
      <c r="CU827" s="48"/>
      <c r="CV827" s="48"/>
      <c r="CW827" s="48"/>
      <c r="CX827" s="48"/>
      <c r="CY827" s="48"/>
      <c r="CZ827" s="48"/>
      <c r="DA827" s="48"/>
      <c r="DB827" s="48"/>
      <c r="DC827" s="48"/>
      <c r="DD827" s="48"/>
      <c r="DE827" s="48"/>
      <c r="DF827" s="48"/>
      <c r="DG827" s="48"/>
      <c r="DH827" s="48"/>
      <c r="DI827" s="48"/>
      <c r="DJ827" s="48"/>
      <c r="DK827" s="48"/>
      <c r="DL827" s="48"/>
      <c r="DM827" s="48"/>
      <c r="DN827" s="48"/>
      <c r="DO827" s="48"/>
      <c r="DP827" s="48"/>
      <c r="DQ827" s="48"/>
      <c r="DR827" s="48"/>
      <c r="DS827" s="48"/>
    </row>
    <row r="828" spans="1:123" ht="15">
      <c r="A828"/>
      <c r="B828"/>
      <c r="C828"/>
      <c r="D828"/>
      <c r="E828"/>
      <c r="F828"/>
      <c r="G828"/>
      <c r="H828"/>
      <c r="I828"/>
      <c r="J82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48"/>
      <c r="BH828" s="48"/>
      <c r="BI828" s="48"/>
      <c r="BJ828" s="48"/>
      <c r="BK828" s="48"/>
      <c r="BL828" s="48"/>
      <c r="BM828" s="48"/>
      <c r="BN828" s="48"/>
      <c r="BO828" s="48"/>
      <c r="BP828" s="48"/>
      <c r="BQ828" s="48"/>
      <c r="BR828" s="48"/>
      <c r="BS828" s="48"/>
      <c r="BT828" s="48"/>
      <c r="BU828" s="48"/>
      <c r="BV828" s="48"/>
      <c r="BW828" s="48"/>
      <c r="BX828" s="48"/>
      <c r="BY828" s="48"/>
      <c r="BZ828" s="48"/>
      <c r="CA828" s="48"/>
      <c r="CB828" s="48"/>
      <c r="CC828" s="48"/>
      <c r="CD828" s="48"/>
      <c r="CE828" s="48"/>
      <c r="CF828" s="48"/>
      <c r="CG828" s="48"/>
      <c r="CH828" s="48"/>
      <c r="CI828" s="48"/>
      <c r="CJ828" s="48"/>
      <c r="CK828" s="48"/>
      <c r="CL828" s="48"/>
      <c r="CM828" s="48"/>
      <c r="CN828" s="48"/>
      <c r="CO828" s="48"/>
      <c r="CP828" s="48"/>
      <c r="CQ828" s="48"/>
      <c r="CR828" s="48"/>
      <c r="CS828" s="48"/>
      <c r="CT828" s="48"/>
      <c r="CU828" s="48"/>
      <c r="CV828" s="48"/>
      <c r="CW828" s="48"/>
      <c r="CX828" s="48"/>
      <c r="CY828" s="48"/>
      <c r="CZ828" s="48"/>
      <c r="DA828" s="48"/>
      <c r="DB828" s="48"/>
      <c r="DC828" s="48"/>
      <c r="DD828" s="48"/>
      <c r="DE828" s="48"/>
      <c r="DF828" s="48"/>
      <c r="DG828" s="48"/>
      <c r="DH828" s="48"/>
      <c r="DI828" s="48"/>
      <c r="DJ828" s="48"/>
      <c r="DK828" s="48"/>
      <c r="DL828" s="48"/>
      <c r="DM828" s="48"/>
      <c r="DN828" s="48"/>
      <c r="DO828" s="48"/>
      <c r="DP828" s="48"/>
      <c r="DQ828" s="48"/>
      <c r="DR828" s="48"/>
      <c r="DS828" s="48"/>
    </row>
    <row r="829" spans="1:123" ht="15">
      <c r="A829"/>
      <c r="B829"/>
      <c r="C829"/>
      <c r="D829"/>
      <c r="E829"/>
      <c r="F829"/>
      <c r="G829"/>
      <c r="H829"/>
      <c r="I829"/>
      <c r="J829"/>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48"/>
      <c r="BH829" s="48"/>
      <c r="BI829" s="48"/>
      <c r="BJ829" s="48"/>
      <c r="BK829" s="48"/>
      <c r="BL829" s="48"/>
      <c r="BM829" s="48"/>
      <c r="BN829" s="48"/>
      <c r="BO829" s="48"/>
      <c r="BP829" s="48"/>
      <c r="BQ829" s="48"/>
      <c r="BR829" s="48"/>
      <c r="BS829" s="48"/>
      <c r="BT829" s="48"/>
      <c r="BU829" s="48"/>
      <c r="BV829" s="48"/>
      <c r="BW829" s="48"/>
      <c r="BX829" s="48"/>
      <c r="BY829" s="48"/>
      <c r="BZ829" s="48"/>
      <c r="CA829" s="48"/>
      <c r="CB829" s="48"/>
      <c r="CC829" s="48"/>
      <c r="CD829" s="48"/>
      <c r="CE829" s="48"/>
      <c r="CF829" s="48"/>
      <c r="CG829" s="48"/>
      <c r="CH829" s="48"/>
      <c r="CI829" s="48"/>
      <c r="CJ829" s="48"/>
      <c r="CK829" s="48"/>
      <c r="CL829" s="48"/>
      <c r="CM829" s="48"/>
      <c r="CN829" s="48"/>
      <c r="CO829" s="48"/>
      <c r="CP829" s="48"/>
      <c r="CQ829" s="48"/>
      <c r="CR829" s="48"/>
      <c r="CS829" s="48"/>
      <c r="CT829" s="48"/>
      <c r="CU829" s="48"/>
      <c r="CV829" s="48"/>
      <c r="CW829" s="48"/>
      <c r="CX829" s="48"/>
      <c r="CY829" s="48"/>
      <c r="CZ829" s="48"/>
      <c r="DA829" s="48"/>
      <c r="DB829" s="48"/>
      <c r="DC829" s="48"/>
      <c r="DD829" s="48"/>
      <c r="DE829" s="48"/>
      <c r="DF829" s="48"/>
      <c r="DG829" s="48"/>
      <c r="DH829" s="48"/>
      <c r="DI829" s="48"/>
      <c r="DJ829" s="48"/>
      <c r="DK829" s="48"/>
      <c r="DL829" s="48"/>
      <c r="DM829" s="48"/>
      <c r="DN829" s="48"/>
      <c r="DO829" s="48"/>
      <c r="DP829" s="48"/>
      <c r="DQ829" s="48"/>
      <c r="DR829" s="48"/>
      <c r="DS829" s="48"/>
    </row>
    <row r="830" spans="1:123" ht="15">
      <c r="A830"/>
      <c r="B830"/>
      <c r="C830"/>
      <c r="D830"/>
      <c r="E830"/>
      <c r="F830"/>
      <c r="G830"/>
      <c r="H830"/>
      <c r="I830"/>
      <c r="J830"/>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48"/>
      <c r="BH830" s="48"/>
      <c r="BI830" s="48"/>
      <c r="BJ830" s="48"/>
      <c r="BK830" s="48"/>
      <c r="BL830" s="48"/>
      <c r="BM830" s="48"/>
      <c r="BN830" s="48"/>
      <c r="BO830" s="48"/>
      <c r="BP830" s="48"/>
      <c r="BQ830" s="48"/>
      <c r="BR830" s="48"/>
      <c r="BS830" s="48"/>
      <c r="BT830" s="48"/>
      <c r="BU830" s="48"/>
      <c r="BV830" s="48"/>
      <c r="BW830" s="48"/>
      <c r="BX830" s="48"/>
      <c r="BY830" s="48"/>
      <c r="BZ830" s="48"/>
      <c r="CA830" s="48"/>
      <c r="CB830" s="48"/>
      <c r="CC830" s="48"/>
      <c r="CD830" s="48"/>
      <c r="CE830" s="48"/>
      <c r="CF830" s="48"/>
      <c r="CG830" s="48"/>
      <c r="CH830" s="48"/>
      <c r="CI830" s="48"/>
      <c r="CJ830" s="48"/>
      <c r="CK830" s="48"/>
      <c r="CL830" s="48"/>
      <c r="CM830" s="48"/>
      <c r="CN830" s="48"/>
      <c r="CO830" s="48"/>
      <c r="CP830" s="48"/>
      <c r="CQ830" s="48"/>
      <c r="CR830" s="48"/>
      <c r="CS830" s="48"/>
      <c r="CT830" s="48"/>
      <c r="CU830" s="48"/>
      <c r="CV830" s="48"/>
      <c r="CW830" s="48"/>
      <c r="CX830" s="48"/>
      <c r="CY830" s="48"/>
      <c r="CZ830" s="48"/>
      <c r="DA830" s="48"/>
      <c r="DB830" s="48"/>
      <c r="DC830" s="48"/>
      <c r="DD830" s="48"/>
      <c r="DE830" s="48"/>
      <c r="DF830" s="48"/>
      <c r="DG830" s="48"/>
      <c r="DH830" s="48"/>
      <c r="DI830" s="48"/>
      <c r="DJ830" s="48"/>
      <c r="DK830" s="48"/>
      <c r="DL830" s="48"/>
      <c r="DM830" s="48"/>
      <c r="DN830" s="48"/>
      <c r="DO830" s="48"/>
      <c r="DP830" s="48"/>
      <c r="DQ830" s="48"/>
      <c r="DR830" s="48"/>
      <c r="DS830" s="48"/>
    </row>
    <row r="831" spans="1:123" ht="15">
      <c r="A831"/>
      <c r="B831"/>
      <c r="C831"/>
      <c r="D831"/>
      <c r="E831"/>
      <c r="F831"/>
      <c r="G831"/>
      <c r="H831"/>
      <c r="I831"/>
      <c r="J831"/>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48"/>
      <c r="BH831" s="48"/>
      <c r="BI831" s="48"/>
      <c r="BJ831" s="48"/>
      <c r="BK831" s="48"/>
      <c r="BL831" s="48"/>
      <c r="BM831" s="48"/>
      <c r="BN831" s="48"/>
      <c r="BO831" s="48"/>
      <c r="BP831" s="48"/>
      <c r="BQ831" s="48"/>
      <c r="BR831" s="48"/>
      <c r="BS831" s="48"/>
      <c r="BT831" s="48"/>
      <c r="BU831" s="48"/>
      <c r="BV831" s="48"/>
      <c r="BW831" s="48"/>
      <c r="BX831" s="48"/>
      <c r="BY831" s="48"/>
      <c r="BZ831" s="48"/>
      <c r="CA831" s="48"/>
      <c r="CB831" s="48"/>
      <c r="CC831" s="48"/>
      <c r="CD831" s="48"/>
      <c r="CE831" s="48"/>
      <c r="CF831" s="48"/>
      <c r="CG831" s="48"/>
      <c r="CH831" s="48"/>
      <c r="CI831" s="48"/>
      <c r="CJ831" s="48"/>
      <c r="CK831" s="48"/>
      <c r="CL831" s="48"/>
      <c r="CM831" s="48"/>
      <c r="CN831" s="48"/>
      <c r="CO831" s="48"/>
      <c r="CP831" s="48"/>
      <c r="CQ831" s="48"/>
      <c r="CR831" s="48"/>
      <c r="CS831" s="48"/>
      <c r="CT831" s="48"/>
      <c r="CU831" s="48"/>
      <c r="CV831" s="48"/>
      <c r="CW831" s="48"/>
      <c r="CX831" s="48"/>
      <c r="CY831" s="48"/>
      <c r="CZ831" s="48"/>
      <c r="DA831" s="48"/>
      <c r="DB831" s="48"/>
      <c r="DC831" s="48"/>
      <c r="DD831" s="48"/>
      <c r="DE831" s="48"/>
      <c r="DF831" s="48"/>
      <c r="DG831" s="48"/>
      <c r="DH831" s="48"/>
      <c r="DI831" s="48"/>
      <c r="DJ831" s="48"/>
      <c r="DK831" s="48"/>
      <c r="DL831" s="48"/>
      <c r="DM831" s="48"/>
      <c r="DN831" s="48"/>
      <c r="DO831" s="48"/>
      <c r="DP831" s="48"/>
      <c r="DQ831" s="48"/>
      <c r="DR831" s="48"/>
      <c r="DS831" s="48"/>
    </row>
    <row r="832" spans="1:123" ht="15">
      <c r="A832"/>
      <c r="B832"/>
      <c r="C832"/>
      <c r="D832"/>
      <c r="E832"/>
      <c r="F832"/>
      <c r="G832"/>
      <c r="H832"/>
      <c r="I832"/>
      <c r="J832"/>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48"/>
      <c r="BH832" s="48"/>
      <c r="BI832" s="48"/>
      <c r="BJ832" s="48"/>
      <c r="BK832" s="48"/>
      <c r="BL832" s="48"/>
      <c r="BM832" s="48"/>
      <c r="BN832" s="48"/>
      <c r="BO832" s="48"/>
      <c r="BP832" s="48"/>
      <c r="BQ832" s="48"/>
      <c r="BR832" s="48"/>
      <c r="BS832" s="48"/>
      <c r="BT832" s="48"/>
      <c r="BU832" s="48"/>
      <c r="BV832" s="48"/>
      <c r="BW832" s="48"/>
      <c r="BX832" s="48"/>
      <c r="BY832" s="48"/>
      <c r="BZ832" s="48"/>
      <c r="CA832" s="48"/>
      <c r="CB832" s="48"/>
      <c r="CC832" s="48"/>
      <c r="CD832" s="48"/>
      <c r="CE832" s="48"/>
      <c r="CF832" s="48"/>
      <c r="CG832" s="48"/>
      <c r="CH832" s="48"/>
      <c r="CI832" s="48"/>
      <c r="CJ832" s="48"/>
      <c r="CK832" s="48"/>
      <c r="CL832" s="48"/>
      <c r="CM832" s="48"/>
      <c r="CN832" s="48"/>
      <c r="CO832" s="48"/>
      <c r="CP832" s="48"/>
      <c r="CQ832" s="48"/>
      <c r="CR832" s="48"/>
      <c r="CS832" s="48"/>
      <c r="CT832" s="48"/>
      <c r="CU832" s="48"/>
      <c r="CV832" s="48"/>
      <c r="CW832" s="48"/>
      <c r="CX832" s="48"/>
      <c r="CY832" s="48"/>
      <c r="CZ832" s="48"/>
      <c r="DA832" s="48"/>
      <c r="DB832" s="48"/>
      <c r="DC832" s="48"/>
      <c r="DD832" s="48"/>
      <c r="DE832" s="48"/>
      <c r="DF832" s="48"/>
      <c r="DG832" s="48"/>
      <c r="DH832" s="48"/>
      <c r="DI832" s="48"/>
      <c r="DJ832" s="48"/>
      <c r="DK832" s="48"/>
      <c r="DL832" s="48"/>
      <c r="DM832" s="48"/>
      <c r="DN832" s="48"/>
      <c r="DO832" s="48"/>
      <c r="DP832" s="48"/>
      <c r="DQ832" s="48"/>
      <c r="DR832" s="48"/>
      <c r="DS832" s="48"/>
    </row>
    <row r="833" spans="1:123" ht="15">
      <c r="A833"/>
      <c r="B833"/>
      <c r="C833"/>
      <c r="D833"/>
      <c r="E833"/>
      <c r="F833"/>
      <c r="G833"/>
      <c r="H833"/>
      <c r="I833"/>
      <c r="J833"/>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48"/>
      <c r="BH833" s="48"/>
      <c r="BI833" s="48"/>
      <c r="BJ833" s="48"/>
      <c r="BK833" s="48"/>
      <c r="BL833" s="48"/>
      <c r="BM833" s="48"/>
      <c r="BN833" s="48"/>
      <c r="BO833" s="48"/>
      <c r="BP833" s="48"/>
      <c r="BQ833" s="48"/>
      <c r="BR833" s="48"/>
      <c r="BS833" s="48"/>
      <c r="BT833" s="48"/>
      <c r="BU833" s="48"/>
      <c r="BV833" s="48"/>
      <c r="BW833" s="48"/>
      <c r="BX833" s="48"/>
      <c r="BY833" s="48"/>
      <c r="BZ833" s="48"/>
      <c r="CA833" s="48"/>
      <c r="CB833" s="48"/>
      <c r="CC833" s="48"/>
      <c r="CD833" s="48"/>
      <c r="CE833" s="48"/>
      <c r="CF833" s="48"/>
      <c r="CG833" s="48"/>
      <c r="CH833" s="48"/>
      <c r="CI833" s="48"/>
      <c r="CJ833" s="48"/>
      <c r="CK833" s="48"/>
      <c r="CL833" s="48"/>
      <c r="CM833" s="48"/>
      <c r="CN833" s="48"/>
      <c r="CO833" s="48"/>
      <c r="CP833" s="48"/>
      <c r="CQ833" s="48"/>
      <c r="CR833" s="48"/>
      <c r="CS833" s="48"/>
      <c r="CT833" s="48"/>
      <c r="CU833" s="48"/>
      <c r="CV833" s="48"/>
      <c r="CW833" s="48"/>
      <c r="CX833" s="48"/>
      <c r="CY833" s="48"/>
      <c r="CZ833" s="48"/>
      <c r="DA833" s="48"/>
      <c r="DB833" s="48"/>
      <c r="DC833" s="48"/>
      <c r="DD833" s="48"/>
      <c r="DE833" s="48"/>
      <c r="DF833" s="48"/>
      <c r="DG833" s="48"/>
      <c r="DH833" s="48"/>
      <c r="DI833" s="48"/>
      <c r="DJ833" s="48"/>
      <c r="DK833" s="48"/>
      <c r="DL833" s="48"/>
      <c r="DM833" s="48"/>
      <c r="DN833" s="48"/>
      <c r="DO833" s="48"/>
      <c r="DP833" s="48"/>
      <c r="DQ833" s="48"/>
      <c r="DR833" s="48"/>
      <c r="DS833" s="48"/>
    </row>
    <row r="834" spans="1:123" ht="15">
      <c r="A834"/>
      <c r="B834"/>
      <c r="C834"/>
      <c r="D834"/>
      <c r="E834"/>
      <c r="F834"/>
      <c r="G834"/>
      <c r="H834"/>
      <c r="I834"/>
      <c r="J834"/>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48"/>
      <c r="BJ834" s="48"/>
      <c r="BK834" s="48"/>
      <c r="BL834" s="48"/>
      <c r="BM834" s="48"/>
      <c r="BN834" s="48"/>
      <c r="BO834" s="48"/>
      <c r="BP834" s="48"/>
      <c r="BQ834" s="48"/>
      <c r="BR834" s="48"/>
      <c r="BS834" s="48"/>
      <c r="BT834" s="48"/>
      <c r="BU834" s="48"/>
      <c r="BV834" s="48"/>
      <c r="BW834" s="48"/>
      <c r="BX834" s="48"/>
      <c r="BY834" s="48"/>
      <c r="BZ834" s="48"/>
      <c r="CA834" s="48"/>
      <c r="CB834" s="48"/>
      <c r="CC834" s="48"/>
      <c r="CD834" s="48"/>
      <c r="CE834" s="48"/>
      <c r="CF834" s="48"/>
      <c r="CG834" s="48"/>
      <c r="CH834" s="48"/>
      <c r="CI834" s="48"/>
      <c r="CJ834" s="48"/>
      <c r="CK834" s="48"/>
      <c r="CL834" s="48"/>
      <c r="CM834" s="48"/>
      <c r="CN834" s="48"/>
      <c r="CO834" s="48"/>
      <c r="CP834" s="48"/>
      <c r="CQ834" s="48"/>
      <c r="CR834" s="48"/>
      <c r="CS834" s="48"/>
      <c r="CT834" s="48"/>
      <c r="CU834" s="48"/>
      <c r="CV834" s="48"/>
      <c r="CW834" s="48"/>
      <c r="CX834" s="48"/>
      <c r="CY834" s="48"/>
      <c r="CZ834" s="48"/>
      <c r="DA834" s="48"/>
      <c r="DB834" s="48"/>
      <c r="DC834" s="48"/>
      <c r="DD834" s="48"/>
      <c r="DE834" s="48"/>
      <c r="DF834" s="48"/>
      <c r="DG834" s="48"/>
      <c r="DH834" s="48"/>
      <c r="DI834" s="48"/>
      <c r="DJ834" s="48"/>
      <c r="DK834" s="48"/>
      <c r="DL834" s="48"/>
      <c r="DM834" s="48"/>
      <c r="DN834" s="48"/>
      <c r="DO834" s="48"/>
      <c r="DP834" s="48"/>
      <c r="DQ834" s="48"/>
      <c r="DR834" s="48"/>
      <c r="DS834" s="48"/>
    </row>
    <row r="835" spans="1:123" ht="15">
      <c r="A835"/>
      <c r="B835"/>
      <c r="C835"/>
      <c r="D835"/>
      <c r="E835"/>
      <c r="F835"/>
      <c r="G835"/>
      <c r="H835"/>
      <c r="I835"/>
      <c r="J835"/>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48"/>
      <c r="BH835" s="48"/>
      <c r="BI835" s="48"/>
      <c r="BJ835" s="48"/>
      <c r="BK835" s="48"/>
      <c r="BL835" s="48"/>
      <c r="BM835" s="48"/>
      <c r="BN835" s="48"/>
      <c r="BO835" s="48"/>
      <c r="BP835" s="48"/>
      <c r="BQ835" s="48"/>
      <c r="BR835" s="48"/>
      <c r="BS835" s="48"/>
      <c r="BT835" s="48"/>
      <c r="BU835" s="48"/>
      <c r="BV835" s="48"/>
      <c r="BW835" s="48"/>
      <c r="BX835" s="48"/>
      <c r="BY835" s="48"/>
      <c r="BZ835" s="48"/>
      <c r="CA835" s="48"/>
      <c r="CB835" s="48"/>
      <c r="CC835" s="48"/>
      <c r="CD835" s="48"/>
      <c r="CE835" s="48"/>
      <c r="CF835" s="48"/>
      <c r="CG835" s="48"/>
      <c r="CH835" s="48"/>
      <c r="CI835" s="48"/>
      <c r="CJ835" s="48"/>
      <c r="CK835" s="48"/>
      <c r="CL835" s="48"/>
      <c r="CM835" s="48"/>
      <c r="CN835" s="48"/>
      <c r="CO835" s="48"/>
      <c r="CP835" s="48"/>
      <c r="CQ835" s="48"/>
      <c r="CR835" s="48"/>
      <c r="CS835" s="48"/>
      <c r="CT835" s="48"/>
      <c r="CU835" s="48"/>
      <c r="CV835" s="48"/>
      <c r="CW835" s="48"/>
      <c r="CX835" s="48"/>
      <c r="CY835" s="48"/>
      <c r="CZ835" s="48"/>
      <c r="DA835" s="48"/>
      <c r="DB835" s="48"/>
      <c r="DC835" s="48"/>
      <c r="DD835" s="48"/>
      <c r="DE835" s="48"/>
      <c r="DF835" s="48"/>
      <c r="DG835" s="48"/>
      <c r="DH835" s="48"/>
      <c r="DI835" s="48"/>
      <c r="DJ835" s="48"/>
      <c r="DK835" s="48"/>
      <c r="DL835" s="48"/>
      <c r="DM835" s="48"/>
      <c r="DN835" s="48"/>
      <c r="DO835" s="48"/>
      <c r="DP835" s="48"/>
      <c r="DQ835" s="48"/>
      <c r="DR835" s="48"/>
      <c r="DS835" s="48"/>
    </row>
    <row r="836" spans="1:123" ht="15">
      <c r="A836"/>
      <c r="B836"/>
      <c r="C836"/>
      <c r="D836"/>
      <c r="E836"/>
      <c r="F836"/>
      <c r="G836"/>
      <c r="H836"/>
      <c r="I836"/>
      <c r="J836"/>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48"/>
      <c r="BH836" s="48"/>
      <c r="BI836" s="48"/>
      <c r="BJ836" s="48"/>
      <c r="BK836" s="48"/>
      <c r="BL836" s="48"/>
      <c r="BM836" s="48"/>
      <c r="BN836" s="48"/>
      <c r="BO836" s="48"/>
      <c r="BP836" s="48"/>
      <c r="BQ836" s="48"/>
      <c r="BR836" s="48"/>
      <c r="BS836" s="48"/>
      <c r="BT836" s="48"/>
      <c r="BU836" s="48"/>
      <c r="BV836" s="48"/>
      <c r="BW836" s="48"/>
      <c r="BX836" s="48"/>
      <c r="BY836" s="48"/>
      <c r="BZ836" s="48"/>
      <c r="CA836" s="48"/>
      <c r="CB836" s="48"/>
      <c r="CC836" s="48"/>
      <c r="CD836" s="48"/>
      <c r="CE836" s="48"/>
      <c r="CF836" s="48"/>
      <c r="CG836" s="48"/>
      <c r="CH836" s="48"/>
      <c r="CI836" s="48"/>
      <c r="CJ836" s="48"/>
      <c r="CK836" s="48"/>
      <c r="CL836" s="48"/>
      <c r="CM836" s="48"/>
      <c r="CN836" s="48"/>
      <c r="CO836" s="48"/>
      <c r="CP836" s="48"/>
      <c r="CQ836" s="48"/>
      <c r="CR836" s="48"/>
      <c r="CS836" s="48"/>
      <c r="CT836" s="48"/>
      <c r="CU836" s="48"/>
      <c r="CV836" s="48"/>
      <c r="CW836" s="48"/>
      <c r="CX836" s="48"/>
      <c r="CY836" s="48"/>
      <c r="CZ836" s="48"/>
      <c r="DA836" s="48"/>
      <c r="DB836" s="48"/>
      <c r="DC836" s="48"/>
      <c r="DD836" s="48"/>
      <c r="DE836" s="48"/>
      <c r="DF836" s="48"/>
      <c r="DG836" s="48"/>
      <c r="DH836" s="48"/>
      <c r="DI836" s="48"/>
      <c r="DJ836" s="48"/>
      <c r="DK836" s="48"/>
      <c r="DL836" s="48"/>
      <c r="DM836" s="48"/>
      <c r="DN836" s="48"/>
      <c r="DO836" s="48"/>
      <c r="DP836" s="48"/>
      <c r="DQ836" s="48"/>
      <c r="DR836" s="48"/>
      <c r="DS836" s="48"/>
    </row>
    <row r="837" spans="1:123" ht="15">
      <c r="A837"/>
      <c r="B837"/>
      <c r="C837"/>
      <c r="D837"/>
      <c r="E837"/>
      <c r="F837"/>
      <c r="G837"/>
      <c r="H837"/>
      <c r="I837"/>
      <c r="J837"/>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c r="BI837" s="48"/>
      <c r="BJ837" s="48"/>
      <c r="BK837" s="48"/>
      <c r="BL837" s="48"/>
      <c r="BM837" s="48"/>
      <c r="BN837" s="48"/>
      <c r="BO837" s="48"/>
      <c r="BP837" s="48"/>
      <c r="BQ837" s="48"/>
      <c r="BR837" s="48"/>
      <c r="BS837" s="48"/>
      <c r="BT837" s="48"/>
      <c r="BU837" s="48"/>
      <c r="BV837" s="48"/>
      <c r="BW837" s="48"/>
      <c r="BX837" s="48"/>
      <c r="BY837" s="48"/>
      <c r="BZ837" s="48"/>
      <c r="CA837" s="48"/>
      <c r="CB837" s="48"/>
      <c r="CC837" s="48"/>
      <c r="CD837" s="48"/>
      <c r="CE837" s="48"/>
      <c r="CF837" s="48"/>
      <c r="CG837" s="48"/>
      <c r="CH837" s="48"/>
      <c r="CI837" s="48"/>
      <c r="CJ837" s="48"/>
      <c r="CK837" s="48"/>
      <c r="CL837" s="48"/>
      <c r="CM837" s="48"/>
      <c r="CN837" s="48"/>
      <c r="CO837" s="48"/>
      <c r="CP837" s="48"/>
      <c r="CQ837" s="48"/>
      <c r="CR837" s="48"/>
      <c r="CS837" s="48"/>
      <c r="CT837" s="48"/>
      <c r="CU837" s="48"/>
      <c r="CV837" s="48"/>
      <c r="CW837" s="48"/>
      <c r="CX837" s="48"/>
      <c r="CY837" s="48"/>
      <c r="CZ837" s="48"/>
      <c r="DA837" s="48"/>
      <c r="DB837" s="48"/>
      <c r="DC837" s="48"/>
      <c r="DD837" s="48"/>
      <c r="DE837" s="48"/>
      <c r="DF837" s="48"/>
      <c r="DG837" s="48"/>
      <c r="DH837" s="48"/>
      <c r="DI837" s="48"/>
      <c r="DJ837" s="48"/>
      <c r="DK837" s="48"/>
      <c r="DL837" s="48"/>
      <c r="DM837" s="48"/>
      <c r="DN837" s="48"/>
      <c r="DO837" s="48"/>
      <c r="DP837" s="48"/>
      <c r="DQ837" s="48"/>
      <c r="DR837" s="48"/>
      <c r="DS837" s="48"/>
    </row>
    <row r="838" spans="1:123" ht="15">
      <c r="A838"/>
      <c r="B838"/>
      <c r="C838"/>
      <c r="D838"/>
      <c r="E838"/>
      <c r="F838"/>
      <c r="G838"/>
      <c r="H838"/>
      <c r="I838"/>
      <c r="J83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48"/>
      <c r="BH838" s="48"/>
      <c r="BI838" s="48"/>
      <c r="BJ838" s="48"/>
      <c r="BK838" s="48"/>
      <c r="BL838" s="48"/>
      <c r="BM838" s="48"/>
      <c r="BN838" s="48"/>
      <c r="BO838" s="48"/>
      <c r="BP838" s="48"/>
      <c r="BQ838" s="48"/>
      <c r="BR838" s="48"/>
      <c r="BS838" s="48"/>
      <c r="BT838" s="48"/>
      <c r="BU838" s="48"/>
      <c r="BV838" s="48"/>
      <c r="BW838" s="48"/>
      <c r="BX838" s="48"/>
      <c r="BY838" s="48"/>
      <c r="BZ838" s="48"/>
      <c r="CA838" s="48"/>
      <c r="CB838" s="48"/>
      <c r="CC838" s="48"/>
      <c r="CD838" s="48"/>
      <c r="CE838" s="48"/>
      <c r="CF838" s="48"/>
      <c r="CG838" s="48"/>
      <c r="CH838" s="48"/>
      <c r="CI838" s="48"/>
      <c r="CJ838" s="48"/>
      <c r="CK838" s="48"/>
      <c r="CL838" s="48"/>
      <c r="CM838" s="48"/>
      <c r="CN838" s="48"/>
      <c r="CO838" s="48"/>
      <c r="CP838" s="48"/>
      <c r="CQ838" s="48"/>
      <c r="CR838" s="48"/>
      <c r="CS838" s="48"/>
      <c r="CT838" s="48"/>
      <c r="CU838" s="48"/>
      <c r="CV838" s="48"/>
      <c r="CW838" s="48"/>
      <c r="CX838" s="48"/>
      <c r="CY838" s="48"/>
      <c r="CZ838" s="48"/>
      <c r="DA838" s="48"/>
      <c r="DB838" s="48"/>
      <c r="DC838" s="48"/>
      <c r="DD838" s="48"/>
      <c r="DE838" s="48"/>
      <c r="DF838" s="48"/>
      <c r="DG838" s="48"/>
      <c r="DH838" s="48"/>
      <c r="DI838" s="48"/>
      <c r="DJ838" s="48"/>
      <c r="DK838" s="48"/>
      <c r="DL838" s="48"/>
      <c r="DM838" s="48"/>
      <c r="DN838" s="48"/>
      <c r="DO838" s="48"/>
      <c r="DP838" s="48"/>
      <c r="DQ838" s="48"/>
      <c r="DR838" s="48"/>
      <c r="DS838" s="48"/>
    </row>
    <row r="839" spans="1:123" ht="15">
      <c r="A839"/>
      <c r="B839"/>
      <c r="C839"/>
      <c r="D839"/>
      <c r="E839"/>
      <c r="F839"/>
      <c r="G839"/>
      <c r="H839"/>
      <c r="I839"/>
      <c r="J839"/>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48"/>
      <c r="BH839" s="48"/>
      <c r="BI839" s="48"/>
      <c r="BJ839" s="48"/>
      <c r="BK839" s="48"/>
      <c r="BL839" s="48"/>
      <c r="BM839" s="48"/>
      <c r="BN839" s="48"/>
      <c r="BO839" s="48"/>
      <c r="BP839" s="48"/>
      <c r="BQ839" s="48"/>
      <c r="BR839" s="48"/>
      <c r="BS839" s="48"/>
      <c r="BT839" s="48"/>
      <c r="BU839" s="48"/>
      <c r="BV839" s="48"/>
      <c r="BW839" s="48"/>
      <c r="BX839" s="48"/>
      <c r="BY839" s="48"/>
      <c r="BZ839" s="48"/>
      <c r="CA839" s="48"/>
      <c r="CB839" s="48"/>
      <c r="CC839" s="48"/>
      <c r="CD839" s="48"/>
      <c r="CE839" s="48"/>
      <c r="CF839" s="48"/>
      <c r="CG839" s="48"/>
      <c r="CH839" s="48"/>
      <c r="CI839" s="48"/>
      <c r="CJ839" s="48"/>
      <c r="CK839" s="48"/>
      <c r="CL839" s="48"/>
      <c r="CM839" s="48"/>
      <c r="CN839" s="48"/>
      <c r="CO839" s="48"/>
      <c r="CP839" s="48"/>
      <c r="CQ839" s="48"/>
      <c r="CR839" s="48"/>
      <c r="CS839" s="48"/>
      <c r="CT839" s="48"/>
      <c r="CU839" s="48"/>
      <c r="CV839" s="48"/>
      <c r="CW839" s="48"/>
      <c r="CX839" s="48"/>
      <c r="CY839" s="48"/>
      <c r="CZ839" s="48"/>
      <c r="DA839" s="48"/>
      <c r="DB839" s="48"/>
      <c r="DC839" s="48"/>
      <c r="DD839" s="48"/>
      <c r="DE839" s="48"/>
      <c r="DF839" s="48"/>
      <c r="DG839" s="48"/>
      <c r="DH839" s="48"/>
      <c r="DI839" s="48"/>
      <c r="DJ839" s="48"/>
      <c r="DK839" s="48"/>
      <c r="DL839" s="48"/>
      <c r="DM839" s="48"/>
      <c r="DN839" s="48"/>
      <c r="DO839" s="48"/>
      <c r="DP839" s="48"/>
      <c r="DQ839" s="48"/>
      <c r="DR839" s="48"/>
      <c r="DS839" s="48"/>
    </row>
    <row r="840" spans="1:123" ht="15">
      <c r="A840"/>
      <c r="B840"/>
      <c r="C840"/>
      <c r="D840"/>
      <c r="E840"/>
      <c r="F840"/>
      <c r="G840"/>
      <c r="H840"/>
      <c r="I840"/>
      <c r="J840"/>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48"/>
      <c r="BH840" s="48"/>
      <c r="BI840" s="48"/>
      <c r="BJ840" s="48"/>
      <c r="BK840" s="48"/>
      <c r="BL840" s="48"/>
      <c r="BM840" s="48"/>
      <c r="BN840" s="48"/>
      <c r="BO840" s="48"/>
      <c r="BP840" s="48"/>
      <c r="BQ840" s="48"/>
      <c r="BR840" s="48"/>
      <c r="BS840" s="48"/>
      <c r="BT840" s="48"/>
      <c r="BU840" s="48"/>
      <c r="BV840" s="48"/>
      <c r="BW840" s="48"/>
      <c r="BX840" s="48"/>
      <c r="BY840" s="48"/>
      <c r="BZ840" s="48"/>
      <c r="CA840" s="48"/>
      <c r="CB840" s="48"/>
      <c r="CC840" s="48"/>
      <c r="CD840" s="48"/>
      <c r="CE840" s="48"/>
      <c r="CF840" s="48"/>
      <c r="CG840" s="48"/>
      <c r="CH840" s="48"/>
      <c r="CI840" s="48"/>
      <c r="CJ840" s="48"/>
      <c r="CK840" s="48"/>
      <c r="CL840" s="48"/>
      <c r="CM840" s="48"/>
      <c r="CN840" s="48"/>
      <c r="CO840" s="48"/>
      <c r="CP840" s="48"/>
      <c r="CQ840" s="48"/>
      <c r="CR840" s="48"/>
      <c r="CS840" s="48"/>
      <c r="CT840" s="48"/>
      <c r="CU840" s="48"/>
      <c r="CV840" s="48"/>
      <c r="CW840" s="48"/>
      <c r="CX840" s="48"/>
      <c r="CY840" s="48"/>
      <c r="CZ840" s="48"/>
      <c r="DA840" s="48"/>
      <c r="DB840" s="48"/>
      <c r="DC840" s="48"/>
      <c r="DD840" s="48"/>
      <c r="DE840" s="48"/>
      <c r="DF840" s="48"/>
      <c r="DG840" s="48"/>
      <c r="DH840" s="48"/>
      <c r="DI840" s="48"/>
      <c r="DJ840" s="48"/>
      <c r="DK840" s="48"/>
      <c r="DL840" s="48"/>
      <c r="DM840" s="48"/>
      <c r="DN840" s="48"/>
      <c r="DO840" s="48"/>
      <c r="DP840" s="48"/>
      <c r="DQ840" s="48"/>
      <c r="DR840" s="48"/>
      <c r="DS840" s="48"/>
    </row>
    <row r="841" spans="1:123" ht="15">
      <c r="A841"/>
      <c r="B841"/>
      <c r="C841"/>
      <c r="D841"/>
      <c r="E841"/>
      <c r="F841"/>
      <c r="G841"/>
      <c r="H841"/>
      <c r="I841"/>
      <c r="J841"/>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48"/>
      <c r="BH841" s="48"/>
      <c r="BI841" s="48"/>
      <c r="BJ841" s="48"/>
      <c r="BK841" s="48"/>
      <c r="BL841" s="48"/>
      <c r="BM841" s="48"/>
      <c r="BN841" s="48"/>
      <c r="BO841" s="48"/>
      <c r="BP841" s="48"/>
      <c r="BQ841" s="48"/>
      <c r="BR841" s="48"/>
      <c r="BS841" s="48"/>
      <c r="BT841" s="48"/>
      <c r="BU841" s="48"/>
      <c r="BV841" s="48"/>
      <c r="BW841" s="48"/>
      <c r="BX841" s="48"/>
      <c r="BY841" s="48"/>
      <c r="BZ841" s="48"/>
      <c r="CA841" s="48"/>
      <c r="CB841" s="48"/>
      <c r="CC841" s="48"/>
      <c r="CD841" s="48"/>
      <c r="CE841" s="48"/>
      <c r="CF841" s="48"/>
      <c r="CG841" s="48"/>
      <c r="CH841" s="48"/>
      <c r="CI841" s="48"/>
      <c r="CJ841" s="48"/>
      <c r="CK841" s="48"/>
      <c r="CL841" s="48"/>
      <c r="CM841" s="48"/>
      <c r="CN841" s="48"/>
      <c r="CO841" s="48"/>
      <c r="CP841" s="48"/>
      <c r="CQ841" s="48"/>
      <c r="CR841" s="48"/>
      <c r="CS841" s="48"/>
      <c r="CT841" s="48"/>
      <c r="CU841" s="48"/>
      <c r="CV841" s="48"/>
      <c r="CW841" s="48"/>
      <c r="CX841" s="48"/>
      <c r="CY841" s="48"/>
      <c r="CZ841" s="48"/>
      <c r="DA841" s="48"/>
      <c r="DB841" s="48"/>
      <c r="DC841" s="48"/>
      <c r="DD841" s="48"/>
      <c r="DE841" s="48"/>
      <c r="DF841" s="48"/>
      <c r="DG841" s="48"/>
      <c r="DH841" s="48"/>
      <c r="DI841" s="48"/>
      <c r="DJ841" s="48"/>
      <c r="DK841" s="48"/>
      <c r="DL841" s="48"/>
      <c r="DM841" s="48"/>
      <c r="DN841" s="48"/>
      <c r="DO841" s="48"/>
      <c r="DP841" s="48"/>
      <c r="DQ841" s="48"/>
      <c r="DR841" s="48"/>
      <c r="DS841" s="48"/>
    </row>
    <row r="842" spans="1:123" ht="15">
      <c r="A842"/>
      <c r="B842"/>
      <c r="C842"/>
      <c r="D842"/>
      <c r="E842"/>
      <c r="F842"/>
      <c r="G842"/>
      <c r="H842"/>
      <c r="I842"/>
      <c r="J842"/>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48"/>
      <c r="BH842" s="48"/>
      <c r="BI842" s="48"/>
      <c r="BJ842" s="48"/>
      <c r="BK842" s="48"/>
      <c r="BL842" s="48"/>
      <c r="BM842" s="48"/>
      <c r="BN842" s="48"/>
      <c r="BO842" s="48"/>
      <c r="BP842" s="48"/>
      <c r="BQ842" s="48"/>
      <c r="BR842" s="48"/>
      <c r="BS842" s="48"/>
      <c r="BT842" s="48"/>
      <c r="BU842" s="48"/>
      <c r="BV842" s="48"/>
      <c r="BW842" s="48"/>
      <c r="BX842" s="48"/>
      <c r="BY842" s="48"/>
      <c r="BZ842" s="48"/>
      <c r="CA842" s="48"/>
      <c r="CB842" s="48"/>
      <c r="CC842" s="48"/>
      <c r="CD842" s="48"/>
      <c r="CE842" s="48"/>
      <c r="CF842" s="48"/>
      <c r="CG842" s="48"/>
      <c r="CH842" s="48"/>
      <c r="CI842" s="48"/>
      <c r="CJ842" s="48"/>
      <c r="CK842" s="48"/>
      <c r="CL842" s="48"/>
      <c r="CM842" s="48"/>
      <c r="CN842" s="48"/>
      <c r="CO842" s="48"/>
      <c r="CP842" s="48"/>
      <c r="CQ842" s="48"/>
      <c r="CR842" s="48"/>
      <c r="CS842" s="48"/>
      <c r="CT842" s="48"/>
      <c r="CU842" s="48"/>
      <c r="CV842" s="48"/>
      <c r="CW842" s="48"/>
      <c r="CX842" s="48"/>
      <c r="CY842" s="48"/>
      <c r="CZ842" s="48"/>
      <c r="DA842" s="48"/>
      <c r="DB842" s="48"/>
      <c r="DC842" s="48"/>
      <c r="DD842" s="48"/>
      <c r="DE842" s="48"/>
      <c r="DF842" s="48"/>
      <c r="DG842" s="48"/>
      <c r="DH842" s="48"/>
      <c r="DI842" s="48"/>
      <c r="DJ842" s="48"/>
      <c r="DK842" s="48"/>
      <c r="DL842" s="48"/>
      <c r="DM842" s="48"/>
      <c r="DN842" s="48"/>
      <c r="DO842" s="48"/>
      <c r="DP842" s="48"/>
      <c r="DQ842" s="48"/>
      <c r="DR842" s="48"/>
      <c r="DS842" s="48"/>
    </row>
    <row r="843" spans="1:123" ht="15">
      <c r="A843"/>
      <c r="B843"/>
      <c r="C843"/>
      <c r="D843"/>
      <c r="E843"/>
      <c r="F843"/>
      <c r="G843"/>
      <c r="H843"/>
      <c r="I843"/>
      <c r="J843"/>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48"/>
      <c r="BH843" s="48"/>
      <c r="BI843" s="48"/>
      <c r="BJ843" s="48"/>
      <c r="BK843" s="48"/>
      <c r="BL843" s="48"/>
      <c r="BM843" s="48"/>
      <c r="BN843" s="48"/>
      <c r="BO843" s="48"/>
      <c r="BP843" s="48"/>
      <c r="BQ843" s="48"/>
      <c r="BR843" s="48"/>
      <c r="BS843" s="48"/>
      <c r="BT843" s="48"/>
      <c r="BU843" s="48"/>
      <c r="BV843" s="48"/>
      <c r="BW843" s="48"/>
      <c r="BX843" s="48"/>
      <c r="BY843" s="48"/>
      <c r="BZ843" s="48"/>
      <c r="CA843" s="48"/>
      <c r="CB843" s="48"/>
      <c r="CC843" s="48"/>
      <c r="CD843" s="48"/>
      <c r="CE843" s="48"/>
      <c r="CF843" s="48"/>
      <c r="CG843" s="48"/>
      <c r="CH843" s="48"/>
      <c r="CI843" s="48"/>
      <c r="CJ843" s="48"/>
      <c r="CK843" s="48"/>
      <c r="CL843" s="48"/>
      <c r="CM843" s="48"/>
      <c r="CN843" s="48"/>
      <c r="CO843" s="48"/>
      <c r="CP843" s="48"/>
      <c r="CQ843" s="48"/>
      <c r="CR843" s="48"/>
      <c r="CS843" s="48"/>
      <c r="CT843" s="48"/>
      <c r="CU843" s="48"/>
      <c r="CV843" s="48"/>
      <c r="CW843" s="48"/>
      <c r="CX843" s="48"/>
      <c r="CY843" s="48"/>
      <c r="CZ843" s="48"/>
      <c r="DA843" s="48"/>
      <c r="DB843" s="48"/>
      <c r="DC843" s="48"/>
      <c r="DD843" s="48"/>
      <c r="DE843" s="48"/>
      <c r="DF843" s="48"/>
      <c r="DG843" s="48"/>
      <c r="DH843" s="48"/>
      <c r="DI843" s="48"/>
      <c r="DJ843" s="48"/>
      <c r="DK843" s="48"/>
      <c r="DL843" s="48"/>
      <c r="DM843" s="48"/>
      <c r="DN843" s="48"/>
      <c r="DO843" s="48"/>
      <c r="DP843" s="48"/>
      <c r="DQ843" s="48"/>
      <c r="DR843" s="48"/>
      <c r="DS843" s="48"/>
    </row>
    <row r="844" spans="1:123" ht="15">
      <c r="A844"/>
      <c r="B844"/>
      <c r="C844"/>
      <c r="D844"/>
      <c r="E844"/>
      <c r="F844"/>
      <c r="G844"/>
      <c r="H844"/>
      <c r="I844"/>
      <c r="J844"/>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48"/>
      <c r="BH844" s="48"/>
      <c r="BI844" s="48"/>
      <c r="BJ844" s="48"/>
      <c r="BK844" s="48"/>
      <c r="BL844" s="48"/>
      <c r="BM844" s="48"/>
      <c r="BN844" s="48"/>
      <c r="BO844" s="48"/>
      <c r="BP844" s="48"/>
      <c r="BQ844" s="48"/>
      <c r="BR844" s="48"/>
      <c r="BS844" s="48"/>
      <c r="BT844" s="48"/>
      <c r="BU844" s="48"/>
      <c r="BV844" s="48"/>
      <c r="BW844" s="48"/>
      <c r="BX844" s="48"/>
      <c r="BY844" s="48"/>
      <c r="BZ844" s="48"/>
      <c r="CA844" s="48"/>
      <c r="CB844" s="48"/>
      <c r="CC844" s="48"/>
      <c r="CD844" s="48"/>
      <c r="CE844" s="48"/>
      <c r="CF844" s="48"/>
      <c r="CG844" s="48"/>
      <c r="CH844" s="48"/>
      <c r="CI844" s="48"/>
      <c r="CJ844" s="48"/>
      <c r="CK844" s="48"/>
      <c r="CL844" s="48"/>
      <c r="CM844" s="48"/>
      <c r="CN844" s="48"/>
      <c r="CO844" s="48"/>
      <c r="CP844" s="48"/>
      <c r="CQ844" s="48"/>
      <c r="CR844" s="48"/>
      <c r="CS844" s="48"/>
      <c r="CT844" s="48"/>
      <c r="CU844" s="48"/>
      <c r="CV844" s="48"/>
      <c r="CW844" s="48"/>
      <c r="CX844" s="48"/>
      <c r="CY844" s="48"/>
      <c r="CZ844" s="48"/>
      <c r="DA844" s="48"/>
      <c r="DB844" s="48"/>
      <c r="DC844" s="48"/>
      <c r="DD844" s="48"/>
      <c r="DE844" s="48"/>
      <c r="DF844" s="48"/>
      <c r="DG844" s="48"/>
      <c r="DH844" s="48"/>
      <c r="DI844" s="48"/>
      <c r="DJ844" s="48"/>
      <c r="DK844" s="48"/>
      <c r="DL844" s="48"/>
      <c r="DM844" s="48"/>
      <c r="DN844" s="48"/>
      <c r="DO844" s="48"/>
      <c r="DP844" s="48"/>
      <c r="DQ844" s="48"/>
      <c r="DR844" s="48"/>
      <c r="DS844" s="48"/>
    </row>
    <row r="845" spans="1:123" ht="15">
      <c r="A845"/>
      <c r="B845"/>
      <c r="C845"/>
      <c r="D845"/>
      <c r="E845"/>
      <c r="F845"/>
      <c r="G845"/>
      <c r="H845"/>
      <c r="I845"/>
      <c r="J845"/>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48"/>
      <c r="BH845" s="48"/>
      <c r="BI845" s="48"/>
      <c r="BJ845" s="48"/>
      <c r="BK845" s="48"/>
      <c r="BL845" s="48"/>
      <c r="BM845" s="48"/>
      <c r="BN845" s="48"/>
      <c r="BO845" s="48"/>
      <c r="BP845" s="48"/>
      <c r="BQ845" s="48"/>
      <c r="BR845" s="48"/>
      <c r="BS845" s="48"/>
      <c r="BT845" s="48"/>
      <c r="BU845" s="48"/>
      <c r="BV845" s="48"/>
      <c r="BW845" s="48"/>
      <c r="BX845" s="48"/>
      <c r="BY845" s="48"/>
      <c r="BZ845" s="48"/>
      <c r="CA845" s="48"/>
      <c r="CB845" s="48"/>
      <c r="CC845" s="48"/>
      <c r="CD845" s="48"/>
      <c r="CE845" s="48"/>
      <c r="CF845" s="48"/>
      <c r="CG845" s="48"/>
      <c r="CH845" s="48"/>
      <c r="CI845" s="48"/>
      <c r="CJ845" s="48"/>
      <c r="CK845" s="48"/>
      <c r="CL845" s="48"/>
      <c r="CM845" s="48"/>
      <c r="CN845" s="48"/>
      <c r="CO845" s="48"/>
      <c r="CP845" s="48"/>
      <c r="CQ845" s="48"/>
      <c r="CR845" s="48"/>
      <c r="CS845" s="48"/>
      <c r="CT845" s="48"/>
      <c r="CU845" s="48"/>
      <c r="CV845" s="48"/>
      <c r="CW845" s="48"/>
      <c r="CX845" s="48"/>
      <c r="CY845" s="48"/>
      <c r="CZ845" s="48"/>
      <c r="DA845" s="48"/>
      <c r="DB845" s="48"/>
      <c r="DC845" s="48"/>
      <c r="DD845" s="48"/>
      <c r="DE845" s="48"/>
      <c r="DF845" s="48"/>
      <c r="DG845" s="48"/>
      <c r="DH845" s="48"/>
      <c r="DI845" s="48"/>
      <c r="DJ845" s="48"/>
      <c r="DK845" s="48"/>
      <c r="DL845" s="48"/>
      <c r="DM845" s="48"/>
      <c r="DN845" s="48"/>
      <c r="DO845" s="48"/>
      <c r="DP845" s="48"/>
      <c r="DQ845" s="48"/>
      <c r="DR845" s="48"/>
      <c r="DS845" s="48"/>
    </row>
    <row r="846" spans="1:123" ht="15">
      <c r="A846"/>
      <c r="B846"/>
      <c r="C846"/>
      <c r="D846"/>
      <c r="E846"/>
      <c r="F846"/>
      <c r="G846"/>
      <c r="H846"/>
      <c r="I846"/>
      <c r="J846"/>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48"/>
      <c r="BJ846" s="48"/>
      <c r="BK846" s="48"/>
      <c r="BL846" s="48"/>
      <c r="BM846" s="48"/>
      <c r="BN846" s="48"/>
      <c r="BO846" s="48"/>
      <c r="BP846" s="48"/>
      <c r="BQ846" s="48"/>
      <c r="BR846" s="48"/>
      <c r="BS846" s="48"/>
      <c r="BT846" s="48"/>
      <c r="BU846" s="48"/>
      <c r="BV846" s="48"/>
      <c r="BW846" s="48"/>
      <c r="BX846" s="48"/>
      <c r="BY846" s="48"/>
      <c r="BZ846" s="48"/>
      <c r="CA846" s="48"/>
      <c r="CB846" s="48"/>
      <c r="CC846" s="48"/>
      <c r="CD846" s="48"/>
      <c r="CE846" s="48"/>
      <c r="CF846" s="48"/>
      <c r="CG846" s="48"/>
      <c r="CH846" s="48"/>
      <c r="CI846" s="48"/>
      <c r="CJ846" s="48"/>
      <c r="CK846" s="48"/>
      <c r="CL846" s="48"/>
      <c r="CM846" s="48"/>
      <c r="CN846" s="48"/>
      <c r="CO846" s="48"/>
      <c r="CP846" s="48"/>
      <c r="CQ846" s="48"/>
      <c r="CR846" s="48"/>
      <c r="CS846" s="48"/>
      <c r="CT846" s="48"/>
      <c r="CU846" s="48"/>
      <c r="CV846" s="48"/>
      <c r="CW846" s="48"/>
      <c r="CX846" s="48"/>
      <c r="CY846" s="48"/>
      <c r="CZ846" s="48"/>
      <c r="DA846" s="48"/>
      <c r="DB846" s="48"/>
      <c r="DC846" s="48"/>
      <c r="DD846" s="48"/>
      <c r="DE846" s="48"/>
      <c r="DF846" s="48"/>
      <c r="DG846" s="48"/>
      <c r="DH846" s="48"/>
      <c r="DI846" s="48"/>
      <c r="DJ846" s="48"/>
      <c r="DK846" s="48"/>
      <c r="DL846" s="48"/>
      <c r="DM846" s="48"/>
      <c r="DN846" s="48"/>
      <c r="DO846" s="48"/>
      <c r="DP846" s="48"/>
      <c r="DQ846" s="48"/>
      <c r="DR846" s="48"/>
      <c r="DS846" s="48"/>
    </row>
    <row r="847" spans="1:123" ht="15">
      <c r="A847"/>
      <c r="B847"/>
      <c r="C847"/>
      <c r="D847"/>
      <c r="E847"/>
      <c r="F847"/>
      <c r="G847"/>
      <c r="H847"/>
      <c r="I847"/>
      <c r="J847"/>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48"/>
      <c r="BH847" s="48"/>
      <c r="BI847" s="48"/>
      <c r="BJ847" s="48"/>
      <c r="BK847" s="48"/>
      <c r="BL847" s="48"/>
      <c r="BM847" s="48"/>
      <c r="BN847" s="48"/>
      <c r="BO847" s="48"/>
      <c r="BP847" s="48"/>
      <c r="BQ847" s="48"/>
      <c r="BR847" s="48"/>
      <c r="BS847" s="48"/>
      <c r="BT847" s="48"/>
      <c r="BU847" s="48"/>
      <c r="BV847" s="48"/>
      <c r="BW847" s="48"/>
      <c r="BX847" s="48"/>
      <c r="BY847" s="48"/>
      <c r="BZ847" s="48"/>
      <c r="CA847" s="48"/>
      <c r="CB847" s="48"/>
      <c r="CC847" s="48"/>
      <c r="CD847" s="48"/>
      <c r="CE847" s="48"/>
      <c r="CF847" s="48"/>
      <c r="CG847" s="48"/>
      <c r="CH847" s="48"/>
      <c r="CI847" s="48"/>
      <c r="CJ847" s="48"/>
      <c r="CK847" s="48"/>
      <c r="CL847" s="48"/>
      <c r="CM847" s="48"/>
      <c r="CN847" s="48"/>
      <c r="CO847" s="48"/>
      <c r="CP847" s="48"/>
      <c r="CQ847" s="48"/>
      <c r="CR847" s="48"/>
      <c r="CS847" s="48"/>
      <c r="CT847" s="48"/>
      <c r="CU847" s="48"/>
      <c r="CV847" s="48"/>
      <c r="CW847" s="48"/>
      <c r="CX847" s="48"/>
      <c r="CY847" s="48"/>
      <c r="CZ847" s="48"/>
      <c r="DA847" s="48"/>
      <c r="DB847" s="48"/>
      <c r="DC847" s="48"/>
      <c r="DD847" s="48"/>
      <c r="DE847" s="48"/>
      <c r="DF847" s="48"/>
      <c r="DG847" s="48"/>
      <c r="DH847" s="48"/>
      <c r="DI847" s="48"/>
      <c r="DJ847" s="48"/>
      <c r="DK847" s="48"/>
      <c r="DL847" s="48"/>
      <c r="DM847" s="48"/>
      <c r="DN847" s="48"/>
      <c r="DO847" s="48"/>
      <c r="DP847" s="48"/>
      <c r="DQ847" s="48"/>
      <c r="DR847" s="48"/>
      <c r="DS847" s="48"/>
    </row>
    <row r="848" spans="1:123" ht="15">
      <c r="A848"/>
      <c r="B848"/>
      <c r="C848"/>
      <c r="D848"/>
      <c r="E848"/>
      <c r="F848"/>
      <c r="G848"/>
      <c r="H848"/>
      <c r="I848"/>
      <c r="J8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48"/>
      <c r="BH848" s="48"/>
      <c r="BI848" s="48"/>
      <c r="BJ848" s="48"/>
      <c r="BK848" s="48"/>
      <c r="BL848" s="48"/>
      <c r="BM848" s="48"/>
      <c r="BN848" s="48"/>
      <c r="BO848" s="48"/>
      <c r="BP848" s="48"/>
      <c r="BQ848" s="48"/>
      <c r="BR848" s="48"/>
      <c r="BS848" s="48"/>
      <c r="BT848" s="48"/>
      <c r="BU848" s="48"/>
      <c r="BV848" s="48"/>
      <c r="BW848" s="48"/>
      <c r="BX848" s="48"/>
      <c r="BY848" s="48"/>
      <c r="BZ848" s="48"/>
      <c r="CA848" s="48"/>
      <c r="CB848" s="48"/>
      <c r="CC848" s="48"/>
      <c r="CD848" s="48"/>
      <c r="CE848" s="48"/>
      <c r="CF848" s="48"/>
      <c r="CG848" s="48"/>
      <c r="CH848" s="48"/>
      <c r="CI848" s="48"/>
      <c r="CJ848" s="48"/>
      <c r="CK848" s="48"/>
      <c r="CL848" s="48"/>
      <c r="CM848" s="48"/>
      <c r="CN848" s="48"/>
      <c r="CO848" s="48"/>
      <c r="CP848" s="48"/>
      <c r="CQ848" s="48"/>
      <c r="CR848" s="48"/>
      <c r="CS848" s="48"/>
      <c r="CT848" s="48"/>
      <c r="CU848" s="48"/>
      <c r="CV848" s="48"/>
      <c r="CW848" s="48"/>
      <c r="CX848" s="48"/>
      <c r="CY848" s="48"/>
      <c r="CZ848" s="48"/>
      <c r="DA848" s="48"/>
      <c r="DB848" s="48"/>
      <c r="DC848" s="48"/>
      <c r="DD848" s="48"/>
      <c r="DE848" s="48"/>
      <c r="DF848" s="48"/>
      <c r="DG848" s="48"/>
      <c r="DH848" s="48"/>
      <c r="DI848" s="48"/>
      <c r="DJ848" s="48"/>
      <c r="DK848" s="48"/>
      <c r="DL848" s="48"/>
      <c r="DM848" s="48"/>
      <c r="DN848" s="48"/>
      <c r="DO848" s="48"/>
      <c r="DP848" s="48"/>
      <c r="DQ848" s="48"/>
      <c r="DR848" s="48"/>
      <c r="DS848" s="48"/>
    </row>
    <row r="849" spans="1:123" ht="15">
      <c r="A849"/>
      <c r="B849"/>
      <c r="C849"/>
      <c r="D849"/>
      <c r="E849"/>
      <c r="F849"/>
      <c r="G849"/>
      <c r="H849"/>
      <c r="I849"/>
      <c r="J849"/>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48"/>
      <c r="BH849" s="48"/>
      <c r="BI849" s="48"/>
      <c r="BJ849" s="48"/>
      <c r="BK849" s="48"/>
      <c r="BL849" s="48"/>
      <c r="BM849" s="48"/>
      <c r="BN849" s="48"/>
      <c r="BO849" s="48"/>
      <c r="BP849" s="48"/>
      <c r="BQ849" s="48"/>
      <c r="BR849" s="48"/>
      <c r="BS849" s="48"/>
      <c r="BT849" s="48"/>
      <c r="BU849" s="48"/>
      <c r="BV849" s="48"/>
      <c r="BW849" s="48"/>
      <c r="BX849" s="48"/>
      <c r="BY849" s="48"/>
      <c r="BZ849" s="48"/>
      <c r="CA849" s="48"/>
      <c r="CB849" s="48"/>
      <c r="CC849" s="48"/>
      <c r="CD849" s="48"/>
      <c r="CE849" s="48"/>
      <c r="CF849" s="48"/>
      <c r="CG849" s="48"/>
      <c r="CH849" s="48"/>
      <c r="CI849" s="48"/>
      <c r="CJ849" s="48"/>
      <c r="CK849" s="48"/>
      <c r="CL849" s="48"/>
      <c r="CM849" s="48"/>
      <c r="CN849" s="48"/>
      <c r="CO849" s="48"/>
      <c r="CP849" s="48"/>
      <c r="CQ849" s="48"/>
      <c r="CR849" s="48"/>
      <c r="CS849" s="48"/>
      <c r="CT849" s="48"/>
      <c r="CU849" s="48"/>
      <c r="CV849" s="48"/>
      <c r="CW849" s="48"/>
      <c r="CX849" s="48"/>
      <c r="CY849" s="48"/>
      <c r="CZ849" s="48"/>
      <c r="DA849" s="48"/>
      <c r="DB849" s="48"/>
      <c r="DC849" s="48"/>
      <c r="DD849" s="48"/>
      <c r="DE849" s="48"/>
      <c r="DF849" s="48"/>
      <c r="DG849" s="48"/>
      <c r="DH849" s="48"/>
      <c r="DI849" s="48"/>
      <c r="DJ849" s="48"/>
      <c r="DK849" s="48"/>
      <c r="DL849" s="48"/>
      <c r="DM849" s="48"/>
      <c r="DN849" s="48"/>
      <c r="DO849" s="48"/>
      <c r="DP849" s="48"/>
      <c r="DQ849" s="48"/>
      <c r="DR849" s="48"/>
      <c r="DS849" s="48"/>
    </row>
    <row r="850" spans="1:123" ht="15">
      <c r="A850"/>
      <c r="B850"/>
      <c r="C850"/>
      <c r="D850"/>
      <c r="E850"/>
      <c r="F850"/>
      <c r="G850"/>
      <c r="H850"/>
      <c r="I850"/>
      <c r="J850"/>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48"/>
      <c r="BH850" s="48"/>
      <c r="BI850" s="48"/>
      <c r="BJ850" s="48"/>
      <c r="BK850" s="48"/>
      <c r="BL850" s="48"/>
      <c r="BM850" s="48"/>
      <c r="BN850" s="48"/>
      <c r="BO850" s="48"/>
      <c r="BP850" s="48"/>
      <c r="BQ850" s="48"/>
      <c r="BR850" s="48"/>
      <c r="BS850" s="48"/>
      <c r="BT850" s="48"/>
      <c r="BU850" s="48"/>
      <c r="BV850" s="48"/>
      <c r="BW850" s="48"/>
      <c r="BX850" s="48"/>
      <c r="BY850" s="48"/>
      <c r="BZ850" s="48"/>
      <c r="CA850" s="48"/>
      <c r="CB850" s="48"/>
      <c r="CC850" s="48"/>
      <c r="CD850" s="48"/>
      <c r="CE850" s="48"/>
      <c r="CF850" s="48"/>
      <c r="CG850" s="48"/>
      <c r="CH850" s="48"/>
      <c r="CI850" s="48"/>
      <c r="CJ850" s="48"/>
      <c r="CK850" s="48"/>
      <c r="CL850" s="48"/>
      <c r="CM850" s="48"/>
      <c r="CN850" s="48"/>
      <c r="CO850" s="48"/>
      <c r="CP850" s="48"/>
      <c r="CQ850" s="48"/>
      <c r="CR850" s="48"/>
      <c r="CS850" s="48"/>
      <c r="CT850" s="48"/>
      <c r="CU850" s="48"/>
      <c r="CV850" s="48"/>
      <c r="CW850" s="48"/>
      <c r="CX850" s="48"/>
      <c r="CY850" s="48"/>
      <c r="CZ850" s="48"/>
      <c r="DA850" s="48"/>
      <c r="DB850" s="48"/>
      <c r="DC850" s="48"/>
      <c r="DD850" s="48"/>
      <c r="DE850" s="48"/>
      <c r="DF850" s="48"/>
      <c r="DG850" s="48"/>
      <c r="DH850" s="48"/>
      <c r="DI850" s="48"/>
      <c r="DJ850" s="48"/>
      <c r="DK850" s="48"/>
      <c r="DL850" s="48"/>
      <c r="DM850" s="48"/>
      <c r="DN850" s="48"/>
      <c r="DO850" s="48"/>
      <c r="DP850" s="48"/>
      <c r="DQ850" s="48"/>
      <c r="DR850" s="48"/>
      <c r="DS850" s="48"/>
    </row>
    <row r="851" spans="1:123" ht="15">
      <c r="A851"/>
      <c r="B851"/>
      <c r="C851"/>
      <c r="D851"/>
      <c r="E851"/>
      <c r="F851"/>
      <c r="G851"/>
      <c r="H851"/>
      <c r="I851"/>
      <c r="J851"/>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48"/>
      <c r="BH851" s="48"/>
      <c r="BI851" s="48"/>
      <c r="BJ851" s="48"/>
      <c r="BK851" s="48"/>
      <c r="BL851" s="48"/>
      <c r="BM851" s="48"/>
      <c r="BN851" s="48"/>
      <c r="BO851" s="48"/>
      <c r="BP851" s="48"/>
      <c r="BQ851" s="48"/>
      <c r="BR851" s="48"/>
      <c r="BS851" s="48"/>
      <c r="BT851" s="48"/>
      <c r="BU851" s="48"/>
      <c r="BV851" s="48"/>
      <c r="BW851" s="48"/>
      <c r="BX851" s="48"/>
      <c r="BY851" s="48"/>
      <c r="BZ851" s="48"/>
      <c r="CA851" s="48"/>
      <c r="CB851" s="48"/>
      <c r="CC851" s="48"/>
      <c r="CD851" s="48"/>
      <c r="CE851" s="48"/>
      <c r="CF851" s="48"/>
      <c r="CG851" s="48"/>
      <c r="CH851" s="48"/>
      <c r="CI851" s="48"/>
      <c r="CJ851" s="48"/>
      <c r="CK851" s="48"/>
      <c r="CL851" s="48"/>
      <c r="CM851" s="48"/>
      <c r="CN851" s="48"/>
      <c r="CO851" s="48"/>
      <c r="CP851" s="48"/>
      <c r="CQ851" s="48"/>
      <c r="CR851" s="48"/>
      <c r="CS851" s="48"/>
      <c r="CT851" s="48"/>
      <c r="CU851" s="48"/>
      <c r="CV851" s="48"/>
      <c r="CW851" s="48"/>
      <c r="CX851" s="48"/>
      <c r="CY851" s="48"/>
      <c r="CZ851" s="48"/>
      <c r="DA851" s="48"/>
      <c r="DB851" s="48"/>
      <c r="DC851" s="48"/>
      <c r="DD851" s="48"/>
      <c r="DE851" s="48"/>
      <c r="DF851" s="48"/>
      <c r="DG851" s="48"/>
      <c r="DH851" s="48"/>
      <c r="DI851" s="48"/>
      <c r="DJ851" s="48"/>
      <c r="DK851" s="48"/>
      <c r="DL851" s="48"/>
      <c r="DM851" s="48"/>
      <c r="DN851" s="48"/>
      <c r="DO851" s="48"/>
      <c r="DP851" s="48"/>
      <c r="DQ851" s="48"/>
      <c r="DR851" s="48"/>
      <c r="DS851" s="48"/>
    </row>
    <row r="852" spans="1:123" ht="15">
      <c r="A852"/>
      <c r="B852"/>
      <c r="C852"/>
      <c r="D852"/>
      <c r="E852"/>
      <c r="F852"/>
      <c r="G852"/>
      <c r="H852"/>
      <c r="I852"/>
      <c r="J852"/>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48"/>
      <c r="BH852" s="48"/>
      <c r="BI852" s="48"/>
      <c r="BJ852" s="48"/>
      <c r="BK852" s="48"/>
      <c r="BL852" s="48"/>
      <c r="BM852" s="48"/>
      <c r="BN852" s="48"/>
      <c r="BO852" s="48"/>
      <c r="BP852" s="48"/>
      <c r="BQ852" s="48"/>
      <c r="BR852" s="48"/>
      <c r="BS852" s="48"/>
      <c r="BT852" s="48"/>
      <c r="BU852" s="48"/>
      <c r="BV852" s="48"/>
      <c r="BW852" s="48"/>
      <c r="BX852" s="48"/>
      <c r="BY852" s="48"/>
      <c r="BZ852" s="48"/>
      <c r="CA852" s="48"/>
      <c r="CB852" s="48"/>
      <c r="CC852" s="48"/>
      <c r="CD852" s="48"/>
      <c r="CE852" s="48"/>
      <c r="CF852" s="48"/>
      <c r="CG852" s="48"/>
      <c r="CH852" s="48"/>
      <c r="CI852" s="48"/>
      <c r="CJ852" s="48"/>
      <c r="CK852" s="48"/>
      <c r="CL852" s="48"/>
      <c r="CM852" s="48"/>
      <c r="CN852" s="48"/>
      <c r="CO852" s="48"/>
      <c r="CP852" s="48"/>
      <c r="CQ852" s="48"/>
      <c r="CR852" s="48"/>
      <c r="CS852" s="48"/>
      <c r="CT852" s="48"/>
      <c r="CU852" s="48"/>
      <c r="CV852" s="48"/>
      <c r="CW852" s="48"/>
      <c r="CX852" s="48"/>
      <c r="CY852" s="48"/>
      <c r="CZ852" s="48"/>
      <c r="DA852" s="48"/>
      <c r="DB852" s="48"/>
      <c r="DC852" s="48"/>
      <c r="DD852" s="48"/>
      <c r="DE852" s="48"/>
      <c r="DF852" s="48"/>
      <c r="DG852" s="48"/>
      <c r="DH852" s="48"/>
      <c r="DI852" s="48"/>
      <c r="DJ852" s="48"/>
      <c r="DK852" s="48"/>
      <c r="DL852" s="48"/>
      <c r="DM852" s="48"/>
      <c r="DN852" s="48"/>
      <c r="DO852" s="48"/>
      <c r="DP852" s="48"/>
      <c r="DQ852" s="48"/>
      <c r="DR852" s="48"/>
      <c r="DS852" s="48"/>
    </row>
    <row r="853" spans="1:123" ht="15">
      <c r="A853"/>
      <c r="B853"/>
      <c r="C853"/>
      <c r="D853"/>
      <c r="E853"/>
      <c r="F853"/>
      <c r="G853"/>
      <c r="H853"/>
      <c r="I853"/>
      <c r="J853"/>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48"/>
      <c r="BH853" s="48"/>
      <c r="BI853" s="48"/>
      <c r="BJ853" s="48"/>
      <c r="BK853" s="48"/>
      <c r="BL853" s="48"/>
      <c r="BM853" s="48"/>
      <c r="BN853" s="48"/>
      <c r="BO853" s="48"/>
      <c r="BP853" s="48"/>
      <c r="BQ853" s="48"/>
      <c r="BR853" s="48"/>
      <c r="BS853" s="48"/>
      <c r="BT853" s="48"/>
      <c r="BU853" s="48"/>
      <c r="BV853" s="48"/>
      <c r="BW853" s="48"/>
      <c r="BX853" s="48"/>
      <c r="BY853" s="48"/>
      <c r="BZ853" s="48"/>
      <c r="CA853" s="48"/>
      <c r="CB853" s="48"/>
      <c r="CC853" s="48"/>
      <c r="CD853" s="48"/>
      <c r="CE853" s="48"/>
      <c r="CF853" s="48"/>
      <c r="CG853" s="48"/>
      <c r="CH853" s="48"/>
      <c r="CI853" s="48"/>
      <c r="CJ853" s="48"/>
      <c r="CK853" s="48"/>
      <c r="CL853" s="48"/>
      <c r="CM853" s="48"/>
      <c r="CN853" s="48"/>
      <c r="CO853" s="48"/>
      <c r="CP853" s="48"/>
      <c r="CQ853" s="48"/>
      <c r="CR853" s="48"/>
      <c r="CS853" s="48"/>
      <c r="CT853" s="48"/>
      <c r="CU853" s="48"/>
      <c r="CV853" s="48"/>
      <c r="CW853" s="48"/>
      <c r="CX853" s="48"/>
      <c r="CY853" s="48"/>
      <c r="CZ853" s="48"/>
      <c r="DA853" s="48"/>
      <c r="DB853" s="48"/>
      <c r="DC853" s="48"/>
      <c r="DD853" s="48"/>
      <c r="DE853" s="48"/>
      <c r="DF853" s="48"/>
      <c r="DG853" s="48"/>
      <c r="DH853" s="48"/>
      <c r="DI853" s="48"/>
      <c r="DJ853" s="48"/>
      <c r="DK853" s="48"/>
      <c r="DL853" s="48"/>
      <c r="DM853" s="48"/>
      <c r="DN853" s="48"/>
      <c r="DO853" s="48"/>
      <c r="DP853" s="48"/>
      <c r="DQ853" s="48"/>
      <c r="DR853" s="48"/>
      <c r="DS853" s="48"/>
    </row>
    <row r="854" spans="1:123" ht="15">
      <c r="A854"/>
      <c r="B854"/>
      <c r="C854"/>
      <c r="D854"/>
      <c r="E854"/>
      <c r="F854"/>
      <c r="G854"/>
      <c r="H854"/>
      <c r="I854"/>
      <c r="J854"/>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48"/>
      <c r="BH854" s="48"/>
      <c r="BI854" s="48"/>
      <c r="BJ854" s="48"/>
      <c r="BK854" s="48"/>
      <c r="BL854" s="48"/>
      <c r="BM854" s="48"/>
      <c r="BN854" s="48"/>
      <c r="BO854" s="48"/>
      <c r="BP854" s="48"/>
      <c r="BQ854" s="48"/>
      <c r="BR854" s="48"/>
      <c r="BS854" s="48"/>
      <c r="BT854" s="48"/>
      <c r="BU854" s="48"/>
      <c r="BV854" s="48"/>
      <c r="BW854" s="48"/>
      <c r="BX854" s="48"/>
      <c r="BY854" s="48"/>
      <c r="BZ854" s="48"/>
      <c r="CA854" s="48"/>
      <c r="CB854" s="48"/>
      <c r="CC854" s="48"/>
      <c r="CD854" s="48"/>
      <c r="CE854" s="48"/>
      <c r="CF854" s="48"/>
      <c r="CG854" s="48"/>
      <c r="CH854" s="48"/>
      <c r="CI854" s="48"/>
      <c r="CJ854" s="48"/>
      <c r="CK854" s="48"/>
      <c r="CL854" s="48"/>
      <c r="CM854" s="48"/>
      <c r="CN854" s="48"/>
      <c r="CO854" s="48"/>
      <c r="CP854" s="48"/>
      <c r="CQ854" s="48"/>
      <c r="CR854" s="48"/>
      <c r="CS854" s="48"/>
      <c r="CT854" s="48"/>
      <c r="CU854" s="48"/>
      <c r="CV854" s="48"/>
      <c r="CW854" s="48"/>
      <c r="CX854" s="48"/>
      <c r="CY854" s="48"/>
      <c r="CZ854" s="48"/>
      <c r="DA854" s="48"/>
      <c r="DB854" s="48"/>
      <c r="DC854" s="48"/>
      <c r="DD854" s="48"/>
      <c r="DE854" s="48"/>
      <c r="DF854" s="48"/>
      <c r="DG854" s="48"/>
      <c r="DH854" s="48"/>
      <c r="DI854" s="48"/>
      <c r="DJ854" s="48"/>
      <c r="DK854" s="48"/>
      <c r="DL854" s="48"/>
      <c r="DM854" s="48"/>
      <c r="DN854" s="48"/>
      <c r="DO854" s="48"/>
      <c r="DP854" s="48"/>
      <c r="DQ854" s="48"/>
      <c r="DR854" s="48"/>
      <c r="DS854" s="48"/>
    </row>
    <row r="855" spans="1:123" ht="15">
      <c r="A855"/>
      <c r="B855"/>
      <c r="C855"/>
      <c r="D855"/>
      <c r="E855"/>
      <c r="F855"/>
      <c r="G855"/>
      <c r="H855"/>
      <c r="I855"/>
      <c r="J855"/>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48"/>
      <c r="BH855" s="48"/>
      <c r="BI855" s="48"/>
      <c r="BJ855" s="48"/>
      <c r="BK855" s="48"/>
      <c r="BL855" s="48"/>
      <c r="BM855" s="48"/>
      <c r="BN855" s="48"/>
      <c r="BO855" s="48"/>
      <c r="BP855" s="48"/>
      <c r="BQ855" s="48"/>
      <c r="BR855" s="48"/>
      <c r="BS855" s="48"/>
      <c r="BT855" s="48"/>
      <c r="BU855" s="48"/>
      <c r="BV855" s="48"/>
      <c r="BW855" s="48"/>
      <c r="BX855" s="48"/>
      <c r="BY855" s="48"/>
      <c r="BZ855" s="48"/>
      <c r="CA855" s="48"/>
      <c r="CB855" s="48"/>
      <c r="CC855" s="48"/>
      <c r="CD855" s="48"/>
      <c r="CE855" s="48"/>
      <c r="CF855" s="48"/>
      <c r="CG855" s="48"/>
      <c r="CH855" s="48"/>
      <c r="CI855" s="48"/>
      <c r="CJ855" s="48"/>
      <c r="CK855" s="48"/>
      <c r="CL855" s="48"/>
      <c r="CM855" s="48"/>
      <c r="CN855" s="48"/>
      <c r="CO855" s="48"/>
      <c r="CP855" s="48"/>
      <c r="CQ855" s="48"/>
      <c r="CR855" s="48"/>
      <c r="CS855" s="48"/>
      <c r="CT855" s="48"/>
      <c r="CU855" s="48"/>
      <c r="CV855" s="48"/>
      <c r="CW855" s="48"/>
      <c r="CX855" s="48"/>
      <c r="CY855" s="48"/>
      <c r="CZ855" s="48"/>
      <c r="DA855" s="48"/>
      <c r="DB855" s="48"/>
      <c r="DC855" s="48"/>
      <c r="DD855" s="48"/>
      <c r="DE855" s="48"/>
      <c r="DF855" s="48"/>
      <c r="DG855" s="48"/>
      <c r="DH855" s="48"/>
      <c r="DI855" s="48"/>
      <c r="DJ855" s="48"/>
      <c r="DK855" s="48"/>
      <c r="DL855" s="48"/>
      <c r="DM855" s="48"/>
      <c r="DN855" s="48"/>
      <c r="DO855" s="48"/>
      <c r="DP855" s="48"/>
      <c r="DQ855" s="48"/>
      <c r="DR855" s="48"/>
      <c r="DS855" s="48"/>
    </row>
    <row r="856" spans="1:123" ht="15">
      <c r="A856"/>
      <c r="B856"/>
      <c r="C856"/>
      <c r="D856"/>
      <c r="E856"/>
      <c r="F856"/>
      <c r="G856"/>
      <c r="H856"/>
      <c r="I856"/>
      <c r="J856"/>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48"/>
      <c r="BH856" s="48"/>
      <c r="BI856" s="48"/>
      <c r="BJ856" s="48"/>
      <c r="BK856" s="48"/>
      <c r="BL856" s="48"/>
      <c r="BM856" s="48"/>
      <c r="BN856" s="48"/>
      <c r="BO856" s="48"/>
      <c r="BP856" s="48"/>
      <c r="BQ856" s="48"/>
      <c r="BR856" s="48"/>
      <c r="BS856" s="48"/>
      <c r="BT856" s="48"/>
      <c r="BU856" s="48"/>
      <c r="BV856" s="48"/>
      <c r="BW856" s="48"/>
      <c r="BX856" s="48"/>
      <c r="BY856" s="48"/>
      <c r="BZ856" s="48"/>
      <c r="CA856" s="48"/>
      <c r="CB856" s="48"/>
      <c r="CC856" s="48"/>
      <c r="CD856" s="48"/>
      <c r="CE856" s="48"/>
      <c r="CF856" s="48"/>
      <c r="CG856" s="48"/>
      <c r="CH856" s="48"/>
      <c r="CI856" s="48"/>
      <c r="CJ856" s="48"/>
      <c r="CK856" s="48"/>
      <c r="CL856" s="48"/>
      <c r="CM856" s="48"/>
      <c r="CN856" s="48"/>
      <c r="CO856" s="48"/>
      <c r="CP856" s="48"/>
      <c r="CQ856" s="48"/>
      <c r="CR856" s="48"/>
      <c r="CS856" s="48"/>
      <c r="CT856" s="48"/>
      <c r="CU856" s="48"/>
      <c r="CV856" s="48"/>
      <c r="CW856" s="48"/>
      <c r="CX856" s="48"/>
      <c r="CY856" s="48"/>
      <c r="CZ856" s="48"/>
      <c r="DA856" s="48"/>
      <c r="DB856" s="48"/>
      <c r="DC856" s="48"/>
      <c r="DD856" s="48"/>
      <c r="DE856" s="48"/>
      <c r="DF856" s="48"/>
      <c r="DG856" s="48"/>
      <c r="DH856" s="48"/>
      <c r="DI856" s="48"/>
      <c r="DJ856" s="48"/>
      <c r="DK856" s="48"/>
      <c r="DL856" s="48"/>
      <c r="DM856" s="48"/>
      <c r="DN856" s="48"/>
      <c r="DO856" s="48"/>
      <c r="DP856" s="48"/>
      <c r="DQ856" s="48"/>
      <c r="DR856" s="48"/>
      <c r="DS856" s="48"/>
    </row>
    <row r="857" spans="1:123" ht="15">
      <c r="A857"/>
      <c r="B857"/>
      <c r="C857"/>
      <c r="D857"/>
      <c r="E857"/>
      <c r="F857"/>
      <c r="G857"/>
      <c r="H857"/>
      <c r="I857"/>
      <c r="J857"/>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48"/>
      <c r="BH857" s="48"/>
      <c r="BI857" s="48"/>
      <c r="BJ857" s="48"/>
      <c r="BK857" s="48"/>
      <c r="BL857" s="48"/>
      <c r="BM857" s="48"/>
      <c r="BN857" s="48"/>
      <c r="BO857" s="48"/>
      <c r="BP857" s="48"/>
      <c r="BQ857" s="48"/>
      <c r="BR857" s="48"/>
      <c r="BS857" s="48"/>
      <c r="BT857" s="48"/>
      <c r="BU857" s="48"/>
      <c r="BV857" s="48"/>
      <c r="BW857" s="48"/>
      <c r="BX857" s="48"/>
      <c r="BY857" s="48"/>
      <c r="BZ857" s="48"/>
      <c r="CA857" s="48"/>
      <c r="CB857" s="48"/>
      <c r="CC857" s="48"/>
      <c r="CD857" s="48"/>
      <c r="CE857" s="48"/>
      <c r="CF857" s="48"/>
      <c r="CG857" s="48"/>
      <c r="CH857" s="48"/>
      <c r="CI857" s="48"/>
      <c r="CJ857" s="48"/>
      <c r="CK857" s="48"/>
      <c r="CL857" s="48"/>
      <c r="CM857" s="48"/>
      <c r="CN857" s="48"/>
      <c r="CO857" s="48"/>
      <c r="CP857" s="48"/>
      <c r="CQ857" s="48"/>
      <c r="CR857" s="48"/>
      <c r="CS857" s="48"/>
      <c r="CT857" s="48"/>
      <c r="CU857" s="48"/>
      <c r="CV857" s="48"/>
      <c r="CW857" s="48"/>
      <c r="CX857" s="48"/>
      <c r="CY857" s="48"/>
      <c r="CZ857" s="48"/>
      <c r="DA857" s="48"/>
      <c r="DB857" s="48"/>
      <c r="DC857" s="48"/>
      <c r="DD857" s="48"/>
      <c r="DE857" s="48"/>
      <c r="DF857" s="48"/>
      <c r="DG857" s="48"/>
      <c r="DH857" s="48"/>
      <c r="DI857" s="48"/>
      <c r="DJ857" s="48"/>
      <c r="DK857" s="48"/>
      <c r="DL857" s="48"/>
      <c r="DM857" s="48"/>
      <c r="DN857" s="48"/>
      <c r="DO857" s="48"/>
      <c r="DP857" s="48"/>
      <c r="DQ857" s="48"/>
      <c r="DR857" s="48"/>
      <c r="DS857" s="48"/>
    </row>
    <row r="858" spans="1:123" ht="15">
      <c r="A858"/>
      <c r="B858"/>
      <c r="C858"/>
      <c r="D858"/>
      <c r="E858"/>
      <c r="F858"/>
      <c r="G858"/>
      <c r="H858"/>
      <c r="I858"/>
      <c r="J85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48"/>
      <c r="BH858" s="48"/>
      <c r="BI858" s="48"/>
      <c r="BJ858" s="48"/>
      <c r="BK858" s="48"/>
      <c r="BL858" s="48"/>
      <c r="BM858" s="48"/>
      <c r="BN858" s="48"/>
      <c r="BO858" s="48"/>
      <c r="BP858" s="48"/>
      <c r="BQ858" s="48"/>
      <c r="BR858" s="48"/>
      <c r="BS858" s="48"/>
      <c r="BT858" s="48"/>
      <c r="BU858" s="48"/>
      <c r="BV858" s="48"/>
      <c r="BW858" s="48"/>
      <c r="BX858" s="48"/>
      <c r="BY858" s="48"/>
      <c r="BZ858" s="48"/>
      <c r="CA858" s="48"/>
      <c r="CB858" s="48"/>
      <c r="CC858" s="48"/>
      <c r="CD858" s="48"/>
      <c r="CE858" s="48"/>
      <c r="CF858" s="48"/>
      <c r="CG858" s="48"/>
      <c r="CH858" s="48"/>
      <c r="CI858" s="48"/>
      <c r="CJ858" s="48"/>
      <c r="CK858" s="48"/>
      <c r="CL858" s="48"/>
      <c r="CM858" s="48"/>
      <c r="CN858" s="48"/>
      <c r="CO858" s="48"/>
      <c r="CP858" s="48"/>
      <c r="CQ858" s="48"/>
      <c r="CR858" s="48"/>
      <c r="CS858" s="48"/>
      <c r="CT858" s="48"/>
      <c r="CU858" s="48"/>
      <c r="CV858" s="48"/>
      <c r="CW858" s="48"/>
      <c r="CX858" s="48"/>
      <c r="CY858" s="48"/>
      <c r="CZ858" s="48"/>
      <c r="DA858" s="48"/>
      <c r="DB858" s="48"/>
      <c r="DC858" s="48"/>
      <c r="DD858" s="48"/>
      <c r="DE858" s="48"/>
      <c r="DF858" s="48"/>
      <c r="DG858" s="48"/>
      <c r="DH858" s="48"/>
      <c r="DI858" s="48"/>
      <c r="DJ858" s="48"/>
      <c r="DK858" s="48"/>
      <c r="DL858" s="48"/>
      <c r="DM858" s="48"/>
      <c r="DN858" s="48"/>
      <c r="DO858" s="48"/>
      <c r="DP858" s="48"/>
      <c r="DQ858" s="48"/>
      <c r="DR858" s="48"/>
      <c r="DS858" s="48"/>
    </row>
    <row r="859" spans="1:123" ht="15">
      <c r="A859"/>
      <c r="B859"/>
      <c r="C859"/>
      <c r="D859"/>
      <c r="E859"/>
      <c r="F859"/>
      <c r="G859"/>
      <c r="H859"/>
      <c r="I859"/>
      <c r="J859"/>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48"/>
      <c r="BH859" s="48"/>
      <c r="BI859" s="48"/>
      <c r="BJ859" s="48"/>
      <c r="BK859" s="48"/>
      <c r="BL859" s="48"/>
      <c r="BM859" s="48"/>
      <c r="BN859" s="48"/>
      <c r="BO859" s="48"/>
      <c r="BP859" s="48"/>
      <c r="BQ859" s="48"/>
      <c r="BR859" s="48"/>
      <c r="BS859" s="48"/>
      <c r="BT859" s="48"/>
      <c r="BU859" s="48"/>
      <c r="BV859" s="48"/>
      <c r="BW859" s="48"/>
      <c r="BX859" s="48"/>
      <c r="BY859" s="48"/>
      <c r="BZ859" s="48"/>
      <c r="CA859" s="48"/>
      <c r="CB859" s="48"/>
      <c r="CC859" s="48"/>
      <c r="CD859" s="48"/>
      <c r="CE859" s="48"/>
      <c r="CF859" s="48"/>
      <c r="CG859" s="48"/>
      <c r="CH859" s="48"/>
      <c r="CI859" s="48"/>
      <c r="CJ859" s="48"/>
      <c r="CK859" s="48"/>
      <c r="CL859" s="48"/>
      <c r="CM859" s="48"/>
      <c r="CN859" s="48"/>
      <c r="CO859" s="48"/>
      <c r="CP859" s="48"/>
      <c r="CQ859" s="48"/>
      <c r="CR859" s="48"/>
      <c r="CS859" s="48"/>
      <c r="CT859" s="48"/>
      <c r="CU859" s="48"/>
      <c r="CV859" s="48"/>
      <c r="CW859" s="48"/>
      <c r="CX859" s="48"/>
      <c r="CY859" s="48"/>
      <c r="CZ859" s="48"/>
      <c r="DA859" s="48"/>
      <c r="DB859" s="48"/>
      <c r="DC859" s="48"/>
      <c r="DD859" s="48"/>
      <c r="DE859" s="48"/>
      <c r="DF859" s="48"/>
      <c r="DG859" s="48"/>
      <c r="DH859" s="48"/>
      <c r="DI859" s="48"/>
      <c r="DJ859" s="48"/>
      <c r="DK859" s="48"/>
      <c r="DL859" s="48"/>
      <c r="DM859" s="48"/>
      <c r="DN859" s="48"/>
      <c r="DO859" s="48"/>
      <c r="DP859" s="48"/>
      <c r="DQ859" s="48"/>
      <c r="DR859" s="48"/>
      <c r="DS859" s="48"/>
    </row>
    <row r="860" spans="1:123" ht="15">
      <c r="A860"/>
      <c r="B860"/>
      <c r="C860"/>
      <c r="D860"/>
      <c r="E860"/>
      <c r="F860"/>
      <c r="G860"/>
      <c r="H860"/>
      <c r="I860"/>
      <c r="J860"/>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48"/>
      <c r="BH860" s="48"/>
      <c r="BI860" s="48"/>
      <c r="BJ860" s="48"/>
      <c r="BK860" s="48"/>
      <c r="BL860" s="48"/>
      <c r="BM860" s="48"/>
      <c r="BN860" s="48"/>
      <c r="BO860" s="48"/>
      <c r="BP860" s="48"/>
      <c r="BQ860" s="48"/>
      <c r="BR860" s="48"/>
      <c r="BS860" s="48"/>
      <c r="BT860" s="48"/>
      <c r="BU860" s="48"/>
      <c r="BV860" s="48"/>
      <c r="BW860" s="48"/>
      <c r="BX860" s="48"/>
      <c r="BY860" s="48"/>
      <c r="BZ860" s="48"/>
      <c r="CA860" s="48"/>
      <c r="CB860" s="48"/>
      <c r="CC860" s="48"/>
      <c r="CD860" s="48"/>
      <c r="CE860" s="48"/>
      <c r="CF860" s="48"/>
      <c r="CG860" s="48"/>
      <c r="CH860" s="48"/>
      <c r="CI860" s="48"/>
      <c r="CJ860" s="48"/>
      <c r="CK860" s="48"/>
      <c r="CL860" s="48"/>
      <c r="CM860" s="48"/>
      <c r="CN860" s="48"/>
      <c r="CO860" s="48"/>
      <c r="CP860" s="48"/>
      <c r="CQ860" s="48"/>
      <c r="CR860" s="48"/>
      <c r="CS860" s="48"/>
      <c r="CT860" s="48"/>
      <c r="CU860" s="48"/>
      <c r="CV860" s="48"/>
      <c r="CW860" s="48"/>
      <c r="CX860" s="48"/>
      <c r="CY860" s="48"/>
      <c r="CZ860" s="48"/>
      <c r="DA860" s="48"/>
      <c r="DB860" s="48"/>
      <c r="DC860" s="48"/>
      <c r="DD860" s="48"/>
      <c r="DE860" s="48"/>
      <c r="DF860" s="48"/>
      <c r="DG860" s="48"/>
      <c r="DH860" s="48"/>
      <c r="DI860" s="48"/>
      <c r="DJ860" s="48"/>
      <c r="DK860" s="48"/>
      <c r="DL860" s="48"/>
      <c r="DM860" s="48"/>
      <c r="DN860" s="48"/>
      <c r="DO860" s="48"/>
      <c r="DP860" s="48"/>
      <c r="DQ860" s="48"/>
      <c r="DR860" s="48"/>
      <c r="DS860" s="48"/>
    </row>
    <row r="861" spans="1:123" ht="15">
      <c r="A861"/>
      <c r="B861"/>
      <c r="C861"/>
      <c r="D861"/>
      <c r="E861"/>
      <c r="F861"/>
      <c r="G861"/>
      <c r="H861"/>
      <c r="I861"/>
      <c r="J861"/>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48"/>
      <c r="BH861" s="48"/>
      <c r="BI861" s="48"/>
      <c r="BJ861" s="48"/>
      <c r="BK861" s="48"/>
      <c r="BL861" s="48"/>
      <c r="BM861" s="48"/>
      <c r="BN861" s="48"/>
      <c r="BO861" s="48"/>
      <c r="BP861" s="48"/>
      <c r="BQ861" s="48"/>
      <c r="BR861" s="48"/>
      <c r="BS861" s="48"/>
      <c r="BT861" s="48"/>
      <c r="BU861" s="48"/>
      <c r="BV861" s="48"/>
      <c r="BW861" s="48"/>
      <c r="BX861" s="48"/>
      <c r="BY861" s="48"/>
      <c r="BZ861" s="48"/>
      <c r="CA861" s="48"/>
      <c r="CB861" s="48"/>
      <c r="CC861" s="48"/>
      <c r="CD861" s="48"/>
      <c r="CE861" s="48"/>
      <c r="CF861" s="48"/>
      <c r="CG861" s="48"/>
      <c r="CH861" s="48"/>
      <c r="CI861" s="48"/>
      <c r="CJ861" s="48"/>
      <c r="CK861" s="48"/>
      <c r="CL861" s="48"/>
      <c r="CM861" s="48"/>
      <c r="CN861" s="48"/>
      <c r="CO861" s="48"/>
      <c r="CP861" s="48"/>
      <c r="CQ861" s="48"/>
      <c r="CR861" s="48"/>
      <c r="CS861" s="48"/>
      <c r="CT861" s="48"/>
      <c r="CU861" s="48"/>
      <c r="CV861" s="48"/>
      <c r="CW861" s="48"/>
      <c r="CX861" s="48"/>
      <c r="CY861" s="48"/>
      <c r="CZ861" s="48"/>
      <c r="DA861" s="48"/>
      <c r="DB861" s="48"/>
      <c r="DC861" s="48"/>
      <c r="DD861" s="48"/>
      <c r="DE861" s="48"/>
      <c r="DF861" s="48"/>
      <c r="DG861" s="48"/>
      <c r="DH861" s="48"/>
      <c r="DI861" s="48"/>
      <c r="DJ861" s="48"/>
      <c r="DK861" s="48"/>
      <c r="DL861" s="48"/>
      <c r="DM861" s="48"/>
      <c r="DN861" s="48"/>
      <c r="DO861" s="48"/>
      <c r="DP861" s="48"/>
      <c r="DQ861" s="48"/>
      <c r="DR861" s="48"/>
      <c r="DS861" s="48"/>
    </row>
    <row r="862" spans="1:123" ht="15">
      <c r="A862"/>
      <c r="B862"/>
      <c r="C862"/>
      <c r="D862"/>
      <c r="E862"/>
      <c r="F862"/>
      <c r="G862"/>
      <c r="H862"/>
      <c r="I862"/>
      <c r="J862"/>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48"/>
      <c r="BH862" s="48"/>
      <c r="BI862" s="48"/>
      <c r="BJ862" s="48"/>
      <c r="BK862" s="48"/>
      <c r="BL862" s="48"/>
      <c r="BM862" s="48"/>
      <c r="BN862" s="48"/>
      <c r="BO862" s="48"/>
      <c r="BP862" s="48"/>
      <c r="BQ862" s="48"/>
      <c r="BR862" s="48"/>
      <c r="BS862" s="48"/>
      <c r="BT862" s="48"/>
      <c r="BU862" s="48"/>
      <c r="BV862" s="48"/>
      <c r="BW862" s="48"/>
      <c r="BX862" s="48"/>
      <c r="BY862" s="48"/>
      <c r="BZ862" s="48"/>
      <c r="CA862" s="48"/>
      <c r="CB862" s="48"/>
      <c r="CC862" s="48"/>
      <c r="CD862" s="48"/>
      <c r="CE862" s="48"/>
      <c r="CF862" s="48"/>
      <c r="CG862" s="48"/>
      <c r="CH862" s="48"/>
      <c r="CI862" s="48"/>
      <c r="CJ862" s="48"/>
      <c r="CK862" s="48"/>
      <c r="CL862" s="48"/>
      <c r="CM862" s="48"/>
      <c r="CN862" s="48"/>
      <c r="CO862" s="48"/>
      <c r="CP862" s="48"/>
      <c r="CQ862" s="48"/>
      <c r="CR862" s="48"/>
      <c r="CS862" s="48"/>
      <c r="CT862" s="48"/>
      <c r="CU862" s="48"/>
      <c r="CV862" s="48"/>
      <c r="CW862" s="48"/>
      <c r="CX862" s="48"/>
      <c r="CY862" s="48"/>
      <c r="CZ862" s="48"/>
      <c r="DA862" s="48"/>
      <c r="DB862" s="48"/>
      <c r="DC862" s="48"/>
      <c r="DD862" s="48"/>
      <c r="DE862" s="48"/>
      <c r="DF862" s="48"/>
      <c r="DG862" s="48"/>
      <c r="DH862" s="48"/>
      <c r="DI862" s="48"/>
      <c r="DJ862" s="48"/>
      <c r="DK862" s="48"/>
      <c r="DL862" s="48"/>
      <c r="DM862" s="48"/>
      <c r="DN862" s="48"/>
      <c r="DO862" s="48"/>
      <c r="DP862" s="48"/>
      <c r="DQ862" s="48"/>
      <c r="DR862" s="48"/>
      <c r="DS862" s="48"/>
    </row>
    <row r="863" spans="1:123" ht="15">
      <c r="A863"/>
      <c r="B863"/>
      <c r="C863"/>
      <c r="D863"/>
      <c r="E863"/>
      <c r="F863"/>
      <c r="G863"/>
      <c r="H863"/>
      <c r="I863"/>
      <c r="J863"/>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48"/>
      <c r="BH863" s="48"/>
      <c r="BI863" s="48"/>
      <c r="BJ863" s="48"/>
      <c r="BK863" s="48"/>
      <c r="BL863" s="48"/>
      <c r="BM863" s="48"/>
      <c r="BN863" s="48"/>
      <c r="BO863" s="48"/>
      <c r="BP863" s="48"/>
      <c r="BQ863" s="48"/>
      <c r="BR863" s="48"/>
      <c r="BS863" s="48"/>
      <c r="BT863" s="48"/>
      <c r="BU863" s="48"/>
      <c r="BV863" s="48"/>
      <c r="BW863" s="48"/>
      <c r="BX863" s="48"/>
      <c r="BY863" s="48"/>
      <c r="BZ863" s="48"/>
      <c r="CA863" s="48"/>
      <c r="CB863" s="48"/>
      <c r="CC863" s="48"/>
      <c r="CD863" s="48"/>
      <c r="CE863" s="48"/>
      <c r="CF863" s="48"/>
      <c r="CG863" s="48"/>
      <c r="CH863" s="48"/>
      <c r="CI863" s="48"/>
      <c r="CJ863" s="48"/>
      <c r="CK863" s="48"/>
      <c r="CL863" s="48"/>
      <c r="CM863" s="48"/>
      <c r="CN863" s="48"/>
      <c r="CO863" s="48"/>
      <c r="CP863" s="48"/>
      <c r="CQ863" s="48"/>
      <c r="CR863" s="48"/>
      <c r="CS863" s="48"/>
      <c r="CT863" s="48"/>
      <c r="CU863" s="48"/>
      <c r="CV863" s="48"/>
      <c r="CW863" s="48"/>
      <c r="CX863" s="48"/>
      <c r="CY863" s="48"/>
      <c r="CZ863" s="48"/>
      <c r="DA863" s="48"/>
      <c r="DB863" s="48"/>
      <c r="DC863" s="48"/>
      <c r="DD863" s="48"/>
      <c r="DE863" s="48"/>
      <c r="DF863" s="48"/>
      <c r="DG863" s="48"/>
      <c r="DH863" s="48"/>
      <c r="DI863" s="48"/>
      <c r="DJ863" s="48"/>
      <c r="DK863" s="48"/>
      <c r="DL863" s="48"/>
      <c r="DM863" s="48"/>
      <c r="DN863" s="48"/>
      <c r="DO863" s="48"/>
      <c r="DP863" s="48"/>
      <c r="DQ863" s="48"/>
      <c r="DR863" s="48"/>
      <c r="DS863" s="48"/>
    </row>
    <row r="864" spans="1:123" ht="15">
      <c r="A864"/>
      <c r="B864"/>
      <c r="C864"/>
      <c r="D864"/>
      <c r="E864"/>
      <c r="F864"/>
      <c r="G864"/>
      <c r="H864"/>
      <c r="I864"/>
      <c r="J864"/>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48"/>
      <c r="BH864" s="48"/>
      <c r="BI864" s="48"/>
      <c r="BJ864" s="48"/>
      <c r="BK864" s="48"/>
      <c r="BL864" s="48"/>
      <c r="BM864" s="48"/>
      <c r="BN864" s="48"/>
      <c r="BO864" s="48"/>
      <c r="BP864" s="48"/>
      <c r="BQ864" s="48"/>
      <c r="BR864" s="48"/>
      <c r="BS864" s="48"/>
      <c r="BT864" s="48"/>
      <c r="BU864" s="48"/>
      <c r="BV864" s="48"/>
      <c r="BW864" s="48"/>
      <c r="BX864" s="48"/>
      <c r="BY864" s="48"/>
      <c r="BZ864" s="48"/>
      <c r="CA864" s="48"/>
      <c r="CB864" s="48"/>
      <c r="CC864" s="48"/>
      <c r="CD864" s="48"/>
      <c r="CE864" s="48"/>
      <c r="CF864" s="48"/>
      <c r="CG864" s="48"/>
      <c r="CH864" s="48"/>
      <c r="CI864" s="48"/>
      <c r="CJ864" s="48"/>
      <c r="CK864" s="48"/>
      <c r="CL864" s="48"/>
      <c r="CM864" s="48"/>
      <c r="CN864" s="48"/>
      <c r="CO864" s="48"/>
      <c r="CP864" s="48"/>
      <c r="CQ864" s="48"/>
      <c r="CR864" s="48"/>
      <c r="CS864" s="48"/>
      <c r="CT864" s="48"/>
      <c r="CU864" s="48"/>
      <c r="CV864" s="48"/>
      <c r="CW864" s="48"/>
      <c r="CX864" s="48"/>
      <c r="CY864" s="48"/>
      <c r="CZ864" s="48"/>
      <c r="DA864" s="48"/>
      <c r="DB864" s="48"/>
      <c r="DC864" s="48"/>
      <c r="DD864" s="48"/>
      <c r="DE864" s="48"/>
      <c r="DF864" s="48"/>
      <c r="DG864" s="48"/>
      <c r="DH864" s="48"/>
      <c r="DI864" s="48"/>
      <c r="DJ864" s="48"/>
      <c r="DK864" s="48"/>
      <c r="DL864" s="48"/>
      <c r="DM864" s="48"/>
      <c r="DN864" s="48"/>
      <c r="DO864" s="48"/>
      <c r="DP864" s="48"/>
      <c r="DQ864" s="48"/>
      <c r="DR864" s="48"/>
      <c r="DS864" s="48"/>
    </row>
    <row r="865" spans="1:123" ht="15">
      <c r="A865"/>
      <c r="B865"/>
      <c r="C865"/>
      <c r="D865"/>
      <c r="E865"/>
      <c r="F865"/>
      <c r="G865"/>
      <c r="H865"/>
      <c r="I865"/>
      <c r="J865"/>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48"/>
      <c r="BH865" s="48"/>
      <c r="BI865" s="48"/>
      <c r="BJ865" s="48"/>
      <c r="BK865" s="48"/>
      <c r="BL865" s="48"/>
      <c r="BM865" s="48"/>
      <c r="BN865" s="48"/>
      <c r="BO865" s="48"/>
      <c r="BP865" s="48"/>
      <c r="BQ865" s="48"/>
      <c r="BR865" s="48"/>
      <c r="BS865" s="48"/>
      <c r="BT865" s="48"/>
      <c r="BU865" s="48"/>
      <c r="BV865" s="48"/>
      <c r="BW865" s="48"/>
      <c r="BX865" s="48"/>
      <c r="BY865" s="48"/>
      <c r="BZ865" s="48"/>
      <c r="CA865" s="48"/>
      <c r="CB865" s="48"/>
      <c r="CC865" s="48"/>
      <c r="CD865" s="48"/>
      <c r="CE865" s="48"/>
      <c r="CF865" s="48"/>
      <c r="CG865" s="48"/>
      <c r="CH865" s="48"/>
      <c r="CI865" s="48"/>
      <c r="CJ865" s="48"/>
      <c r="CK865" s="48"/>
      <c r="CL865" s="48"/>
      <c r="CM865" s="48"/>
      <c r="CN865" s="48"/>
      <c r="CO865" s="48"/>
      <c r="CP865" s="48"/>
      <c r="CQ865" s="48"/>
      <c r="CR865" s="48"/>
      <c r="CS865" s="48"/>
      <c r="CT865" s="48"/>
      <c r="CU865" s="48"/>
      <c r="CV865" s="48"/>
      <c r="CW865" s="48"/>
      <c r="CX865" s="48"/>
      <c r="CY865" s="48"/>
      <c r="CZ865" s="48"/>
      <c r="DA865" s="48"/>
      <c r="DB865" s="48"/>
      <c r="DC865" s="48"/>
      <c r="DD865" s="48"/>
      <c r="DE865" s="48"/>
      <c r="DF865" s="48"/>
      <c r="DG865" s="48"/>
      <c r="DH865" s="48"/>
      <c r="DI865" s="48"/>
      <c r="DJ865" s="48"/>
      <c r="DK865" s="48"/>
      <c r="DL865" s="48"/>
      <c r="DM865" s="48"/>
      <c r="DN865" s="48"/>
      <c r="DO865" s="48"/>
      <c r="DP865" s="48"/>
      <c r="DQ865" s="48"/>
      <c r="DR865" s="48"/>
      <c r="DS865" s="48"/>
    </row>
    <row r="866" spans="1:123" ht="15">
      <c r="A866"/>
      <c r="B866"/>
      <c r="C866"/>
      <c r="D866"/>
      <c r="E866"/>
      <c r="F866"/>
      <c r="G866"/>
      <c r="H866"/>
      <c r="I866"/>
      <c r="J866"/>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48"/>
      <c r="BH866" s="48"/>
      <c r="BI866" s="48"/>
      <c r="BJ866" s="48"/>
      <c r="BK866" s="48"/>
      <c r="BL866" s="48"/>
      <c r="BM866" s="48"/>
      <c r="BN866" s="48"/>
      <c r="BO866" s="48"/>
      <c r="BP866" s="48"/>
      <c r="BQ866" s="48"/>
      <c r="BR866" s="48"/>
      <c r="BS866" s="48"/>
      <c r="BT866" s="48"/>
      <c r="BU866" s="48"/>
      <c r="BV866" s="48"/>
      <c r="BW866" s="48"/>
      <c r="BX866" s="48"/>
      <c r="BY866" s="48"/>
      <c r="BZ866" s="48"/>
      <c r="CA866" s="48"/>
      <c r="CB866" s="48"/>
      <c r="CC866" s="48"/>
      <c r="CD866" s="48"/>
      <c r="CE866" s="48"/>
      <c r="CF866" s="48"/>
      <c r="CG866" s="48"/>
      <c r="CH866" s="48"/>
      <c r="CI866" s="48"/>
      <c r="CJ866" s="48"/>
      <c r="CK866" s="48"/>
      <c r="CL866" s="48"/>
      <c r="CM866" s="48"/>
      <c r="CN866" s="48"/>
      <c r="CO866" s="48"/>
      <c r="CP866" s="48"/>
      <c r="CQ866" s="48"/>
      <c r="CR866" s="48"/>
      <c r="CS866" s="48"/>
      <c r="CT866" s="48"/>
      <c r="CU866" s="48"/>
      <c r="CV866" s="48"/>
      <c r="CW866" s="48"/>
      <c r="CX866" s="48"/>
      <c r="CY866" s="48"/>
      <c r="CZ866" s="48"/>
      <c r="DA866" s="48"/>
      <c r="DB866" s="48"/>
      <c r="DC866" s="48"/>
      <c r="DD866" s="48"/>
      <c r="DE866" s="48"/>
      <c r="DF866" s="48"/>
      <c r="DG866" s="48"/>
      <c r="DH866" s="48"/>
      <c r="DI866" s="48"/>
      <c r="DJ866" s="48"/>
      <c r="DK866" s="48"/>
      <c r="DL866" s="48"/>
      <c r="DM866" s="48"/>
      <c r="DN866" s="48"/>
      <c r="DO866" s="48"/>
      <c r="DP866" s="48"/>
      <c r="DQ866" s="48"/>
      <c r="DR866" s="48"/>
      <c r="DS866" s="48"/>
    </row>
    <row r="867" spans="1:123" ht="15">
      <c r="A867"/>
      <c r="B867"/>
      <c r="C867"/>
      <c r="D867"/>
      <c r="E867"/>
      <c r="F867"/>
      <c r="G867"/>
      <c r="H867"/>
      <c r="I867"/>
      <c r="J867"/>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48"/>
      <c r="BH867" s="48"/>
      <c r="BI867" s="48"/>
      <c r="BJ867" s="48"/>
      <c r="BK867" s="48"/>
      <c r="BL867" s="48"/>
      <c r="BM867" s="48"/>
      <c r="BN867" s="48"/>
      <c r="BO867" s="48"/>
      <c r="BP867" s="48"/>
      <c r="BQ867" s="48"/>
      <c r="BR867" s="48"/>
      <c r="BS867" s="48"/>
      <c r="BT867" s="48"/>
      <c r="BU867" s="48"/>
      <c r="BV867" s="48"/>
      <c r="BW867" s="48"/>
      <c r="BX867" s="48"/>
      <c r="BY867" s="48"/>
      <c r="BZ867" s="48"/>
      <c r="CA867" s="48"/>
      <c r="CB867" s="48"/>
      <c r="CC867" s="48"/>
      <c r="CD867" s="48"/>
      <c r="CE867" s="48"/>
      <c r="CF867" s="48"/>
      <c r="CG867" s="48"/>
      <c r="CH867" s="48"/>
      <c r="CI867" s="48"/>
      <c r="CJ867" s="48"/>
      <c r="CK867" s="48"/>
      <c r="CL867" s="48"/>
      <c r="CM867" s="48"/>
      <c r="CN867" s="48"/>
      <c r="CO867" s="48"/>
      <c r="CP867" s="48"/>
      <c r="CQ867" s="48"/>
      <c r="CR867" s="48"/>
      <c r="CS867" s="48"/>
      <c r="CT867" s="48"/>
      <c r="CU867" s="48"/>
      <c r="CV867" s="48"/>
      <c r="CW867" s="48"/>
      <c r="CX867" s="48"/>
      <c r="CY867" s="48"/>
      <c r="CZ867" s="48"/>
      <c r="DA867" s="48"/>
      <c r="DB867" s="48"/>
      <c r="DC867" s="48"/>
      <c r="DD867" s="48"/>
      <c r="DE867" s="48"/>
      <c r="DF867" s="48"/>
      <c r="DG867" s="48"/>
      <c r="DH867" s="48"/>
      <c r="DI867" s="48"/>
      <c r="DJ867" s="48"/>
      <c r="DK867" s="48"/>
      <c r="DL867" s="48"/>
      <c r="DM867" s="48"/>
      <c r="DN867" s="48"/>
      <c r="DO867" s="48"/>
      <c r="DP867" s="48"/>
      <c r="DQ867" s="48"/>
      <c r="DR867" s="48"/>
      <c r="DS867" s="48"/>
    </row>
    <row r="868" spans="1:123" ht="15">
      <c r="A868"/>
      <c r="B868"/>
      <c r="C868"/>
      <c r="D868"/>
      <c r="E868"/>
      <c r="F868"/>
      <c r="G868"/>
      <c r="H868"/>
      <c r="I868"/>
      <c r="J86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48"/>
      <c r="BH868" s="48"/>
      <c r="BI868" s="48"/>
      <c r="BJ868" s="48"/>
      <c r="BK868" s="48"/>
      <c r="BL868" s="48"/>
      <c r="BM868" s="48"/>
      <c r="BN868" s="48"/>
      <c r="BO868" s="48"/>
      <c r="BP868" s="48"/>
      <c r="BQ868" s="48"/>
      <c r="BR868" s="48"/>
      <c r="BS868" s="48"/>
      <c r="BT868" s="48"/>
      <c r="BU868" s="48"/>
      <c r="BV868" s="48"/>
      <c r="BW868" s="48"/>
      <c r="BX868" s="48"/>
      <c r="BY868" s="48"/>
      <c r="BZ868" s="48"/>
      <c r="CA868" s="48"/>
      <c r="CB868" s="48"/>
      <c r="CC868" s="48"/>
      <c r="CD868" s="48"/>
      <c r="CE868" s="48"/>
      <c r="CF868" s="48"/>
      <c r="CG868" s="48"/>
      <c r="CH868" s="48"/>
      <c r="CI868" s="48"/>
      <c r="CJ868" s="48"/>
      <c r="CK868" s="48"/>
      <c r="CL868" s="48"/>
      <c r="CM868" s="48"/>
      <c r="CN868" s="48"/>
      <c r="CO868" s="48"/>
      <c r="CP868" s="48"/>
      <c r="CQ868" s="48"/>
      <c r="CR868" s="48"/>
      <c r="CS868" s="48"/>
      <c r="CT868" s="48"/>
      <c r="CU868" s="48"/>
      <c r="CV868" s="48"/>
      <c r="CW868" s="48"/>
      <c r="CX868" s="48"/>
      <c r="CY868" s="48"/>
      <c r="CZ868" s="48"/>
      <c r="DA868" s="48"/>
      <c r="DB868" s="48"/>
      <c r="DC868" s="48"/>
      <c r="DD868" s="48"/>
      <c r="DE868" s="48"/>
      <c r="DF868" s="48"/>
      <c r="DG868" s="48"/>
      <c r="DH868" s="48"/>
      <c r="DI868" s="48"/>
      <c r="DJ868" s="48"/>
      <c r="DK868" s="48"/>
      <c r="DL868" s="48"/>
      <c r="DM868" s="48"/>
      <c r="DN868" s="48"/>
      <c r="DO868" s="48"/>
      <c r="DP868" s="48"/>
      <c r="DQ868" s="48"/>
      <c r="DR868" s="48"/>
      <c r="DS868" s="48"/>
    </row>
    <row r="869" spans="1:123" ht="15">
      <c r="A869"/>
      <c r="B869"/>
      <c r="C869"/>
      <c r="D869"/>
      <c r="E869"/>
      <c r="F869"/>
      <c r="G869"/>
      <c r="H869"/>
      <c r="I869"/>
      <c r="J869"/>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48"/>
      <c r="BH869" s="48"/>
      <c r="BI869" s="48"/>
      <c r="BJ869" s="48"/>
      <c r="BK869" s="48"/>
      <c r="BL869" s="48"/>
      <c r="BM869" s="48"/>
      <c r="BN869" s="48"/>
      <c r="BO869" s="48"/>
      <c r="BP869" s="48"/>
      <c r="BQ869" s="48"/>
      <c r="BR869" s="48"/>
      <c r="BS869" s="48"/>
      <c r="BT869" s="48"/>
      <c r="BU869" s="48"/>
      <c r="BV869" s="48"/>
      <c r="BW869" s="48"/>
      <c r="BX869" s="48"/>
      <c r="BY869" s="48"/>
      <c r="BZ869" s="48"/>
      <c r="CA869" s="48"/>
      <c r="CB869" s="48"/>
      <c r="CC869" s="48"/>
      <c r="CD869" s="48"/>
      <c r="CE869" s="48"/>
      <c r="CF869" s="48"/>
      <c r="CG869" s="48"/>
      <c r="CH869" s="48"/>
      <c r="CI869" s="48"/>
      <c r="CJ869" s="48"/>
      <c r="CK869" s="48"/>
      <c r="CL869" s="48"/>
      <c r="CM869" s="48"/>
      <c r="CN869" s="48"/>
      <c r="CO869" s="48"/>
      <c r="CP869" s="48"/>
      <c r="CQ869" s="48"/>
      <c r="CR869" s="48"/>
      <c r="CS869" s="48"/>
      <c r="CT869" s="48"/>
      <c r="CU869" s="48"/>
      <c r="CV869" s="48"/>
      <c r="CW869" s="48"/>
      <c r="CX869" s="48"/>
      <c r="CY869" s="48"/>
      <c r="CZ869" s="48"/>
      <c r="DA869" s="48"/>
      <c r="DB869" s="48"/>
      <c r="DC869" s="48"/>
      <c r="DD869" s="48"/>
      <c r="DE869" s="48"/>
      <c r="DF869" s="48"/>
      <c r="DG869" s="48"/>
      <c r="DH869" s="48"/>
      <c r="DI869" s="48"/>
      <c r="DJ869" s="48"/>
      <c r="DK869" s="48"/>
      <c r="DL869" s="48"/>
      <c r="DM869" s="48"/>
      <c r="DN869" s="48"/>
      <c r="DO869" s="48"/>
      <c r="DP869" s="48"/>
      <c r="DQ869" s="48"/>
      <c r="DR869" s="48"/>
      <c r="DS869" s="48"/>
    </row>
    <row r="870" spans="1:123" ht="15">
      <c r="A870"/>
      <c r="B870"/>
      <c r="C870"/>
      <c r="D870"/>
      <c r="E870"/>
      <c r="F870"/>
      <c r="G870"/>
      <c r="H870"/>
      <c r="I870"/>
      <c r="J870"/>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48"/>
      <c r="BH870" s="48"/>
      <c r="BI870" s="48"/>
      <c r="BJ870" s="48"/>
      <c r="BK870" s="48"/>
      <c r="BL870" s="48"/>
      <c r="BM870" s="48"/>
      <c r="BN870" s="48"/>
      <c r="BO870" s="48"/>
      <c r="BP870" s="48"/>
      <c r="BQ870" s="48"/>
      <c r="BR870" s="48"/>
      <c r="BS870" s="48"/>
      <c r="BT870" s="48"/>
      <c r="BU870" s="48"/>
      <c r="BV870" s="48"/>
      <c r="BW870" s="48"/>
      <c r="BX870" s="48"/>
      <c r="BY870" s="48"/>
      <c r="BZ870" s="48"/>
      <c r="CA870" s="48"/>
      <c r="CB870" s="48"/>
      <c r="CC870" s="48"/>
      <c r="CD870" s="48"/>
      <c r="CE870" s="48"/>
      <c r="CF870" s="48"/>
      <c r="CG870" s="48"/>
      <c r="CH870" s="48"/>
      <c r="CI870" s="48"/>
      <c r="CJ870" s="48"/>
      <c r="CK870" s="48"/>
      <c r="CL870" s="48"/>
      <c r="CM870" s="48"/>
      <c r="CN870" s="48"/>
      <c r="CO870" s="48"/>
      <c r="CP870" s="48"/>
      <c r="CQ870" s="48"/>
      <c r="CR870" s="48"/>
      <c r="CS870" s="48"/>
      <c r="CT870" s="48"/>
      <c r="CU870" s="48"/>
      <c r="CV870" s="48"/>
      <c r="CW870" s="48"/>
      <c r="CX870" s="48"/>
      <c r="CY870" s="48"/>
      <c r="CZ870" s="48"/>
      <c r="DA870" s="48"/>
      <c r="DB870" s="48"/>
      <c r="DC870" s="48"/>
      <c r="DD870" s="48"/>
      <c r="DE870" s="48"/>
      <c r="DF870" s="48"/>
      <c r="DG870" s="48"/>
      <c r="DH870" s="48"/>
      <c r="DI870" s="48"/>
      <c r="DJ870" s="48"/>
      <c r="DK870" s="48"/>
      <c r="DL870" s="48"/>
      <c r="DM870" s="48"/>
      <c r="DN870" s="48"/>
      <c r="DO870" s="48"/>
      <c r="DP870" s="48"/>
      <c r="DQ870" s="48"/>
      <c r="DR870" s="48"/>
      <c r="DS870" s="48"/>
    </row>
    <row r="871" spans="1:123" ht="15">
      <c r="A871"/>
      <c r="B871"/>
      <c r="C871"/>
      <c r="D871"/>
      <c r="E871"/>
      <c r="F871"/>
      <c r="G871"/>
      <c r="H871"/>
      <c r="I871"/>
      <c r="J871"/>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48"/>
      <c r="BH871" s="48"/>
      <c r="BI871" s="48"/>
      <c r="BJ871" s="48"/>
      <c r="BK871" s="48"/>
      <c r="BL871" s="48"/>
      <c r="BM871" s="48"/>
      <c r="BN871" s="48"/>
      <c r="BO871" s="48"/>
      <c r="BP871" s="48"/>
      <c r="BQ871" s="48"/>
      <c r="BR871" s="48"/>
      <c r="BS871" s="48"/>
      <c r="BT871" s="48"/>
      <c r="BU871" s="48"/>
      <c r="BV871" s="48"/>
      <c r="BW871" s="48"/>
      <c r="BX871" s="48"/>
      <c r="BY871" s="48"/>
      <c r="BZ871" s="48"/>
      <c r="CA871" s="48"/>
      <c r="CB871" s="48"/>
      <c r="CC871" s="48"/>
      <c r="CD871" s="48"/>
      <c r="CE871" s="48"/>
      <c r="CF871" s="48"/>
      <c r="CG871" s="48"/>
      <c r="CH871" s="48"/>
      <c r="CI871" s="48"/>
      <c r="CJ871" s="48"/>
      <c r="CK871" s="48"/>
      <c r="CL871" s="48"/>
      <c r="CM871" s="48"/>
      <c r="CN871" s="48"/>
      <c r="CO871" s="48"/>
      <c r="CP871" s="48"/>
      <c r="CQ871" s="48"/>
      <c r="CR871" s="48"/>
      <c r="CS871" s="48"/>
      <c r="CT871" s="48"/>
      <c r="CU871" s="48"/>
      <c r="CV871" s="48"/>
      <c r="CW871" s="48"/>
      <c r="CX871" s="48"/>
      <c r="CY871" s="48"/>
      <c r="CZ871" s="48"/>
      <c r="DA871" s="48"/>
      <c r="DB871" s="48"/>
      <c r="DC871" s="48"/>
      <c r="DD871" s="48"/>
      <c r="DE871" s="48"/>
      <c r="DF871" s="48"/>
      <c r="DG871" s="48"/>
      <c r="DH871" s="48"/>
      <c r="DI871" s="48"/>
      <c r="DJ871" s="48"/>
      <c r="DK871" s="48"/>
      <c r="DL871" s="48"/>
      <c r="DM871" s="48"/>
      <c r="DN871" s="48"/>
      <c r="DO871" s="48"/>
      <c r="DP871" s="48"/>
      <c r="DQ871" s="48"/>
      <c r="DR871" s="48"/>
      <c r="DS871" s="48"/>
    </row>
    <row r="872" spans="1:123" ht="15">
      <c r="A872"/>
      <c r="B872"/>
      <c r="C872"/>
      <c r="D872"/>
      <c r="E872"/>
      <c r="F872"/>
      <c r="G872"/>
      <c r="H872"/>
      <c r="I872"/>
      <c r="J872"/>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c r="BO872" s="48"/>
      <c r="BP872" s="48"/>
      <c r="BQ872" s="48"/>
      <c r="BR872" s="48"/>
      <c r="BS872" s="48"/>
      <c r="BT872" s="48"/>
      <c r="BU872" s="48"/>
      <c r="BV872" s="48"/>
      <c r="BW872" s="48"/>
      <c r="BX872" s="48"/>
      <c r="BY872" s="48"/>
      <c r="BZ872" s="48"/>
      <c r="CA872" s="48"/>
      <c r="CB872" s="48"/>
      <c r="CC872" s="48"/>
      <c r="CD872" s="48"/>
      <c r="CE872" s="48"/>
      <c r="CF872" s="48"/>
      <c r="CG872" s="48"/>
      <c r="CH872" s="48"/>
      <c r="CI872" s="48"/>
      <c r="CJ872" s="48"/>
      <c r="CK872" s="48"/>
      <c r="CL872" s="48"/>
      <c r="CM872" s="48"/>
      <c r="CN872" s="48"/>
      <c r="CO872" s="48"/>
      <c r="CP872" s="48"/>
      <c r="CQ872" s="48"/>
      <c r="CR872" s="48"/>
      <c r="CS872" s="48"/>
      <c r="CT872" s="48"/>
      <c r="CU872" s="48"/>
      <c r="CV872" s="48"/>
      <c r="CW872" s="48"/>
      <c r="CX872" s="48"/>
      <c r="CY872" s="48"/>
      <c r="CZ872" s="48"/>
      <c r="DA872" s="48"/>
      <c r="DB872" s="48"/>
      <c r="DC872" s="48"/>
      <c r="DD872" s="48"/>
      <c r="DE872" s="48"/>
      <c r="DF872" s="48"/>
      <c r="DG872" s="48"/>
      <c r="DH872" s="48"/>
      <c r="DI872" s="48"/>
      <c r="DJ872" s="48"/>
      <c r="DK872" s="48"/>
      <c r="DL872" s="48"/>
      <c r="DM872" s="48"/>
      <c r="DN872" s="48"/>
      <c r="DO872" s="48"/>
      <c r="DP872" s="48"/>
      <c r="DQ872" s="48"/>
      <c r="DR872" s="48"/>
      <c r="DS872" s="48"/>
    </row>
    <row r="873" spans="1:123" ht="15">
      <c r="A873"/>
      <c r="B873"/>
      <c r="C873"/>
      <c r="D873"/>
      <c r="E873"/>
      <c r="F873"/>
      <c r="G873"/>
      <c r="H873"/>
      <c r="I873"/>
      <c r="J873"/>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c r="BO873" s="48"/>
      <c r="BP873" s="48"/>
      <c r="BQ873" s="48"/>
      <c r="BR873" s="48"/>
      <c r="BS873" s="48"/>
      <c r="BT873" s="48"/>
      <c r="BU873" s="48"/>
      <c r="BV873" s="48"/>
      <c r="BW873" s="48"/>
      <c r="BX873" s="48"/>
      <c r="BY873" s="48"/>
      <c r="BZ873" s="48"/>
      <c r="CA873" s="48"/>
      <c r="CB873" s="48"/>
      <c r="CC873" s="48"/>
      <c r="CD873" s="48"/>
      <c r="CE873" s="48"/>
      <c r="CF873" s="48"/>
      <c r="CG873" s="48"/>
      <c r="CH873" s="48"/>
      <c r="CI873" s="48"/>
      <c r="CJ873" s="48"/>
      <c r="CK873" s="48"/>
      <c r="CL873" s="48"/>
      <c r="CM873" s="48"/>
      <c r="CN873" s="48"/>
      <c r="CO873" s="48"/>
      <c r="CP873" s="48"/>
      <c r="CQ873" s="48"/>
      <c r="CR873" s="48"/>
      <c r="CS873" s="48"/>
      <c r="CT873" s="48"/>
      <c r="CU873" s="48"/>
      <c r="CV873" s="48"/>
      <c r="CW873" s="48"/>
      <c r="CX873" s="48"/>
      <c r="CY873" s="48"/>
      <c r="CZ873" s="48"/>
      <c r="DA873" s="48"/>
      <c r="DB873" s="48"/>
      <c r="DC873" s="48"/>
      <c r="DD873" s="48"/>
      <c r="DE873" s="48"/>
      <c r="DF873" s="48"/>
      <c r="DG873" s="48"/>
      <c r="DH873" s="48"/>
      <c r="DI873" s="48"/>
      <c r="DJ873" s="48"/>
      <c r="DK873" s="48"/>
      <c r="DL873" s="48"/>
      <c r="DM873" s="48"/>
      <c r="DN873" s="48"/>
      <c r="DO873" s="48"/>
      <c r="DP873" s="48"/>
      <c r="DQ873" s="48"/>
      <c r="DR873" s="48"/>
      <c r="DS873" s="48"/>
    </row>
    <row r="874" spans="1:123" ht="15">
      <c r="A874"/>
      <c r="B874"/>
      <c r="C874"/>
      <c r="D874"/>
      <c r="E874"/>
      <c r="F874"/>
      <c r="G874"/>
      <c r="H874"/>
      <c r="I874"/>
      <c r="J874"/>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c r="BO874" s="48"/>
      <c r="BP874" s="48"/>
      <c r="BQ874" s="48"/>
      <c r="BR874" s="48"/>
      <c r="BS874" s="48"/>
      <c r="BT874" s="48"/>
      <c r="BU874" s="48"/>
      <c r="BV874" s="48"/>
      <c r="BW874" s="48"/>
      <c r="BX874" s="48"/>
      <c r="BY874" s="48"/>
      <c r="BZ874" s="48"/>
      <c r="CA874" s="48"/>
      <c r="CB874" s="48"/>
      <c r="CC874" s="48"/>
      <c r="CD874" s="48"/>
      <c r="CE874" s="48"/>
      <c r="CF874" s="48"/>
      <c r="CG874" s="48"/>
      <c r="CH874" s="48"/>
      <c r="CI874" s="48"/>
      <c r="CJ874" s="48"/>
      <c r="CK874" s="48"/>
      <c r="CL874" s="48"/>
      <c r="CM874" s="48"/>
      <c r="CN874" s="48"/>
      <c r="CO874" s="48"/>
      <c r="CP874" s="48"/>
      <c r="CQ874" s="48"/>
      <c r="CR874" s="48"/>
      <c r="CS874" s="48"/>
      <c r="CT874" s="48"/>
      <c r="CU874" s="48"/>
      <c r="CV874" s="48"/>
      <c r="CW874" s="48"/>
      <c r="CX874" s="48"/>
      <c r="CY874" s="48"/>
      <c r="CZ874" s="48"/>
      <c r="DA874" s="48"/>
      <c r="DB874" s="48"/>
      <c r="DC874" s="48"/>
      <c r="DD874" s="48"/>
      <c r="DE874" s="48"/>
      <c r="DF874" s="48"/>
      <c r="DG874" s="48"/>
      <c r="DH874" s="48"/>
      <c r="DI874" s="48"/>
      <c r="DJ874" s="48"/>
      <c r="DK874" s="48"/>
      <c r="DL874" s="48"/>
      <c r="DM874" s="48"/>
      <c r="DN874" s="48"/>
      <c r="DO874" s="48"/>
      <c r="DP874" s="48"/>
      <c r="DQ874" s="48"/>
      <c r="DR874" s="48"/>
      <c r="DS874" s="48"/>
    </row>
    <row r="875" spans="1:123" ht="15">
      <c r="A875"/>
      <c r="B875"/>
      <c r="C875"/>
      <c r="D875"/>
      <c r="E875"/>
      <c r="F875"/>
      <c r="G875"/>
      <c r="H875"/>
      <c r="I875"/>
      <c r="J875"/>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48"/>
      <c r="BH875" s="48"/>
      <c r="BI875" s="48"/>
      <c r="BJ875" s="48"/>
      <c r="BK875" s="48"/>
      <c r="BL875" s="48"/>
      <c r="BM875" s="48"/>
      <c r="BN875" s="48"/>
      <c r="BO875" s="48"/>
      <c r="BP875" s="48"/>
      <c r="BQ875" s="48"/>
      <c r="BR875" s="48"/>
      <c r="BS875" s="48"/>
      <c r="BT875" s="48"/>
      <c r="BU875" s="48"/>
      <c r="BV875" s="48"/>
      <c r="BW875" s="48"/>
      <c r="BX875" s="48"/>
      <c r="BY875" s="48"/>
      <c r="BZ875" s="48"/>
      <c r="CA875" s="48"/>
      <c r="CB875" s="48"/>
      <c r="CC875" s="48"/>
      <c r="CD875" s="48"/>
      <c r="CE875" s="48"/>
      <c r="CF875" s="48"/>
      <c r="CG875" s="48"/>
      <c r="CH875" s="48"/>
      <c r="CI875" s="48"/>
      <c r="CJ875" s="48"/>
      <c r="CK875" s="48"/>
      <c r="CL875" s="48"/>
      <c r="CM875" s="48"/>
      <c r="CN875" s="48"/>
      <c r="CO875" s="48"/>
      <c r="CP875" s="48"/>
      <c r="CQ875" s="48"/>
      <c r="CR875" s="48"/>
      <c r="CS875" s="48"/>
      <c r="CT875" s="48"/>
      <c r="CU875" s="48"/>
      <c r="CV875" s="48"/>
      <c r="CW875" s="48"/>
      <c r="CX875" s="48"/>
      <c r="CY875" s="48"/>
      <c r="CZ875" s="48"/>
      <c r="DA875" s="48"/>
      <c r="DB875" s="48"/>
      <c r="DC875" s="48"/>
      <c r="DD875" s="48"/>
      <c r="DE875" s="48"/>
      <c r="DF875" s="48"/>
      <c r="DG875" s="48"/>
      <c r="DH875" s="48"/>
      <c r="DI875" s="48"/>
      <c r="DJ875" s="48"/>
      <c r="DK875" s="48"/>
      <c r="DL875" s="48"/>
      <c r="DM875" s="48"/>
      <c r="DN875" s="48"/>
      <c r="DO875" s="48"/>
      <c r="DP875" s="48"/>
      <c r="DQ875" s="48"/>
      <c r="DR875" s="48"/>
      <c r="DS875" s="48"/>
    </row>
    <row r="876" spans="1:123" ht="15">
      <c r="A876"/>
      <c r="B876"/>
      <c r="C876"/>
      <c r="D876"/>
      <c r="E876"/>
      <c r="F876"/>
      <c r="G876"/>
      <c r="H876"/>
      <c r="I876"/>
      <c r="J876"/>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48"/>
      <c r="BH876" s="48"/>
      <c r="BI876" s="48"/>
      <c r="BJ876" s="48"/>
      <c r="BK876" s="48"/>
      <c r="BL876" s="48"/>
      <c r="BM876" s="48"/>
      <c r="BN876" s="48"/>
      <c r="BO876" s="48"/>
      <c r="BP876" s="48"/>
      <c r="BQ876" s="48"/>
      <c r="BR876" s="48"/>
      <c r="BS876" s="48"/>
      <c r="BT876" s="48"/>
      <c r="BU876" s="48"/>
      <c r="BV876" s="48"/>
      <c r="BW876" s="48"/>
      <c r="BX876" s="48"/>
      <c r="BY876" s="48"/>
      <c r="BZ876" s="48"/>
      <c r="CA876" s="48"/>
      <c r="CB876" s="48"/>
      <c r="CC876" s="48"/>
      <c r="CD876" s="48"/>
      <c r="CE876" s="48"/>
      <c r="CF876" s="48"/>
      <c r="CG876" s="48"/>
      <c r="CH876" s="48"/>
      <c r="CI876" s="48"/>
      <c r="CJ876" s="48"/>
      <c r="CK876" s="48"/>
      <c r="CL876" s="48"/>
      <c r="CM876" s="48"/>
      <c r="CN876" s="48"/>
      <c r="CO876" s="48"/>
      <c r="CP876" s="48"/>
      <c r="CQ876" s="48"/>
      <c r="CR876" s="48"/>
      <c r="CS876" s="48"/>
      <c r="CT876" s="48"/>
      <c r="CU876" s="48"/>
      <c r="CV876" s="48"/>
      <c r="CW876" s="48"/>
      <c r="CX876" s="48"/>
      <c r="CY876" s="48"/>
      <c r="CZ876" s="48"/>
      <c r="DA876" s="48"/>
      <c r="DB876" s="48"/>
      <c r="DC876" s="48"/>
      <c r="DD876" s="48"/>
      <c r="DE876" s="48"/>
      <c r="DF876" s="48"/>
      <c r="DG876" s="48"/>
      <c r="DH876" s="48"/>
      <c r="DI876" s="48"/>
      <c r="DJ876" s="48"/>
      <c r="DK876" s="48"/>
      <c r="DL876" s="48"/>
      <c r="DM876" s="48"/>
      <c r="DN876" s="48"/>
      <c r="DO876" s="48"/>
      <c r="DP876" s="48"/>
      <c r="DQ876" s="48"/>
      <c r="DR876" s="48"/>
      <c r="DS876" s="48"/>
    </row>
    <row r="877" spans="1:123" ht="15">
      <c r="A877"/>
      <c r="B877"/>
      <c r="C877"/>
      <c r="D877"/>
      <c r="E877"/>
      <c r="F877"/>
      <c r="G877"/>
      <c r="H877"/>
      <c r="I877"/>
      <c r="J877"/>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48"/>
      <c r="BH877" s="48"/>
      <c r="BI877" s="48"/>
      <c r="BJ877" s="48"/>
      <c r="BK877" s="48"/>
      <c r="BL877" s="48"/>
      <c r="BM877" s="48"/>
      <c r="BN877" s="48"/>
      <c r="BO877" s="48"/>
      <c r="BP877" s="48"/>
      <c r="BQ877" s="48"/>
      <c r="BR877" s="48"/>
      <c r="BS877" s="48"/>
      <c r="BT877" s="48"/>
      <c r="BU877" s="48"/>
      <c r="BV877" s="48"/>
      <c r="BW877" s="48"/>
      <c r="BX877" s="48"/>
      <c r="BY877" s="48"/>
      <c r="BZ877" s="48"/>
      <c r="CA877" s="48"/>
      <c r="CB877" s="48"/>
      <c r="CC877" s="48"/>
      <c r="CD877" s="48"/>
      <c r="CE877" s="48"/>
      <c r="CF877" s="48"/>
      <c r="CG877" s="48"/>
      <c r="CH877" s="48"/>
      <c r="CI877" s="48"/>
      <c r="CJ877" s="48"/>
      <c r="CK877" s="48"/>
      <c r="CL877" s="48"/>
      <c r="CM877" s="48"/>
      <c r="CN877" s="48"/>
      <c r="CO877" s="48"/>
      <c r="CP877" s="48"/>
      <c r="CQ877" s="48"/>
      <c r="CR877" s="48"/>
      <c r="CS877" s="48"/>
      <c r="CT877" s="48"/>
      <c r="CU877" s="48"/>
      <c r="CV877" s="48"/>
      <c r="CW877" s="48"/>
      <c r="CX877" s="48"/>
      <c r="CY877" s="48"/>
      <c r="CZ877" s="48"/>
      <c r="DA877" s="48"/>
      <c r="DB877" s="48"/>
      <c r="DC877" s="48"/>
      <c r="DD877" s="48"/>
      <c r="DE877" s="48"/>
      <c r="DF877" s="48"/>
      <c r="DG877" s="48"/>
      <c r="DH877" s="48"/>
      <c r="DI877" s="48"/>
      <c r="DJ877" s="48"/>
      <c r="DK877" s="48"/>
      <c r="DL877" s="48"/>
      <c r="DM877" s="48"/>
      <c r="DN877" s="48"/>
      <c r="DO877" s="48"/>
      <c r="DP877" s="48"/>
      <c r="DQ877" s="48"/>
      <c r="DR877" s="48"/>
      <c r="DS877" s="48"/>
    </row>
    <row r="878" spans="1:123" ht="15">
      <c r="A878"/>
      <c r="B878"/>
      <c r="C878"/>
      <c r="D878"/>
      <c r="E878"/>
      <c r="F878"/>
      <c r="G878"/>
      <c r="H878"/>
      <c r="I878"/>
      <c r="J87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48"/>
      <c r="BH878" s="48"/>
      <c r="BI878" s="48"/>
      <c r="BJ878" s="48"/>
      <c r="BK878" s="48"/>
      <c r="BL878" s="48"/>
      <c r="BM878" s="48"/>
      <c r="BN878" s="48"/>
      <c r="BO878" s="48"/>
      <c r="BP878" s="48"/>
      <c r="BQ878" s="48"/>
      <c r="BR878" s="48"/>
      <c r="BS878" s="48"/>
      <c r="BT878" s="48"/>
      <c r="BU878" s="48"/>
      <c r="BV878" s="48"/>
      <c r="BW878" s="48"/>
      <c r="BX878" s="48"/>
      <c r="BY878" s="48"/>
      <c r="BZ878" s="48"/>
      <c r="CA878" s="48"/>
      <c r="CB878" s="48"/>
      <c r="CC878" s="48"/>
      <c r="CD878" s="48"/>
      <c r="CE878" s="48"/>
      <c r="CF878" s="48"/>
      <c r="CG878" s="48"/>
      <c r="CH878" s="48"/>
      <c r="CI878" s="48"/>
      <c r="CJ878" s="48"/>
      <c r="CK878" s="48"/>
      <c r="CL878" s="48"/>
      <c r="CM878" s="48"/>
      <c r="CN878" s="48"/>
      <c r="CO878" s="48"/>
      <c r="CP878" s="48"/>
      <c r="CQ878" s="48"/>
      <c r="CR878" s="48"/>
      <c r="CS878" s="48"/>
      <c r="CT878" s="48"/>
      <c r="CU878" s="48"/>
      <c r="CV878" s="48"/>
      <c r="CW878" s="48"/>
      <c r="CX878" s="48"/>
      <c r="CY878" s="48"/>
      <c r="CZ878" s="48"/>
      <c r="DA878" s="48"/>
      <c r="DB878" s="48"/>
      <c r="DC878" s="48"/>
      <c r="DD878" s="48"/>
      <c r="DE878" s="48"/>
      <c r="DF878" s="48"/>
      <c r="DG878" s="48"/>
      <c r="DH878" s="48"/>
      <c r="DI878" s="48"/>
      <c r="DJ878" s="48"/>
      <c r="DK878" s="48"/>
      <c r="DL878" s="48"/>
      <c r="DM878" s="48"/>
      <c r="DN878" s="48"/>
      <c r="DO878" s="48"/>
      <c r="DP878" s="48"/>
      <c r="DQ878" s="48"/>
      <c r="DR878" s="48"/>
      <c r="DS878" s="48"/>
    </row>
    <row r="879" spans="1:123" ht="15">
      <c r="A879"/>
      <c r="B879"/>
      <c r="C879"/>
      <c r="D879"/>
      <c r="E879"/>
      <c r="F879"/>
      <c r="G879"/>
      <c r="H879"/>
      <c r="I879"/>
      <c r="J879"/>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48"/>
      <c r="BH879" s="48"/>
      <c r="BI879" s="48"/>
      <c r="BJ879" s="48"/>
      <c r="BK879" s="48"/>
      <c r="BL879" s="48"/>
      <c r="BM879" s="48"/>
      <c r="BN879" s="48"/>
      <c r="BO879" s="48"/>
      <c r="BP879" s="48"/>
      <c r="BQ879" s="48"/>
      <c r="BR879" s="48"/>
      <c r="BS879" s="48"/>
      <c r="BT879" s="48"/>
      <c r="BU879" s="48"/>
      <c r="BV879" s="48"/>
      <c r="BW879" s="48"/>
      <c r="BX879" s="48"/>
      <c r="BY879" s="48"/>
      <c r="BZ879" s="48"/>
      <c r="CA879" s="48"/>
      <c r="CB879" s="48"/>
      <c r="CC879" s="48"/>
      <c r="CD879" s="48"/>
      <c r="CE879" s="48"/>
      <c r="CF879" s="48"/>
      <c r="CG879" s="48"/>
      <c r="CH879" s="48"/>
      <c r="CI879" s="48"/>
      <c r="CJ879" s="48"/>
      <c r="CK879" s="48"/>
      <c r="CL879" s="48"/>
      <c r="CM879" s="48"/>
      <c r="CN879" s="48"/>
      <c r="CO879" s="48"/>
      <c r="CP879" s="48"/>
      <c r="CQ879" s="48"/>
      <c r="CR879" s="48"/>
      <c r="CS879" s="48"/>
      <c r="CT879" s="48"/>
      <c r="CU879" s="48"/>
      <c r="CV879" s="48"/>
      <c r="CW879" s="48"/>
      <c r="CX879" s="48"/>
      <c r="CY879" s="48"/>
      <c r="CZ879" s="48"/>
      <c r="DA879" s="48"/>
      <c r="DB879" s="48"/>
      <c r="DC879" s="48"/>
      <c r="DD879" s="48"/>
      <c r="DE879" s="48"/>
      <c r="DF879" s="48"/>
      <c r="DG879" s="48"/>
      <c r="DH879" s="48"/>
      <c r="DI879" s="48"/>
      <c r="DJ879" s="48"/>
      <c r="DK879" s="48"/>
      <c r="DL879" s="48"/>
      <c r="DM879" s="48"/>
      <c r="DN879" s="48"/>
      <c r="DO879" s="48"/>
      <c r="DP879" s="48"/>
      <c r="DQ879" s="48"/>
      <c r="DR879" s="48"/>
      <c r="DS879" s="48"/>
    </row>
    <row r="880" spans="1:123" ht="15">
      <c r="A880"/>
      <c r="B880"/>
      <c r="C880"/>
      <c r="D880"/>
      <c r="E880"/>
      <c r="F880"/>
      <c r="G880"/>
      <c r="H880"/>
      <c r="I880"/>
      <c r="J880"/>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48"/>
      <c r="BH880" s="48"/>
      <c r="BI880" s="48"/>
      <c r="BJ880" s="48"/>
      <c r="BK880" s="48"/>
      <c r="BL880" s="48"/>
      <c r="BM880" s="48"/>
      <c r="BN880" s="48"/>
      <c r="BO880" s="48"/>
      <c r="BP880" s="48"/>
      <c r="BQ880" s="48"/>
      <c r="BR880" s="48"/>
      <c r="BS880" s="48"/>
      <c r="BT880" s="48"/>
      <c r="BU880" s="48"/>
      <c r="BV880" s="48"/>
      <c r="BW880" s="48"/>
      <c r="BX880" s="48"/>
      <c r="BY880" s="48"/>
      <c r="BZ880" s="48"/>
      <c r="CA880" s="48"/>
      <c r="CB880" s="48"/>
      <c r="CC880" s="48"/>
      <c r="CD880" s="48"/>
      <c r="CE880" s="48"/>
      <c r="CF880" s="48"/>
      <c r="CG880" s="48"/>
      <c r="CH880" s="48"/>
      <c r="CI880" s="48"/>
      <c r="CJ880" s="48"/>
      <c r="CK880" s="48"/>
      <c r="CL880" s="48"/>
      <c r="CM880" s="48"/>
      <c r="CN880" s="48"/>
      <c r="CO880" s="48"/>
      <c r="CP880" s="48"/>
      <c r="CQ880" s="48"/>
      <c r="CR880" s="48"/>
      <c r="CS880" s="48"/>
      <c r="CT880" s="48"/>
      <c r="CU880" s="48"/>
      <c r="CV880" s="48"/>
      <c r="CW880" s="48"/>
      <c r="CX880" s="48"/>
      <c r="CY880" s="48"/>
      <c r="CZ880" s="48"/>
      <c r="DA880" s="48"/>
      <c r="DB880" s="48"/>
      <c r="DC880" s="48"/>
      <c r="DD880" s="48"/>
      <c r="DE880" s="48"/>
      <c r="DF880" s="48"/>
      <c r="DG880" s="48"/>
      <c r="DH880" s="48"/>
      <c r="DI880" s="48"/>
      <c r="DJ880" s="48"/>
      <c r="DK880" s="48"/>
      <c r="DL880" s="48"/>
      <c r="DM880" s="48"/>
      <c r="DN880" s="48"/>
      <c r="DO880" s="48"/>
      <c r="DP880" s="48"/>
      <c r="DQ880" s="48"/>
      <c r="DR880" s="48"/>
      <c r="DS880" s="48"/>
    </row>
    <row r="881" spans="1:123" ht="15">
      <c r="A881"/>
      <c r="B881"/>
      <c r="C881"/>
      <c r="D881"/>
      <c r="E881"/>
      <c r="F881"/>
      <c r="G881"/>
      <c r="H881"/>
      <c r="I881"/>
      <c r="J881"/>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48"/>
      <c r="BH881" s="48"/>
      <c r="BI881" s="48"/>
      <c r="BJ881" s="48"/>
      <c r="BK881" s="48"/>
      <c r="BL881" s="48"/>
      <c r="BM881" s="48"/>
      <c r="BN881" s="48"/>
      <c r="BO881" s="48"/>
      <c r="BP881" s="48"/>
      <c r="BQ881" s="48"/>
      <c r="BR881" s="48"/>
      <c r="BS881" s="48"/>
      <c r="BT881" s="48"/>
      <c r="BU881" s="48"/>
      <c r="BV881" s="48"/>
      <c r="BW881" s="48"/>
      <c r="BX881" s="48"/>
      <c r="BY881" s="48"/>
      <c r="BZ881" s="48"/>
      <c r="CA881" s="48"/>
      <c r="CB881" s="48"/>
      <c r="CC881" s="48"/>
      <c r="CD881" s="48"/>
      <c r="CE881" s="48"/>
      <c r="CF881" s="48"/>
      <c r="CG881" s="48"/>
      <c r="CH881" s="48"/>
      <c r="CI881" s="48"/>
      <c r="CJ881" s="48"/>
      <c r="CK881" s="48"/>
      <c r="CL881" s="48"/>
      <c r="CM881" s="48"/>
      <c r="CN881" s="48"/>
      <c r="CO881" s="48"/>
      <c r="CP881" s="48"/>
      <c r="CQ881" s="48"/>
      <c r="CR881" s="48"/>
      <c r="CS881" s="48"/>
      <c r="CT881" s="48"/>
      <c r="CU881" s="48"/>
      <c r="CV881" s="48"/>
      <c r="CW881" s="48"/>
      <c r="CX881" s="48"/>
      <c r="CY881" s="48"/>
      <c r="CZ881" s="48"/>
      <c r="DA881" s="48"/>
      <c r="DB881" s="48"/>
      <c r="DC881" s="48"/>
      <c r="DD881" s="48"/>
      <c r="DE881" s="48"/>
      <c r="DF881" s="48"/>
      <c r="DG881" s="48"/>
      <c r="DH881" s="48"/>
      <c r="DI881" s="48"/>
      <c r="DJ881" s="48"/>
      <c r="DK881" s="48"/>
      <c r="DL881" s="48"/>
      <c r="DM881" s="48"/>
      <c r="DN881" s="48"/>
      <c r="DO881" s="48"/>
      <c r="DP881" s="48"/>
      <c r="DQ881" s="48"/>
      <c r="DR881" s="48"/>
      <c r="DS881" s="48"/>
    </row>
    <row r="882" spans="1:123" ht="15">
      <c r="A882"/>
      <c r="B882"/>
      <c r="C882"/>
      <c r="D882"/>
      <c r="E882"/>
      <c r="F882"/>
      <c r="G882"/>
      <c r="H882"/>
      <c r="I882"/>
      <c r="J882"/>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48"/>
      <c r="BH882" s="48"/>
      <c r="BI882" s="48"/>
      <c r="BJ882" s="48"/>
      <c r="BK882" s="48"/>
      <c r="BL882" s="48"/>
      <c r="BM882" s="48"/>
      <c r="BN882" s="48"/>
      <c r="BO882" s="48"/>
      <c r="BP882" s="48"/>
      <c r="BQ882" s="48"/>
      <c r="BR882" s="48"/>
      <c r="BS882" s="48"/>
      <c r="BT882" s="48"/>
      <c r="BU882" s="48"/>
      <c r="BV882" s="48"/>
      <c r="BW882" s="48"/>
      <c r="BX882" s="48"/>
      <c r="BY882" s="48"/>
      <c r="BZ882" s="48"/>
      <c r="CA882" s="48"/>
      <c r="CB882" s="48"/>
      <c r="CC882" s="48"/>
      <c r="CD882" s="48"/>
      <c r="CE882" s="48"/>
      <c r="CF882" s="48"/>
      <c r="CG882" s="48"/>
      <c r="CH882" s="48"/>
      <c r="CI882" s="48"/>
      <c r="CJ882" s="48"/>
      <c r="CK882" s="48"/>
      <c r="CL882" s="48"/>
      <c r="CM882" s="48"/>
      <c r="CN882" s="48"/>
      <c r="CO882" s="48"/>
      <c r="CP882" s="48"/>
      <c r="CQ882" s="48"/>
      <c r="CR882" s="48"/>
      <c r="CS882" s="48"/>
      <c r="CT882" s="48"/>
      <c r="CU882" s="48"/>
      <c r="CV882" s="48"/>
      <c r="CW882" s="48"/>
      <c r="CX882" s="48"/>
      <c r="CY882" s="48"/>
      <c r="CZ882" s="48"/>
      <c r="DA882" s="48"/>
      <c r="DB882" s="48"/>
      <c r="DC882" s="48"/>
      <c r="DD882" s="48"/>
      <c r="DE882" s="48"/>
      <c r="DF882" s="48"/>
      <c r="DG882" s="48"/>
      <c r="DH882" s="48"/>
      <c r="DI882" s="48"/>
      <c r="DJ882" s="48"/>
      <c r="DK882" s="48"/>
      <c r="DL882" s="48"/>
      <c r="DM882" s="48"/>
      <c r="DN882" s="48"/>
      <c r="DO882" s="48"/>
      <c r="DP882" s="48"/>
      <c r="DQ882" s="48"/>
      <c r="DR882" s="48"/>
      <c r="DS882" s="48"/>
    </row>
    <row r="883" spans="1:123" ht="15">
      <c r="A883"/>
      <c r="B883"/>
      <c r="C883"/>
      <c r="D883"/>
      <c r="E883"/>
      <c r="F883"/>
      <c r="G883"/>
      <c r="H883"/>
      <c r="I883"/>
      <c r="J883"/>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48"/>
      <c r="BH883" s="48"/>
      <c r="BI883" s="48"/>
      <c r="BJ883" s="48"/>
      <c r="BK883" s="48"/>
      <c r="BL883" s="48"/>
      <c r="BM883" s="48"/>
      <c r="BN883" s="48"/>
      <c r="BO883" s="48"/>
      <c r="BP883" s="48"/>
      <c r="BQ883" s="48"/>
      <c r="BR883" s="48"/>
      <c r="BS883" s="48"/>
      <c r="BT883" s="48"/>
      <c r="BU883" s="48"/>
      <c r="BV883" s="48"/>
      <c r="BW883" s="48"/>
      <c r="BX883" s="48"/>
      <c r="BY883" s="48"/>
      <c r="BZ883" s="48"/>
      <c r="CA883" s="48"/>
      <c r="CB883" s="48"/>
      <c r="CC883" s="48"/>
      <c r="CD883" s="48"/>
      <c r="CE883" s="48"/>
      <c r="CF883" s="48"/>
      <c r="CG883" s="48"/>
      <c r="CH883" s="48"/>
      <c r="CI883" s="48"/>
      <c r="CJ883" s="48"/>
      <c r="CK883" s="48"/>
      <c r="CL883" s="48"/>
      <c r="CM883" s="48"/>
      <c r="CN883" s="48"/>
      <c r="CO883" s="48"/>
      <c r="CP883" s="48"/>
      <c r="CQ883" s="48"/>
      <c r="CR883" s="48"/>
      <c r="CS883" s="48"/>
      <c r="CT883" s="48"/>
      <c r="CU883" s="48"/>
      <c r="CV883" s="48"/>
      <c r="CW883" s="48"/>
      <c r="CX883" s="48"/>
      <c r="CY883" s="48"/>
      <c r="CZ883" s="48"/>
      <c r="DA883" s="48"/>
      <c r="DB883" s="48"/>
      <c r="DC883" s="48"/>
      <c r="DD883" s="48"/>
      <c r="DE883" s="48"/>
      <c r="DF883" s="48"/>
      <c r="DG883" s="48"/>
      <c r="DH883" s="48"/>
      <c r="DI883" s="48"/>
      <c r="DJ883" s="48"/>
      <c r="DK883" s="48"/>
      <c r="DL883" s="48"/>
      <c r="DM883" s="48"/>
      <c r="DN883" s="48"/>
      <c r="DO883" s="48"/>
      <c r="DP883" s="48"/>
      <c r="DQ883" s="48"/>
      <c r="DR883" s="48"/>
      <c r="DS883" s="48"/>
    </row>
    <row r="884" spans="1:123" ht="15">
      <c r="A884"/>
      <c r="B884"/>
      <c r="C884"/>
      <c r="D884"/>
      <c r="E884"/>
      <c r="F884"/>
      <c r="G884"/>
      <c r="H884"/>
      <c r="I884"/>
      <c r="J884"/>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48"/>
      <c r="BH884" s="48"/>
      <c r="BI884" s="48"/>
      <c r="BJ884" s="48"/>
      <c r="BK884" s="48"/>
      <c r="BL884" s="48"/>
      <c r="BM884" s="48"/>
      <c r="BN884" s="48"/>
      <c r="BO884" s="48"/>
      <c r="BP884" s="48"/>
      <c r="BQ884" s="48"/>
      <c r="BR884" s="48"/>
      <c r="BS884" s="48"/>
      <c r="BT884" s="48"/>
      <c r="BU884" s="48"/>
      <c r="BV884" s="48"/>
      <c r="BW884" s="48"/>
      <c r="BX884" s="48"/>
      <c r="BY884" s="48"/>
      <c r="BZ884" s="48"/>
      <c r="CA884" s="48"/>
      <c r="CB884" s="48"/>
      <c r="CC884" s="48"/>
      <c r="CD884" s="48"/>
      <c r="CE884" s="48"/>
      <c r="CF884" s="48"/>
      <c r="CG884" s="48"/>
      <c r="CH884" s="48"/>
      <c r="CI884" s="48"/>
      <c r="CJ884" s="48"/>
      <c r="CK884" s="48"/>
      <c r="CL884" s="48"/>
      <c r="CM884" s="48"/>
      <c r="CN884" s="48"/>
      <c r="CO884" s="48"/>
      <c r="CP884" s="48"/>
      <c r="CQ884" s="48"/>
      <c r="CR884" s="48"/>
      <c r="CS884" s="48"/>
      <c r="CT884" s="48"/>
      <c r="CU884" s="48"/>
      <c r="CV884" s="48"/>
      <c r="CW884" s="48"/>
      <c r="CX884" s="48"/>
      <c r="CY884" s="48"/>
      <c r="CZ884" s="48"/>
      <c r="DA884" s="48"/>
      <c r="DB884" s="48"/>
      <c r="DC884" s="48"/>
      <c r="DD884" s="48"/>
      <c r="DE884" s="48"/>
      <c r="DF884" s="48"/>
      <c r="DG884" s="48"/>
      <c r="DH884" s="48"/>
      <c r="DI884" s="48"/>
      <c r="DJ884" s="48"/>
      <c r="DK884" s="48"/>
      <c r="DL884" s="48"/>
      <c r="DM884" s="48"/>
      <c r="DN884" s="48"/>
      <c r="DO884" s="48"/>
      <c r="DP884" s="48"/>
      <c r="DQ884" s="48"/>
      <c r="DR884" s="48"/>
      <c r="DS884" s="48"/>
    </row>
    <row r="885" spans="1:123" ht="15">
      <c r="A885"/>
      <c r="B885"/>
      <c r="C885"/>
      <c r="D885"/>
      <c r="E885"/>
      <c r="F885"/>
      <c r="G885"/>
      <c r="H885"/>
      <c r="I885"/>
      <c r="J885"/>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48"/>
      <c r="BH885" s="48"/>
      <c r="BI885" s="48"/>
      <c r="BJ885" s="48"/>
      <c r="BK885" s="48"/>
      <c r="BL885" s="48"/>
      <c r="BM885" s="48"/>
      <c r="BN885" s="48"/>
      <c r="BO885" s="48"/>
      <c r="BP885" s="48"/>
      <c r="BQ885" s="48"/>
      <c r="BR885" s="48"/>
      <c r="BS885" s="48"/>
      <c r="BT885" s="48"/>
      <c r="BU885" s="48"/>
      <c r="BV885" s="48"/>
      <c r="BW885" s="48"/>
      <c r="BX885" s="48"/>
      <c r="BY885" s="48"/>
      <c r="BZ885" s="48"/>
      <c r="CA885" s="48"/>
      <c r="CB885" s="48"/>
      <c r="CC885" s="48"/>
      <c r="CD885" s="48"/>
      <c r="CE885" s="48"/>
      <c r="CF885" s="48"/>
      <c r="CG885" s="48"/>
      <c r="CH885" s="48"/>
      <c r="CI885" s="48"/>
      <c r="CJ885" s="48"/>
      <c r="CK885" s="48"/>
      <c r="CL885" s="48"/>
      <c r="CM885" s="48"/>
      <c r="CN885" s="48"/>
      <c r="CO885" s="48"/>
      <c r="CP885" s="48"/>
      <c r="CQ885" s="48"/>
      <c r="CR885" s="48"/>
      <c r="CS885" s="48"/>
      <c r="CT885" s="48"/>
      <c r="CU885" s="48"/>
      <c r="CV885" s="48"/>
      <c r="CW885" s="48"/>
      <c r="CX885" s="48"/>
      <c r="CY885" s="48"/>
      <c r="CZ885" s="48"/>
      <c r="DA885" s="48"/>
      <c r="DB885" s="48"/>
      <c r="DC885" s="48"/>
      <c r="DD885" s="48"/>
      <c r="DE885" s="48"/>
      <c r="DF885" s="48"/>
      <c r="DG885" s="48"/>
      <c r="DH885" s="48"/>
      <c r="DI885" s="48"/>
      <c r="DJ885" s="48"/>
      <c r="DK885" s="48"/>
      <c r="DL885" s="48"/>
      <c r="DM885" s="48"/>
      <c r="DN885" s="48"/>
      <c r="DO885" s="48"/>
      <c r="DP885" s="48"/>
      <c r="DQ885" s="48"/>
      <c r="DR885" s="48"/>
      <c r="DS885" s="48"/>
    </row>
    <row r="886" spans="1:123" ht="15">
      <c r="A886"/>
      <c r="B886"/>
      <c r="C886"/>
      <c r="D886"/>
      <c r="E886"/>
      <c r="F886"/>
      <c r="G886"/>
      <c r="H886"/>
      <c r="I886"/>
      <c r="J886"/>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48"/>
      <c r="BH886" s="48"/>
      <c r="BI886" s="48"/>
      <c r="BJ886" s="48"/>
      <c r="BK886" s="48"/>
      <c r="BL886" s="48"/>
      <c r="BM886" s="48"/>
      <c r="BN886" s="48"/>
      <c r="BO886" s="48"/>
      <c r="BP886" s="48"/>
      <c r="BQ886" s="48"/>
      <c r="BR886" s="48"/>
      <c r="BS886" s="48"/>
      <c r="BT886" s="48"/>
      <c r="BU886" s="48"/>
      <c r="BV886" s="48"/>
      <c r="BW886" s="48"/>
      <c r="BX886" s="48"/>
      <c r="BY886" s="48"/>
      <c r="BZ886" s="48"/>
      <c r="CA886" s="48"/>
      <c r="CB886" s="48"/>
      <c r="CC886" s="48"/>
      <c r="CD886" s="48"/>
      <c r="CE886" s="48"/>
      <c r="CF886" s="48"/>
      <c r="CG886" s="48"/>
      <c r="CH886" s="48"/>
      <c r="CI886" s="48"/>
      <c r="CJ886" s="48"/>
      <c r="CK886" s="48"/>
      <c r="CL886" s="48"/>
      <c r="CM886" s="48"/>
      <c r="CN886" s="48"/>
      <c r="CO886" s="48"/>
      <c r="CP886" s="48"/>
      <c r="CQ886" s="48"/>
      <c r="CR886" s="48"/>
      <c r="CS886" s="48"/>
      <c r="CT886" s="48"/>
      <c r="CU886" s="48"/>
      <c r="CV886" s="48"/>
      <c r="CW886" s="48"/>
      <c r="CX886" s="48"/>
      <c r="CY886" s="48"/>
      <c r="CZ886" s="48"/>
      <c r="DA886" s="48"/>
      <c r="DB886" s="48"/>
      <c r="DC886" s="48"/>
      <c r="DD886" s="48"/>
      <c r="DE886" s="48"/>
      <c r="DF886" s="48"/>
      <c r="DG886" s="48"/>
      <c r="DH886" s="48"/>
      <c r="DI886" s="48"/>
      <c r="DJ886" s="48"/>
      <c r="DK886" s="48"/>
      <c r="DL886" s="48"/>
      <c r="DM886" s="48"/>
      <c r="DN886" s="48"/>
      <c r="DO886" s="48"/>
      <c r="DP886" s="48"/>
      <c r="DQ886" s="48"/>
      <c r="DR886" s="48"/>
      <c r="DS886" s="48"/>
    </row>
    <row r="887" spans="1:123" ht="15">
      <c r="A887"/>
      <c r="B887"/>
      <c r="C887"/>
      <c r="D887"/>
      <c r="E887"/>
      <c r="F887"/>
      <c r="G887"/>
      <c r="H887"/>
      <c r="I887"/>
      <c r="J887"/>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48"/>
      <c r="BH887" s="48"/>
      <c r="BI887" s="48"/>
      <c r="BJ887" s="48"/>
      <c r="BK887" s="48"/>
      <c r="BL887" s="48"/>
      <c r="BM887" s="48"/>
      <c r="BN887" s="48"/>
      <c r="BO887" s="48"/>
      <c r="BP887" s="48"/>
      <c r="BQ887" s="48"/>
      <c r="BR887" s="48"/>
      <c r="BS887" s="48"/>
      <c r="BT887" s="48"/>
      <c r="BU887" s="48"/>
      <c r="BV887" s="48"/>
      <c r="BW887" s="48"/>
      <c r="BX887" s="48"/>
      <c r="BY887" s="48"/>
      <c r="BZ887" s="48"/>
      <c r="CA887" s="48"/>
      <c r="CB887" s="48"/>
      <c r="CC887" s="48"/>
      <c r="CD887" s="48"/>
      <c r="CE887" s="48"/>
      <c r="CF887" s="48"/>
      <c r="CG887" s="48"/>
      <c r="CH887" s="48"/>
      <c r="CI887" s="48"/>
      <c r="CJ887" s="48"/>
      <c r="CK887" s="48"/>
      <c r="CL887" s="48"/>
      <c r="CM887" s="48"/>
      <c r="CN887" s="48"/>
      <c r="CO887" s="48"/>
      <c r="CP887" s="48"/>
      <c r="CQ887" s="48"/>
      <c r="CR887" s="48"/>
      <c r="CS887" s="48"/>
      <c r="CT887" s="48"/>
      <c r="CU887" s="48"/>
      <c r="CV887" s="48"/>
      <c r="CW887" s="48"/>
      <c r="CX887" s="48"/>
      <c r="CY887" s="48"/>
      <c r="CZ887" s="48"/>
      <c r="DA887" s="48"/>
      <c r="DB887" s="48"/>
      <c r="DC887" s="48"/>
      <c r="DD887" s="48"/>
      <c r="DE887" s="48"/>
      <c r="DF887" s="48"/>
      <c r="DG887" s="48"/>
      <c r="DH887" s="48"/>
      <c r="DI887" s="48"/>
      <c r="DJ887" s="48"/>
      <c r="DK887" s="48"/>
      <c r="DL887" s="48"/>
      <c r="DM887" s="48"/>
      <c r="DN887" s="48"/>
      <c r="DO887" s="48"/>
      <c r="DP887" s="48"/>
      <c r="DQ887" s="48"/>
      <c r="DR887" s="48"/>
      <c r="DS887" s="48"/>
    </row>
    <row r="888" spans="1:123" ht="15">
      <c r="A888"/>
      <c r="B888"/>
      <c r="C888"/>
      <c r="D888"/>
      <c r="E888"/>
      <c r="F888"/>
      <c r="G888"/>
      <c r="H888"/>
      <c r="I888"/>
      <c r="J88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48"/>
      <c r="BH888" s="48"/>
      <c r="BI888" s="48"/>
      <c r="BJ888" s="48"/>
      <c r="BK888" s="48"/>
      <c r="BL888" s="48"/>
      <c r="BM888" s="48"/>
      <c r="BN888" s="48"/>
      <c r="BO888" s="48"/>
      <c r="BP888" s="48"/>
      <c r="BQ888" s="48"/>
      <c r="BR888" s="48"/>
      <c r="BS888" s="48"/>
      <c r="BT888" s="48"/>
      <c r="BU888" s="48"/>
      <c r="BV888" s="48"/>
      <c r="BW888" s="48"/>
      <c r="BX888" s="48"/>
      <c r="BY888" s="48"/>
      <c r="BZ888" s="48"/>
      <c r="CA888" s="48"/>
      <c r="CB888" s="48"/>
      <c r="CC888" s="48"/>
      <c r="CD888" s="48"/>
      <c r="CE888" s="48"/>
      <c r="CF888" s="48"/>
      <c r="CG888" s="48"/>
      <c r="CH888" s="48"/>
      <c r="CI888" s="48"/>
      <c r="CJ888" s="48"/>
      <c r="CK888" s="48"/>
      <c r="CL888" s="48"/>
      <c r="CM888" s="48"/>
      <c r="CN888" s="48"/>
      <c r="CO888" s="48"/>
      <c r="CP888" s="48"/>
      <c r="CQ888" s="48"/>
      <c r="CR888" s="48"/>
      <c r="CS888" s="48"/>
      <c r="CT888" s="48"/>
      <c r="CU888" s="48"/>
      <c r="CV888" s="48"/>
      <c r="CW888" s="48"/>
      <c r="CX888" s="48"/>
      <c r="CY888" s="48"/>
      <c r="CZ888" s="48"/>
      <c r="DA888" s="48"/>
      <c r="DB888" s="48"/>
      <c r="DC888" s="48"/>
      <c r="DD888" s="48"/>
      <c r="DE888" s="48"/>
      <c r="DF888" s="48"/>
      <c r="DG888" s="48"/>
      <c r="DH888" s="48"/>
      <c r="DI888" s="48"/>
      <c r="DJ888" s="48"/>
      <c r="DK888" s="48"/>
      <c r="DL888" s="48"/>
      <c r="DM888" s="48"/>
      <c r="DN888" s="48"/>
      <c r="DO888" s="48"/>
      <c r="DP888" s="48"/>
      <c r="DQ888" s="48"/>
      <c r="DR888" s="48"/>
      <c r="DS888" s="48"/>
    </row>
    <row r="889" spans="1:123" ht="15">
      <c r="A889"/>
      <c r="B889"/>
      <c r="C889"/>
      <c r="D889"/>
      <c r="E889"/>
      <c r="F889"/>
      <c r="G889"/>
      <c r="H889"/>
      <c r="I889"/>
      <c r="J889"/>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48"/>
      <c r="BH889" s="48"/>
      <c r="BI889" s="48"/>
      <c r="BJ889" s="48"/>
      <c r="BK889" s="48"/>
      <c r="BL889" s="48"/>
      <c r="BM889" s="48"/>
      <c r="BN889" s="48"/>
      <c r="BO889" s="48"/>
      <c r="BP889" s="48"/>
      <c r="BQ889" s="48"/>
      <c r="BR889" s="48"/>
      <c r="BS889" s="48"/>
      <c r="BT889" s="48"/>
      <c r="BU889" s="48"/>
      <c r="BV889" s="48"/>
      <c r="BW889" s="48"/>
      <c r="BX889" s="48"/>
      <c r="BY889" s="48"/>
      <c r="BZ889" s="48"/>
      <c r="CA889" s="48"/>
      <c r="CB889" s="48"/>
      <c r="CC889" s="48"/>
      <c r="CD889" s="48"/>
      <c r="CE889" s="48"/>
      <c r="CF889" s="48"/>
      <c r="CG889" s="48"/>
      <c r="CH889" s="48"/>
      <c r="CI889" s="48"/>
      <c r="CJ889" s="48"/>
      <c r="CK889" s="48"/>
      <c r="CL889" s="48"/>
      <c r="CM889" s="48"/>
      <c r="CN889" s="48"/>
      <c r="CO889" s="48"/>
      <c r="CP889" s="48"/>
      <c r="CQ889" s="48"/>
      <c r="CR889" s="48"/>
      <c r="CS889" s="48"/>
      <c r="CT889" s="48"/>
      <c r="CU889" s="48"/>
      <c r="CV889" s="48"/>
      <c r="CW889" s="48"/>
      <c r="CX889" s="48"/>
      <c r="CY889" s="48"/>
      <c r="CZ889" s="48"/>
      <c r="DA889" s="48"/>
      <c r="DB889" s="48"/>
      <c r="DC889" s="48"/>
      <c r="DD889" s="48"/>
      <c r="DE889" s="48"/>
      <c r="DF889" s="48"/>
      <c r="DG889" s="48"/>
      <c r="DH889" s="48"/>
      <c r="DI889" s="48"/>
      <c r="DJ889" s="48"/>
      <c r="DK889" s="48"/>
      <c r="DL889" s="48"/>
      <c r="DM889" s="48"/>
      <c r="DN889" s="48"/>
      <c r="DO889" s="48"/>
      <c r="DP889" s="48"/>
      <c r="DQ889" s="48"/>
      <c r="DR889" s="48"/>
      <c r="DS889" s="48"/>
    </row>
    <row r="890" spans="1:123" ht="15">
      <c r="A890"/>
      <c r="B890"/>
      <c r="C890"/>
      <c r="D890"/>
      <c r="E890"/>
      <c r="F890"/>
      <c r="G890"/>
      <c r="H890"/>
      <c r="I890"/>
      <c r="J890"/>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48"/>
      <c r="BJ890" s="48"/>
      <c r="BK890" s="48"/>
      <c r="BL890" s="48"/>
      <c r="BM890" s="48"/>
      <c r="BN890" s="48"/>
      <c r="BO890" s="48"/>
      <c r="BP890" s="48"/>
      <c r="BQ890" s="48"/>
      <c r="BR890" s="48"/>
      <c r="BS890" s="48"/>
      <c r="BT890" s="48"/>
      <c r="BU890" s="48"/>
      <c r="BV890" s="48"/>
      <c r="BW890" s="48"/>
      <c r="BX890" s="48"/>
      <c r="BY890" s="48"/>
      <c r="BZ890" s="48"/>
      <c r="CA890" s="48"/>
      <c r="CB890" s="48"/>
      <c r="CC890" s="48"/>
      <c r="CD890" s="48"/>
      <c r="CE890" s="48"/>
      <c r="CF890" s="48"/>
      <c r="CG890" s="48"/>
      <c r="CH890" s="48"/>
      <c r="CI890" s="48"/>
      <c r="CJ890" s="48"/>
      <c r="CK890" s="48"/>
      <c r="CL890" s="48"/>
      <c r="CM890" s="48"/>
      <c r="CN890" s="48"/>
      <c r="CO890" s="48"/>
      <c r="CP890" s="48"/>
      <c r="CQ890" s="48"/>
      <c r="CR890" s="48"/>
      <c r="CS890" s="48"/>
      <c r="CT890" s="48"/>
      <c r="CU890" s="48"/>
      <c r="CV890" s="48"/>
      <c r="CW890" s="48"/>
      <c r="CX890" s="48"/>
      <c r="CY890" s="48"/>
      <c r="CZ890" s="48"/>
      <c r="DA890" s="48"/>
      <c r="DB890" s="48"/>
      <c r="DC890" s="48"/>
      <c r="DD890" s="48"/>
      <c r="DE890" s="48"/>
      <c r="DF890" s="48"/>
      <c r="DG890" s="48"/>
      <c r="DH890" s="48"/>
      <c r="DI890" s="48"/>
      <c r="DJ890" s="48"/>
      <c r="DK890" s="48"/>
      <c r="DL890" s="48"/>
      <c r="DM890" s="48"/>
      <c r="DN890" s="48"/>
      <c r="DO890" s="48"/>
      <c r="DP890" s="48"/>
      <c r="DQ890" s="48"/>
      <c r="DR890" s="48"/>
      <c r="DS890" s="48"/>
    </row>
    <row r="891" spans="1:123" ht="15">
      <c r="A891"/>
      <c r="B891"/>
      <c r="C891"/>
      <c r="D891"/>
      <c r="E891"/>
      <c r="F891"/>
      <c r="G891"/>
      <c r="H891"/>
      <c r="I891"/>
      <c r="J891"/>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48"/>
      <c r="BH891" s="48"/>
      <c r="BI891" s="48"/>
      <c r="BJ891" s="48"/>
      <c r="BK891" s="48"/>
      <c r="BL891" s="48"/>
      <c r="BM891" s="48"/>
      <c r="BN891" s="48"/>
      <c r="BO891" s="48"/>
      <c r="BP891" s="48"/>
      <c r="BQ891" s="48"/>
      <c r="BR891" s="48"/>
      <c r="BS891" s="48"/>
      <c r="BT891" s="48"/>
      <c r="BU891" s="48"/>
      <c r="BV891" s="48"/>
      <c r="BW891" s="48"/>
      <c r="BX891" s="48"/>
      <c r="BY891" s="48"/>
      <c r="BZ891" s="48"/>
      <c r="CA891" s="48"/>
      <c r="CB891" s="48"/>
      <c r="CC891" s="48"/>
      <c r="CD891" s="48"/>
      <c r="CE891" s="48"/>
      <c r="CF891" s="48"/>
      <c r="CG891" s="48"/>
      <c r="CH891" s="48"/>
      <c r="CI891" s="48"/>
      <c r="CJ891" s="48"/>
      <c r="CK891" s="48"/>
      <c r="CL891" s="48"/>
      <c r="CM891" s="48"/>
      <c r="CN891" s="48"/>
      <c r="CO891" s="48"/>
      <c r="CP891" s="48"/>
      <c r="CQ891" s="48"/>
      <c r="CR891" s="48"/>
      <c r="CS891" s="48"/>
      <c r="CT891" s="48"/>
      <c r="CU891" s="48"/>
      <c r="CV891" s="48"/>
      <c r="CW891" s="48"/>
      <c r="CX891" s="48"/>
      <c r="CY891" s="48"/>
      <c r="CZ891" s="48"/>
      <c r="DA891" s="48"/>
      <c r="DB891" s="48"/>
      <c r="DC891" s="48"/>
      <c r="DD891" s="48"/>
      <c r="DE891" s="48"/>
      <c r="DF891" s="48"/>
      <c r="DG891" s="48"/>
      <c r="DH891" s="48"/>
      <c r="DI891" s="48"/>
      <c r="DJ891" s="48"/>
      <c r="DK891" s="48"/>
      <c r="DL891" s="48"/>
      <c r="DM891" s="48"/>
      <c r="DN891" s="48"/>
      <c r="DO891" s="48"/>
      <c r="DP891" s="48"/>
      <c r="DQ891" s="48"/>
      <c r="DR891" s="48"/>
      <c r="DS891" s="48"/>
    </row>
    <row r="892" spans="1:123" ht="15">
      <c r="A892"/>
      <c r="B892"/>
      <c r="C892"/>
      <c r="D892"/>
      <c r="E892"/>
      <c r="F892"/>
      <c r="G892"/>
      <c r="H892"/>
      <c r="I892"/>
      <c r="J892"/>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48"/>
      <c r="BH892" s="48"/>
      <c r="BI892" s="48"/>
      <c r="BJ892" s="48"/>
      <c r="BK892" s="48"/>
      <c r="BL892" s="48"/>
      <c r="BM892" s="48"/>
      <c r="BN892" s="48"/>
      <c r="BO892" s="48"/>
      <c r="BP892" s="48"/>
      <c r="BQ892" s="48"/>
      <c r="BR892" s="48"/>
      <c r="BS892" s="48"/>
      <c r="BT892" s="48"/>
      <c r="BU892" s="48"/>
      <c r="BV892" s="48"/>
      <c r="BW892" s="48"/>
      <c r="BX892" s="48"/>
      <c r="BY892" s="48"/>
      <c r="BZ892" s="48"/>
      <c r="CA892" s="48"/>
      <c r="CB892" s="48"/>
      <c r="CC892" s="48"/>
      <c r="CD892" s="48"/>
      <c r="CE892" s="48"/>
      <c r="CF892" s="48"/>
      <c r="CG892" s="48"/>
      <c r="CH892" s="48"/>
      <c r="CI892" s="48"/>
      <c r="CJ892" s="48"/>
      <c r="CK892" s="48"/>
      <c r="CL892" s="48"/>
      <c r="CM892" s="48"/>
      <c r="CN892" s="48"/>
      <c r="CO892" s="48"/>
      <c r="CP892" s="48"/>
      <c r="CQ892" s="48"/>
      <c r="CR892" s="48"/>
      <c r="CS892" s="48"/>
      <c r="CT892" s="48"/>
      <c r="CU892" s="48"/>
      <c r="CV892" s="48"/>
      <c r="CW892" s="48"/>
      <c r="CX892" s="48"/>
      <c r="CY892" s="48"/>
      <c r="CZ892" s="48"/>
      <c r="DA892" s="48"/>
      <c r="DB892" s="48"/>
      <c r="DC892" s="48"/>
      <c r="DD892" s="48"/>
      <c r="DE892" s="48"/>
      <c r="DF892" s="48"/>
      <c r="DG892" s="48"/>
      <c r="DH892" s="48"/>
      <c r="DI892" s="48"/>
      <c r="DJ892" s="48"/>
      <c r="DK892" s="48"/>
      <c r="DL892" s="48"/>
      <c r="DM892" s="48"/>
      <c r="DN892" s="48"/>
      <c r="DO892" s="48"/>
      <c r="DP892" s="48"/>
      <c r="DQ892" s="48"/>
      <c r="DR892" s="48"/>
      <c r="DS892" s="48"/>
    </row>
    <row r="893" spans="1:123" ht="15">
      <c r="A893"/>
      <c r="B893"/>
      <c r="C893"/>
      <c r="D893"/>
      <c r="E893"/>
      <c r="F893"/>
      <c r="G893"/>
      <c r="H893"/>
      <c r="I893"/>
      <c r="J893"/>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48"/>
      <c r="BH893" s="48"/>
      <c r="BI893" s="48"/>
      <c r="BJ893" s="48"/>
      <c r="BK893" s="48"/>
      <c r="BL893" s="48"/>
      <c r="BM893" s="48"/>
      <c r="BN893" s="48"/>
      <c r="BO893" s="48"/>
      <c r="BP893" s="48"/>
      <c r="BQ893" s="48"/>
      <c r="BR893" s="48"/>
      <c r="BS893" s="48"/>
      <c r="BT893" s="48"/>
      <c r="BU893" s="48"/>
      <c r="BV893" s="48"/>
      <c r="BW893" s="48"/>
      <c r="BX893" s="48"/>
      <c r="BY893" s="48"/>
      <c r="BZ893" s="48"/>
      <c r="CA893" s="48"/>
      <c r="CB893" s="48"/>
      <c r="CC893" s="48"/>
      <c r="CD893" s="48"/>
      <c r="CE893" s="48"/>
      <c r="CF893" s="48"/>
      <c r="CG893" s="48"/>
      <c r="CH893" s="48"/>
      <c r="CI893" s="48"/>
      <c r="CJ893" s="48"/>
      <c r="CK893" s="48"/>
      <c r="CL893" s="48"/>
      <c r="CM893" s="48"/>
      <c r="CN893" s="48"/>
      <c r="CO893" s="48"/>
      <c r="CP893" s="48"/>
      <c r="CQ893" s="48"/>
      <c r="CR893" s="48"/>
      <c r="CS893" s="48"/>
      <c r="CT893" s="48"/>
      <c r="CU893" s="48"/>
      <c r="CV893" s="48"/>
      <c r="CW893" s="48"/>
      <c r="CX893" s="48"/>
      <c r="CY893" s="48"/>
      <c r="CZ893" s="48"/>
      <c r="DA893" s="48"/>
      <c r="DB893" s="48"/>
      <c r="DC893" s="48"/>
      <c r="DD893" s="48"/>
      <c r="DE893" s="48"/>
      <c r="DF893" s="48"/>
      <c r="DG893" s="48"/>
      <c r="DH893" s="48"/>
      <c r="DI893" s="48"/>
      <c r="DJ893" s="48"/>
      <c r="DK893" s="48"/>
      <c r="DL893" s="48"/>
      <c r="DM893" s="48"/>
      <c r="DN893" s="48"/>
      <c r="DO893" s="48"/>
      <c r="DP893" s="48"/>
      <c r="DQ893" s="48"/>
      <c r="DR893" s="48"/>
      <c r="DS893" s="48"/>
    </row>
    <row r="894" spans="1:123" ht="15">
      <c r="A894"/>
      <c r="B894"/>
      <c r="C894"/>
      <c r="D894"/>
      <c r="E894"/>
      <c r="F894"/>
      <c r="G894"/>
      <c r="H894"/>
      <c r="I894"/>
      <c r="J894"/>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48"/>
      <c r="BH894" s="48"/>
      <c r="BI894" s="48"/>
      <c r="BJ894" s="48"/>
      <c r="BK894" s="48"/>
      <c r="BL894" s="48"/>
      <c r="BM894" s="48"/>
      <c r="BN894" s="48"/>
      <c r="BO894" s="48"/>
      <c r="BP894" s="48"/>
      <c r="BQ894" s="48"/>
      <c r="BR894" s="48"/>
      <c r="BS894" s="48"/>
      <c r="BT894" s="48"/>
      <c r="BU894" s="48"/>
      <c r="BV894" s="48"/>
      <c r="BW894" s="48"/>
      <c r="BX894" s="48"/>
      <c r="BY894" s="48"/>
      <c r="BZ894" s="48"/>
      <c r="CA894" s="48"/>
      <c r="CB894" s="48"/>
      <c r="CC894" s="48"/>
      <c r="CD894" s="48"/>
      <c r="CE894" s="48"/>
      <c r="CF894" s="48"/>
      <c r="CG894" s="48"/>
      <c r="CH894" s="48"/>
      <c r="CI894" s="48"/>
      <c r="CJ894" s="48"/>
      <c r="CK894" s="48"/>
      <c r="CL894" s="48"/>
      <c r="CM894" s="48"/>
      <c r="CN894" s="48"/>
      <c r="CO894" s="48"/>
      <c r="CP894" s="48"/>
      <c r="CQ894" s="48"/>
      <c r="CR894" s="48"/>
      <c r="CS894" s="48"/>
      <c r="CT894" s="48"/>
      <c r="CU894" s="48"/>
      <c r="CV894" s="48"/>
      <c r="CW894" s="48"/>
      <c r="CX894" s="48"/>
      <c r="CY894" s="48"/>
      <c r="CZ894" s="48"/>
      <c r="DA894" s="48"/>
      <c r="DB894" s="48"/>
      <c r="DC894" s="48"/>
      <c r="DD894" s="48"/>
      <c r="DE894" s="48"/>
      <c r="DF894" s="48"/>
      <c r="DG894" s="48"/>
      <c r="DH894" s="48"/>
      <c r="DI894" s="48"/>
      <c r="DJ894" s="48"/>
      <c r="DK894" s="48"/>
      <c r="DL894" s="48"/>
      <c r="DM894" s="48"/>
      <c r="DN894" s="48"/>
      <c r="DO894" s="48"/>
      <c r="DP894" s="48"/>
      <c r="DQ894" s="48"/>
      <c r="DR894" s="48"/>
      <c r="DS894" s="48"/>
    </row>
    <row r="895" spans="1:123" ht="15">
      <c r="A895"/>
      <c r="B895"/>
      <c r="C895"/>
      <c r="D895"/>
      <c r="E895"/>
      <c r="F895"/>
      <c r="G895"/>
      <c r="H895"/>
      <c r="I895"/>
      <c r="J895"/>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48"/>
      <c r="BH895" s="48"/>
      <c r="BI895" s="48"/>
      <c r="BJ895" s="48"/>
      <c r="BK895" s="48"/>
      <c r="BL895" s="48"/>
      <c r="BM895" s="48"/>
      <c r="BN895" s="48"/>
      <c r="BO895" s="48"/>
      <c r="BP895" s="48"/>
      <c r="BQ895" s="48"/>
      <c r="BR895" s="48"/>
      <c r="BS895" s="48"/>
      <c r="BT895" s="48"/>
      <c r="BU895" s="48"/>
      <c r="BV895" s="48"/>
      <c r="BW895" s="48"/>
      <c r="BX895" s="48"/>
      <c r="BY895" s="48"/>
      <c r="BZ895" s="48"/>
      <c r="CA895" s="48"/>
      <c r="CB895" s="48"/>
      <c r="CC895" s="48"/>
      <c r="CD895" s="48"/>
      <c r="CE895" s="48"/>
      <c r="CF895" s="48"/>
      <c r="CG895" s="48"/>
      <c r="CH895" s="48"/>
      <c r="CI895" s="48"/>
      <c r="CJ895" s="48"/>
      <c r="CK895" s="48"/>
      <c r="CL895" s="48"/>
      <c r="CM895" s="48"/>
      <c r="CN895" s="48"/>
      <c r="CO895" s="48"/>
      <c r="CP895" s="48"/>
      <c r="CQ895" s="48"/>
      <c r="CR895" s="48"/>
      <c r="CS895" s="48"/>
      <c r="CT895" s="48"/>
      <c r="CU895" s="48"/>
      <c r="CV895" s="48"/>
      <c r="CW895" s="48"/>
      <c r="CX895" s="48"/>
      <c r="CY895" s="48"/>
      <c r="CZ895" s="48"/>
      <c r="DA895" s="48"/>
      <c r="DB895" s="48"/>
      <c r="DC895" s="48"/>
      <c r="DD895" s="48"/>
      <c r="DE895" s="48"/>
      <c r="DF895" s="48"/>
      <c r="DG895" s="48"/>
      <c r="DH895" s="48"/>
      <c r="DI895" s="48"/>
      <c r="DJ895" s="48"/>
      <c r="DK895" s="48"/>
      <c r="DL895" s="48"/>
      <c r="DM895" s="48"/>
      <c r="DN895" s="48"/>
      <c r="DO895" s="48"/>
      <c r="DP895" s="48"/>
      <c r="DQ895" s="48"/>
      <c r="DR895" s="48"/>
      <c r="DS895" s="48"/>
    </row>
    <row r="896" spans="1:123" ht="15">
      <c r="A896"/>
      <c r="B896"/>
      <c r="C896"/>
      <c r="D896"/>
      <c r="E896"/>
      <c r="F896"/>
      <c r="G896"/>
      <c r="H896"/>
      <c r="I896"/>
      <c r="J896"/>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48"/>
      <c r="BH896" s="48"/>
      <c r="BI896" s="48"/>
      <c r="BJ896" s="48"/>
      <c r="BK896" s="48"/>
      <c r="BL896" s="48"/>
      <c r="BM896" s="48"/>
      <c r="BN896" s="48"/>
      <c r="BO896" s="48"/>
      <c r="BP896" s="48"/>
      <c r="BQ896" s="48"/>
      <c r="BR896" s="48"/>
      <c r="BS896" s="48"/>
      <c r="BT896" s="48"/>
      <c r="BU896" s="48"/>
      <c r="BV896" s="48"/>
      <c r="BW896" s="48"/>
      <c r="BX896" s="48"/>
      <c r="BY896" s="48"/>
      <c r="BZ896" s="48"/>
      <c r="CA896" s="48"/>
      <c r="CB896" s="48"/>
      <c r="CC896" s="48"/>
      <c r="CD896" s="48"/>
      <c r="CE896" s="48"/>
      <c r="CF896" s="48"/>
      <c r="CG896" s="48"/>
      <c r="CH896" s="48"/>
      <c r="CI896" s="48"/>
      <c r="CJ896" s="48"/>
      <c r="CK896" s="48"/>
      <c r="CL896" s="48"/>
      <c r="CM896" s="48"/>
      <c r="CN896" s="48"/>
      <c r="CO896" s="48"/>
      <c r="CP896" s="48"/>
      <c r="CQ896" s="48"/>
      <c r="CR896" s="48"/>
      <c r="CS896" s="48"/>
      <c r="CT896" s="48"/>
      <c r="CU896" s="48"/>
      <c r="CV896" s="48"/>
      <c r="CW896" s="48"/>
      <c r="CX896" s="48"/>
      <c r="CY896" s="48"/>
      <c r="CZ896" s="48"/>
      <c r="DA896" s="48"/>
      <c r="DB896" s="48"/>
      <c r="DC896" s="48"/>
      <c r="DD896" s="48"/>
      <c r="DE896" s="48"/>
      <c r="DF896" s="48"/>
      <c r="DG896" s="48"/>
      <c r="DH896" s="48"/>
      <c r="DI896" s="48"/>
      <c r="DJ896" s="48"/>
      <c r="DK896" s="48"/>
      <c r="DL896" s="48"/>
      <c r="DM896" s="48"/>
      <c r="DN896" s="48"/>
      <c r="DO896" s="48"/>
      <c r="DP896" s="48"/>
      <c r="DQ896" s="48"/>
      <c r="DR896" s="48"/>
      <c r="DS896" s="48"/>
    </row>
    <row r="897" spans="1:123" ht="15">
      <c r="A897"/>
      <c r="B897"/>
      <c r="C897"/>
      <c r="D897"/>
      <c r="E897"/>
      <c r="F897"/>
      <c r="G897"/>
      <c r="H897"/>
      <c r="I897"/>
      <c r="J897"/>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48"/>
      <c r="BH897" s="48"/>
      <c r="BI897" s="48"/>
      <c r="BJ897" s="48"/>
      <c r="BK897" s="48"/>
      <c r="BL897" s="48"/>
      <c r="BM897" s="48"/>
      <c r="BN897" s="48"/>
      <c r="BO897" s="48"/>
      <c r="BP897" s="48"/>
      <c r="BQ897" s="48"/>
      <c r="BR897" s="48"/>
      <c r="BS897" s="48"/>
      <c r="BT897" s="48"/>
      <c r="BU897" s="48"/>
      <c r="BV897" s="48"/>
      <c r="BW897" s="48"/>
      <c r="BX897" s="48"/>
      <c r="BY897" s="48"/>
      <c r="BZ897" s="48"/>
      <c r="CA897" s="48"/>
      <c r="CB897" s="48"/>
      <c r="CC897" s="48"/>
      <c r="CD897" s="48"/>
      <c r="CE897" s="48"/>
      <c r="CF897" s="48"/>
      <c r="CG897" s="48"/>
      <c r="CH897" s="48"/>
      <c r="CI897" s="48"/>
      <c r="CJ897" s="48"/>
      <c r="CK897" s="48"/>
      <c r="CL897" s="48"/>
      <c r="CM897" s="48"/>
      <c r="CN897" s="48"/>
      <c r="CO897" s="48"/>
      <c r="CP897" s="48"/>
      <c r="CQ897" s="48"/>
      <c r="CR897" s="48"/>
      <c r="CS897" s="48"/>
      <c r="CT897" s="48"/>
      <c r="CU897" s="48"/>
      <c r="CV897" s="48"/>
      <c r="CW897" s="48"/>
      <c r="CX897" s="48"/>
      <c r="CY897" s="48"/>
      <c r="CZ897" s="48"/>
      <c r="DA897" s="48"/>
      <c r="DB897" s="48"/>
      <c r="DC897" s="48"/>
      <c r="DD897" s="48"/>
      <c r="DE897" s="48"/>
      <c r="DF897" s="48"/>
      <c r="DG897" s="48"/>
      <c r="DH897" s="48"/>
      <c r="DI897" s="48"/>
      <c r="DJ897" s="48"/>
      <c r="DK897" s="48"/>
      <c r="DL897" s="48"/>
      <c r="DM897" s="48"/>
      <c r="DN897" s="48"/>
      <c r="DO897" s="48"/>
      <c r="DP897" s="48"/>
      <c r="DQ897" s="48"/>
      <c r="DR897" s="48"/>
      <c r="DS897" s="48"/>
    </row>
    <row r="898" spans="1:123" ht="15">
      <c r="A898"/>
      <c r="B898"/>
      <c r="C898"/>
      <c r="D898"/>
      <c r="E898"/>
      <c r="F898"/>
      <c r="G898"/>
      <c r="H898"/>
      <c r="I898"/>
      <c r="J89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48"/>
      <c r="BH898" s="48"/>
      <c r="BI898" s="48"/>
      <c r="BJ898" s="48"/>
      <c r="BK898" s="48"/>
      <c r="BL898" s="48"/>
      <c r="BM898" s="48"/>
      <c r="BN898" s="48"/>
      <c r="BO898" s="48"/>
      <c r="BP898" s="48"/>
      <c r="BQ898" s="48"/>
      <c r="BR898" s="48"/>
      <c r="BS898" s="48"/>
      <c r="BT898" s="48"/>
      <c r="BU898" s="48"/>
      <c r="BV898" s="48"/>
      <c r="BW898" s="48"/>
      <c r="BX898" s="48"/>
      <c r="BY898" s="48"/>
      <c r="BZ898" s="48"/>
      <c r="CA898" s="48"/>
      <c r="CB898" s="48"/>
      <c r="CC898" s="48"/>
      <c r="CD898" s="48"/>
      <c r="CE898" s="48"/>
      <c r="CF898" s="48"/>
      <c r="CG898" s="48"/>
      <c r="CH898" s="48"/>
      <c r="CI898" s="48"/>
      <c r="CJ898" s="48"/>
      <c r="CK898" s="48"/>
      <c r="CL898" s="48"/>
      <c r="CM898" s="48"/>
      <c r="CN898" s="48"/>
      <c r="CO898" s="48"/>
      <c r="CP898" s="48"/>
      <c r="CQ898" s="48"/>
      <c r="CR898" s="48"/>
      <c r="CS898" s="48"/>
      <c r="CT898" s="48"/>
      <c r="CU898" s="48"/>
      <c r="CV898" s="48"/>
      <c r="CW898" s="48"/>
      <c r="CX898" s="48"/>
      <c r="CY898" s="48"/>
      <c r="CZ898" s="48"/>
      <c r="DA898" s="48"/>
      <c r="DB898" s="48"/>
      <c r="DC898" s="48"/>
      <c r="DD898" s="48"/>
      <c r="DE898" s="48"/>
      <c r="DF898" s="48"/>
      <c r="DG898" s="48"/>
      <c r="DH898" s="48"/>
      <c r="DI898" s="48"/>
      <c r="DJ898" s="48"/>
      <c r="DK898" s="48"/>
      <c r="DL898" s="48"/>
      <c r="DM898" s="48"/>
      <c r="DN898" s="48"/>
      <c r="DO898" s="48"/>
      <c r="DP898" s="48"/>
      <c r="DQ898" s="48"/>
      <c r="DR898" s="48"/>
      <c r="DS898" s="48"/>
    </row>
    <row r="899" spans="1:123" ht="15">
      <c r="A899"/>
      <c r="B899"/>
      <c r="C899"/>
      <c r="D899"/>
      <c r="E899"/>
      <c r="F899"/>
      <c r="G899"/>
      <c r="H899"/>
      <c r="I899"/>
      <c r="J899"/>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48"/>
      <c r="BH899" s="48"/>
      <c r="BI899" s="48"/>
      <c r="BJ899" s="48"/>
      <c r="BK899" s="48"/>
      <c r="BL899" s="48"/>
      <c r="BM899" s="48"/>
      <c r="BN899" s="48"/>
      <c r="BO899" s="48"/>
      <c r="BP899" s="48"/>
      <c r="BQ899" s="48"/>
      <c r="BR899" s="48"/>
      <c r="BS899" s="48"/>
      <c r="BT899" s="48"/>
      <c r="BU899" s="48"/>
      <c r="BV899" s="48"/>
      <c r="BW899" s="48"/>
      <c r="BX899" s="48"/>
      <c r="BY899" s="48"/>
      <c r="BZ899" s="48"/>
      <c r="CA899" s="48"/>
      <c r="CB899" s="48"/>
      <c r="CC899" s="48"/>
      <c r="CD899" s="48"/>
      <c r="CE899" s="48"/>
      <c r="CF899" s="48"/>
      <c r="CG899" s="48"/>
      <c r="CH899" s="48"/>
      <c r="CI899" s="48"/>
      <c r="CJ899" s="48"/>
      <c r="CK899" s="48"/>
      <c r="CL899" s="48"/>
      <c r="CM899" s="48"/>
      <c r="CN899" s="48"/>
      <c r="CO899" s="48"/>
      <c r="CP899" s="48"/>
      <c r="CQ899" s="48"/>
      <c r="CR899" s="48"/>
      <c r="CS899" s="48"/>
      <c r="CT899" s="48"/>
      <c r="CU899" s="48"/>
      <c r="CV899" s="48"/>
      <c r="CW899" s="48"/>
      <c r="CX899" s="48"/>
      <c r="CY899" s="48"/>
      <c r="CZ899" s="48"/>
      <c r="DA899" s="48"/>
      <c r="DB899" s="48"/>
      <c r="DC899" s="48"/>
      <c r="DD899" s="48"/>
      <c r="DE899" s="48"/>
      <c r="DF899" s="48"/>
      <c r="DG899" s="48"/>
      <c r="DH899" s="48"/>
      <c r="DI899" s="48"/>
      <c r="DJ899" s="48"/>
      <c r="DK899" s="48"/>
      <c r="DL899" s="48"/>
      <c r="DM899" s="48"/>
      <c r="DN899" s="48"/>
      <c r="DO899" s="48"/>
      <c r="DP899" s="48"/>
      <c r="DQ899" s="48"/>
      <c r="DR899" s="48"/>
      <c r="DS899" s="48"/>
    </row>
    <row r="900" spans="1:123" ht="15">
      <c r="A900"/>
      <c r="B900"/>
      <c r="C900"/>
      <c r="D900"/>
      <c r="E900"/>
      <c r="F900"/>
      <c r="G900"/>
      <c r="H900"/>
      <c r="I900"/>
      <c r="J900"/>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48"/>
      <c r="BH900" s="48"/>
      <c r="BI900" s="48"/>
      <c r="BJ900" s="48"/>
      <c r="BK900" s="48"/>
      <c r="BL900" s="48"/>
      <c r="BM900" s="48"/>
      <c r="BN900" s="48"/>
      <c r="BO900" s="48"/>
      <c r="BP900" s="48"/>
      <c r="BQ900" s="48"/>
      <c r="BR900" s="48"/>
      <c r="BS900" s="48"/>
      <c r="BT900" s="48"/>
      <c r="BU900" s="48"/>
      <c r="BV900" s="48"/>
      <c r="BW900" s="48"/>
      <c r="BX900" s="48"/>
      <c r="BY900" s="48"/>
      <c r="BZ900" s="48"/>
      <c r="CA900" s="48"/>
      <c r="CB900" s="48"/>
      <c r="CC900" s="48"/>
      <c r="CD900" s="48"/>
      <c r="CE900" s="48"/>
      <c r="CF900" s="48"/>
      <c r="CG900" s="48"/>
      <c r="CH900" s="48"/>
      <c r="CI900" s="48"/>
      <c r="CJ900" s="48"/>
      <c r="CK900" s="48"/>
      <c r="CL900" s="48"/>
      <c r="CM900" s="48"/>
      <c r="CN900" s="48"/>
      <c r="CO900" s="48"/>
      <c r="CP900" s="48"/>
      <c r="CQ900" s="48"/>
      <c r="CR900" s="48"/>
      <c r="CS900" s="48"/>
      <c r="CT900" s="48"/>
      <c r="CU900" s="48"/>
      <c r="CV900" s="48"/>
      <c r="CW900" s="48"/>
      <c r="CX900" s="48"/>
      <c r="CY900" s="48"/>
      <c r="CZ900" s="48"/>
      <c r="DA900" s="48"/>
      <c r="DB900" s="48"/>
      <c r="DC900" s="48"/>
      <c r="DD900" s="48"/>
      <c r="DE900" s="48"/>
      <c r="DF900" s="48"/>
      <c r="DG900" s="48"/>
      <c r="DH900" s="48"/>
      <c r="DI900" s="48"/>
      <c r="DJ900" s="48"/>
      <c r="DK900" s="48"/>
      <c r="DL900" s="48"/>
      <c r="DM900" s="48"/>
      <c r="DN900" s="48"/>
      <c r="DO900" s="48"/>
      <c r="DP900" s="48"/>
      <c r="DQ900" s="48"/>
      <c r="DR900" s="48"/>
      <c r="DS900" s="48"/>
    </row>
    <row r="901" spans="1:123" ht="15">
      <c r="A901"/>
      <c r="B901"/>
      <c r="C901"/>
      <c r="D901"/>
      <c r="E901"/>
      <c r="F901"/>
      <c r="G901"/>
      <c r="H901"/>
      <c r="I901"/>
      <c r="J901"/>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48"/>
      <c r="BH901" s="48"/>
      <c r="BI901" s="48"/>
      <c r="BJ901" s="48"/>
      <c r="BK901" s="48"/>
      <c r="BL901" s="48"/>
      <c r="BM901" s="48"/>
      <c r="BN901" s="48"/>
      <c r="BO901" s="48"/>
      <c r="BP901" s="48"/>
      <c r="BQ901" s="48"/>
      <c r="BR901" s="48"/>
      <c r="BS901" s="48"/>
      <c r="BT901" s="48"/>
      <c r="BU901" s="48"/>
      <c r="BV901" s="48"/>
      <c r="BW901" s="48"/>
      <c r="BX901" s="48"/>
      <c r="BY901" s="48"/>
      <c r="BZ901" s="48"/>
      <c r="CA901" s="48"/>
      <c r="CB901" s="48"/>
      <c r="CC901" s="48"/>
      <c r="CD901" s="48"/>
      <c r="CE901" s="48"/>
      <c r="CF901" s="48"/>
      <c r="CG901" s="48"/>
      <c r="CH901" s="48"/>
      <c r="CI901" s="48"/>
      <c r="CJ901" s="48"/>
      <c r="CK901" s="48"/>
      <c r="CL901" s="48"/>
      <c r="CM901" s="48"/>
      <c r="CN901" s="48"/>
      <c r="CO901" s="48"/>
      <c r="CP901" s="48"/>
      <c r="CQ901" s="48"/>
      <c r="CR901" s="48"/>
      <c r="CS901" s="48"/>
      <c r="CT901" s="48"/>
      <c r="CU901" s="48"/>
      <c r="CV901" s="48"/>
      <c r="CW901" s="48"/>
      <c r="CX901" s="48"/>
      <c r="CY901" s="48"/>
      <c r="CZ901" s="48"/>
      <c r="DA901" s="48"/>
      <c r="DB901" s="48"/>
      <c r="DC901" s="48"/>
      <c r="DD901" s="48"/>
      <c r="DE901" s="48"/>
      <c r="DF901" s="48"/>
      <c r="DG901" s="48"/>
      <c r="DH901" s="48"/>
      <c r="DI901" s="48"/>
      <c r="DJ901" s="48"/>
      <c r="DK901" s="48"/>
      <c r="DL901" s="48"/>
      <c r="DM901" s="48"/>
      <c r="DN901" s="48"/>
      <c r="DO901" s="48"/>
      <c r="DP901" s="48"/>
      <c r="DQ901" s="48"/>
      <c r="DR901" s="48"/>
      <c r="DS901" s="48"/>
    </row>
    <row r="902" spans="1:123" ht="15">
      <c r="A902"/>
      <c r="B902"/>
      <c r="C902"/>
      <c r="D902"/>
      <c r="E902"/>
      <c r="F902"/>
      <c r="G902"/>
      <c r="H902"/>
      <c r="I902"/>
      <c r="J902"/>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48"/>
      <c r="BH902" s="48"/>
      <c r="BI902" s="48"/>
      <c r="BJ902" s="48"/>
      <c r="BK902" s="48"/>
      <c r="BL902" s="48"/>
      <c r="BM902" s="48"/>
      <c r="BN902" s="48"/>
      <c r="BO902" s="48"/>
      <c r="BP902" s="48"/>
      <c r="BQ902" s="48"/>
      <c r="BR902" s="48"/>
      <c r="BS902" s="48"/>
      <c r="BT902" s="48"/>
      <c r="BU902" s="48"/>
      <c r="BV902" s="48"/>
      <c r="BW902" s="48"/>
      <c r="BX902" s="48"/>
      <c r="BY902" s="48"/>
      <c r="BZ902" s="48"/>
      <c r="CA902" s="48"/>
      <c r="CB902" s="48"/>
      <c r="CC902" s="48"/>
      <c r="CD902" s="48"/>
      <c r="CE902" s="48"/>
      <c r="CF902" s="48"/>
      <c r="CG902" s="48"/>
      <c r="CH902" s="48"/>
      <c r="CI902" s="48"/>
      <c r="CJ902" s="48"/>
      <c r="CK902" s="48"/>
      <c r="CL902" s="48"/>
      <c r="CM902" s="48"/>
      <c r="CN902" s="48"/>
      <c r="CO902" s="48"/>
      <c r="CP902" s="48"/>
      <c r="CQ902" s="48"/>
      <c r="CR902" s="48"/>
      <c r="CS902" s="48"/>
      <c r="CT902" s="48"/>
      <c r="CU902" s="48"/>
      <c r="CV902" s="48"/>
      <c r="CW902" s="48"/>
      <c r="CX902" s="48"/>
      <c r="CY902" s="48"/>
      <c r="CZ902" s="48"/>
      <c r="DA902" s="48"/>
      <c r="DB902" s="48"/>
      <c r="DC902" s="48"/>
      <c r="DD902" s="48"/>
      <c r="DE902" s="48"/>
      <c r="DF902" s="48"/>
      <c r="DG902" s="48"/>
      <c r="DH902" s="48"/>
      <c r="DI902" s="48"/>
      <c r="DJ902" s="48"/>
      <c r="DK902" s="48"/>
      <c r="DL902" s="48"/>
      <c r="DM902" s="48"/>
      <c r="DN902" s="48"/>
      <c r="DO902" s="48"/>
      <c r="DP902" s="48"/>
      <c r="DQ902" s="48"/>
      <c r="DR902" s="48"/>
      <c r="DS902" s="48"/>
    </row>
    <row r="903" spans="1:123" ht="15">
      <c r="A903"/>
      <c r="B903"/>
      <c r="C903"/>
      <c r="D903"/>
      <c r="E903"/>
      <c r="F903"/>
      <c r="G903"/>
      <c r="H903"/>
      <c r="I903"/>
      <c r="J903"/>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48"/>
      <c r="BH903" s="48"/>
      <c r="BI903" s="48"/>
      <c r="BJ903" s="48"/>
      <c r="BK903" s="48"/>
      <c r="BL903" s="48"/>
      <c r="BM903" s="48"/>
      <c r="BN903" s="48"/>
      <c r="BO903" s="48"/>
      <c r="BP903" s="48"/>
      <c r="BQ903" s="48"/>
      <c r="BR903" s="48"/>
      <c r="BS903" s="48"/>
      <c r="BT903" s="48"/>
      <c r="BU903" s="48"/>
      <c r="BV903" s="48"/>
      <c r="BW903" s="48"/>
      <c r="BX903" s="48"/>
      <c r="BY903" s="48"/>
      <c r="BZ903" s="48"/>
      <c r="CA903" s="48"/>
      <c r="CB903" s="48"/>
      <c r="CC903" s="48"/>
      <c r="CD903" s="48"/>
      <c r="CE903" s="48"/>
      <c r="CF903" s="48"/>
      <c r="CG903" s="48"/>
      <c r="CH903" s="48"/>
      <c r="CI903" s="48"/>
      <c r="CJ903" s="48"/>
      <c r="CK903" s="48"/>
      <c r="CL903" s="48"/>
      <c r="CM903" s="48"/>
      <c r="CN903" s="48"/>
      <c r="CO903" s="48"/>
      <c r="CP903" s="48"/>
      <c r="CQ903" s="48"/>
      <c r="CR903" s="48"/>
      <c r="CS903" s="48"/>
      <c r="CT903" s="48"/>
      <c r="CU903" s="48"/>
      <c r="CV903" s="48"/>
      <c r="CW903" s="48"/>
      <c r="CX903" s="48"/>
      <c r="CY903" s="48"/>
      <c r="CZ903" s="48"/>
      <c r="DA903" s="48"/>
      <c r="DB903" s="48"/>
      <c r="DC903" s="48"/>
      <c r="DD903" s="48"/>
      <c r="DE903" s="48"/>
      <c r="DF903" s="48"/>
      <c r="DG903" s="48"/>
      <c r="DH903" s="48"/>
      <c r="DI903" s="48"/>
      <c r="DJ903" s="48"/>
      <c r="DK903" s="48"/>
      <c r="DL903" s="48"/>
      <c r="DM903" s="48"/>
      <c r="DN903" s="48"/>
      <c r="DO903" s="48"/>
      <c r="DP903" s="48"/>
      <c r="DQ903" s="48"/>
      <c r="DR903" s="48"/>
      <c r="DS903" s="48"/>
    </row>
    <row r="904" spans="1:123" ht="15">
      <c r="A904"/>
      <c r="B904"/>
      <c r="C904"/>
      <c r="D904"/>
      <c r="E904"/>
      <c r="F904"/>
      <c r="G904"/>
      <c r="H904"/>
      <c r="I904"/>
      <c r="J904"/>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48"/>
      <c r="BH904" s="48"/>
      <c r="BI904" s="48"/>
      <c r="BJ904" s="48"/>
      <c r="BK904" s="48"/>
      <c r="BL904" s="48"/>
      <c r="BM904" s="48"/>
      <c r="BN904" s="48"/>
      <c r="BO904" s="48"/>
      <c r="BP904" s="48"/>
      <c r="BQ904" s="48"/>
      <c r="BR904" s="48"/>
      <c r="BS904" s="48"/>
      <c r="BT904" s="48"/>
      <c r="BU904" s="48"/>
      <c r="BV904" s="48"/>
      <c r="BW904" s="48"/>
      <c r="BX904" s="48"/>
      <c r="BY904" s="48"/>
      <c r="BZ904" s="48"/>
      <c r="CA904" s="48"/>
      <c r="CB904" s="48"/>
      <c r="CC904" s="48"/>
      <c r="CD904" s="48"/>
      <c r="CE904" s="48"/>
      <c r="CF904" s="48"/>
      <c r="CG904" s="48"/>
      <c r="CH904" s="48"/>
      <c r="CI904" s="48"/>
      <c r="CJ904" s="48"/>
      <c r="CK904" s="48"/>
      <c r="CL904" s="48"/>
      <c r="CM904" s="48"/>
      <c r="CN904" s="48"/>
      <c r="CO904" s="48"/>
      <c r="CP904" s="48"/>
      <c r="CQ904" s="48"/>
      <c r="CR904" s="48"/>
      <c r="CS904" s="48"/>
      <c r="CT904" s="48"/>
      <c r="CU904" s="48"/>
      <c r="CV904" s="48"/>
      <c r="CW904" s="48"/>
      <c r="CX904" s="48"/>
      <c r="CY904" s="48"/>
      <c r="CZ904" s="48"/>
      <c r="DA904" s="48"/>
      <c r="DB904" s="48"/>
      <c r="DC904" s="48"/>
      <c r="DD904" s="48"/>
      <c r="DE904" s="48"/>
      <c r="DF904" s="48"/>
      <c r="DG904" s="48"/>
      <c r="DH904" s="48"/>
      <c r="DI904" s="48"/>
      <c r="DJ904" s="48"/>
      <c r="DK904" s="48"/>
      <c r="DL904" s="48"/>
      <c r="DM904" s="48"/>
      <c r="DN904" s="48"/>
      <c r="DO904" s="48"/>
      <c r="DP904" s="48"/>
      <c r="DQ904" s="48"/>
      <c r="DR904" s="48"/>
      <c r="DS904" s="48"/>
    </row>
    <row r="905" spans="1:123" ht="15">
      <c r="A905"/>
      <c r="B905"/>
      <c r="C905"/>
      <c r="D905"/>
      <c r="E905"/>
      <c r="F905"/>
      <c r="G905"/>
      <c r="H905"/>
      <c r="I905"/>
      <c r="J905"/>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48"/>
      <c r="BH905" s="48"/>
      <c r="BI905" s="48"/>
      <c r="BJ905" s="48"/>
      <c r="BK905" s="48"/>
      <c r="BL905" s="48"/>
      <c r="BM905" s="48"/>
      <c r="BN905" s="48"/>
      <c r="BO905" s="48"/>
      <c r="BP905" s="48"/>
      <c r="BQ905" s="48"/>
      <c r="BR905" s="48"/>
      <c r="BS905" s="48"/>
      <c r="BT905" s="48"/>
      <c r="BU905" s="48"/>
      <c r="BV905" s="48"/>
      <c r="BW905" s="48"/>
      <c r="BX905" s="48"/>
      <c r="BY905" s="48"/>
      <c r="BZ905" s="48"/>
      <c r="CA905" s="48"/>
      <c r="CB905" s="48"/>
      <c r="CC905" s="48"/>
      <c r="CD905" s="48"/>
      <c r="CE905" s="48"/>
      <c r="CF905" s="48"/>
      <c r="CG905" s="48"/>
      <c r="CH905" s="48"/>
      <c r="CI905" s="48"/>
      <c r="CJ905" s="48"/>
      <c r="CK905" s="48"/>
      <c r="CL905" s="48"/>
      <c r="CM905" s="48"/>
      <c r="CN905" s="48"/>
      <c r="CO905" s="48"/>
      <c r="CP905" s="48"/>
      <c r="CQ905" s="48"/>
      <c r="CR905" s="48"/>
      <c r="CS905" s="48"/>
      <c r="CT905" s="48"/>
      <c r="CU905" s="48"/>
      <c r="CV905" s="48"/>
      <c r="CW905" s="48"/>
      <c r="CX905" s="48"/>
      <c r="CY905" s="48"/>
      <c r="CZ905" s="48"/>
      <c r="DA905" s="48"/>
      <c r="DB905" s="48"/>
      <c r="DC905" s="48"/>
      <c r="DD905" s="48"/>
      <c r="DE905" s="48"/>
      <c r="DF905" s="48"/>
      <c r="DG905" s="48"/>
      <c r="DH905" s="48"/>
      <c r="DI905" s="48"/>
      <c r="DJ905" s="48"/>
      <c r="DK905" s="48"/>
      <c r="DL905" s="48"/>
      <c r="DM905" s="48"/>
      <c r="DN905" s="48"/>
      <c r="DO905" s="48"/>
      <c r="DP905" s="48"/>
      <c r="DQ905" s="48"/>
      <c r="DR905" s="48"/>
      <c r="DS905" s="48"/>
    </row>
    <row r="906" spans="1:123" ht="15">
      <c r="A906"/>
      <c r="B906"/>
      <c r="C906"/>
      <c r="D906"/>
      <c r="E906"/>
      <c r="F906"/>
      <c r="G906"/>
      <c r="H906"/>
      <c r="I906"/>
      <c r="J906"/>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48"/>
      <c r="BH906" s="48"/>
      <c r="BI906" s="48"/>
      <c r="BJ906" s="48"/>
      <c r="BK906" s="48"/>
      <c r="BL906" s="48"/>
      <c r="BM906" s="48"/>
      <c r="BN906" s="48"/>
      <c r="BO906" s="48"/>
      <c r="BP906" s="48"/>
      <c r="BQ906" s="48"/>
      <c r="BR906" s="48"/>
      <c r="BS906" s="48"/>
      <c r="BT906" s="48"/>
      <c r="BU906" s="48"/>
      <c r="BV906" s="48"/>
      <c r="BW906" s="48"/>
      <c r="BX906" s="48"/>
      <c r="BY906" s="48"/>
      <c r="BZ906" s="48"/>
      <c r="CA906" s="48"/>
      <c r="CB906" s="48"/>
      <c r="CC906" s="48"/>
      <c r="CD906" s="48"/>
      <c r="CE906" s="48"/>
      <c r="CF906" s="48"/>
      <c r="CG906" s="48"/>
      <c r="CH906" s="48"/>
      <c r="CI906" s="48"/>
      <c r="CJ906" s="48"/>
      <c r="CK906" s="48"/>
      <c r="CL906" s="48"/>
      <c r="CM906" s="48"/>
      <c r="CN906" s="48"/>
      <c r="CO906" s="48"/>
      <c r="CP906" s="48"/>
      <c r="CQ906" s="48"/>
      <c r="CR906" s="48"/>
      <c r="CS906" s="48"/>
      <c r="CT906" s="48"/>
      <c r="CU906" s="48"/>
      <c r="CV906" s="48"/>
      <c r="CW906" s="48"/>
      <c r="CX906" s="48"/>
      <c r="CY906" s="48"/>
      <c r="CZ906" s="48"/>
      <c r="DA906" s="48"/>
      <c r="DB906" s="48"/>
      <c r="DC906" s="48"/>
      <c r="DD906" s="48"/>
      <c r="DE906" s="48"/>
      <c r="DF906" s="48"/>
      <c r="DG906" s="48"/>
      <c r="DH906" s="48"/>
      <c r="DI906" s="48"/>
      <c r="DJ906" s="48"/>
      <c r="DK906" s="48"/>
      <c r="DL906" s="48"/>
      <c r="DM906" s="48"/>
      <c r="DN906" s="48"/>
      <c r="DO906" s="48"/>
      <c r="DP906" s="48"/>
      <c r="DQ906" s="48"/>
      <c r="DR906" s="48"/>
      <c r="DS906" s="48"/>
    </row>
    <row r="907" spans="1:123" ht="15">
      <c r="A907"/>
      <c r="B907"/>
      <c r="C907"/>
      <c r="D907"/>
      <c r="E907"/>
      <c r="F907"/>
      <c r="G907"/>
      <c r="H907"/>
      <c r="I907"/>
      <c r="J907"/>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48"/>
      <c r="BH907" s="48"/>
      <c r="BI907" s="48"/>
      <c r="BJ907" s="48"/>
      <c r="BK907" s="48"/>
      <c r="BL907" s="48"/>
      <c r="BM907" s="48"/>
      <c r="BN907" s="48"/>
      <c r="BO907" s="48"/>
      <c r="BP907" s="48"/>
      <c r="BQ907" s="48"/>
      <c r="BR907" s="48"/>
      <c r="BS907" s="48"/>
      <c r="BT907" s="48"/>
      <c r="BU907" s="48"/>
      <c r="BV907" s="48"/>
      <c r="BW907" s="48"/>
      <c r="BX907" s="48"/>
      <c r="BY907" s="48"/>
      <c r="BZ907" s="48"/>
      <c r="CA907" s="48"/>
      <c r="CB907" s="48"/>
      <c r="CC907" s="48"/>
      <c r="CD907" s="48"/>
      <c r="CE907" s="48"/>
      <c r="CF907" s="48"/>
      <c r="CG907" s="48"/>
      <c r="CH907" s="48"/>
      <c r="CI907" s="48"/>
      <c r="CJ907" s="48"/>
      <c r="CK907" s="48"/>
      <c r="CL907" s="48"/>
      <c r="CM907" s="48"/>
      <c r="CN907" s="48"/>
      <c r="CO907" s="48"/>
      <c r="CP907" s="48"/>
      <c r="CQ907" s="48"/>
      <c r="CR907" s="48"/>
      <c r="CS907" s="48"/>
      <c r="CT907" s="48"/>
      <c r="CU907" s="48"/>
      <c r="CV907" s="48"/>
      <c r="CW907" s="48"/>
      <c r="CX907" s="48"/>
      <c r="CY907" s="48"/>
      <c r="CZ907" s="48"/>
      <c r="DA907" s="48"/>
      <c r="DB907" s="48"/>
      <c r="DC907" s="48"/>
      <c r="DD907" s="48"/>
      <c r="DE907" s="48"/>
      <c r="DF907" s="48"/>
      <c r="DG907" s="48"/>
      <c r="DH907" s="48"/>
      <c r="DI907" s="48"/>
      <c r="DJ907" s="48"/>
      <c r="DK907" s="48"/>
      <c r="DL907" s="48"/>
      <c r="DM907" s="48"/>
      <c r="DN907" s="48"/>
      <c r="DO907" s="48"/>
      <c r="DP907" s="48"/>
      <c r="DQ907" s="48"/>
      <c r="DR907" s="48"/>
      <c r="DS907" s="48"/>
    </row>
    <row r="908" spans="1:123" ht="15">
      <c r="A908"/>
      <c r="B908"/>
      <c r="C908"/>
      <c r="D908"/>
      <c r="E908"/>
      <c r="F908"/>
      <c r="G908"/>
      <c r="H908"/>
      <c r="I908"/>
      <c r="J90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48"/>
      <c r="BH908" s="48"/>
      <c r="BI908" s="48"/>
      <c r="BJ908" s="48"/>
      <c r="BK908" s="48"/>
      <c r="BL908" s="48"/>
      <c r="BM908" s="48"/>
      <c r="BN908" s="48"/>
      <c r="BO908" s="48"/>
      <c r="BP908" s="48"/>
      <c r="BQ908" s="48"/>
      <c r="BR908" s="48"/>
      <c r="BS908" s="48"/>
      <c r="BT908" s="48"/>
      <c r="BU908" s="48"/>
      <c r="BV908" s="48"/>
      <c r="BW908" s="48"/>
      <c r="BX908" s="48"/>
      <c r="BY908" s="48"/>
      <c r="BZ908" s="48"/>
      <c r="CA908" s="48"/>
      <c r="CB908" s="48"/>
      <c r="CC908" s="48"/>
      <c r="CD908" s="48"/>
      <c r="CE908" s="48"/>
      <c r="CF908" s="48"/>
      <c r="CG908" s="48"/>
      <c r="CH908" s="48"/>
      <c r="CI908" s="48"/>
      <c r="CJ908" s="48"/>
      <c r="CK908" s="48"/>
      <c r="CL908" s="48"/>
      <c r="CM908" s="48"/>
      <c r="CN908" s="48"/>
      <c r="CO908" s="48"/>
      <c r="CP908" s="48"/>
      <c r="CQ908" s="48"/>
      <c r="CR908" s="48"/>
      <c r="CS908" s="48"/>
      <c r="CT908" s="48"/>
      <c r="CU908" s="48"/>
      <c r="CV908" s="48"/>
      <c r="CW908" s="48"/>
      <c r="CX908" s="48"/>
      <c r="CY908" s="48"/>
      <c r="CZ908" s="48"/>
      <c r="DA908" s="48"/>
      <c r="DB908" s="48"/>
      <c r="DC908" s="48"/>
      <c r="DD908" s="48"/>
      <c r="DE908" s="48"/>
      <c r="DF908" s="48"/>
      <c r="DG908" s="48"/>
      <c r="DH908" s="48"/>
      <c r="DI908" s="48"/>
      <c r="DJ908" s="48"/>
      <c r="DK908" s="48"/>
      <c r="DL908" s="48"/>
      <c r="DM908" s="48"/>
      <c r="DN908" s="48"/>
      <c r="DO908" s="48"/>
      <c r="DP908" s="48"/>
      <c r="DQ908" s="48"/>
      <c r="DR908" s="48"/>
      <c r="DS908" s="48"/>
    </row>
    <row r="909" spans="1:123" ht="15">
      <c r="A909"/>
      <c r="B909"/>
      <c r="C909"/>
      <c r="D909"/>
      <c r="E909"/>
      <c r="F909"/>
      <c r="G909"/>
      <c r="H909"/>
      <c r="I909"/>
      <c r="J909"/>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48"/>
      <c r="BH909" s="48"/>
      <c r="BI909" s="48"/>
      <c r="BJ909" s="48"/>
      <c r="BK909" s="48"/>
      <c r="BL909" s="48"/>
      <c r="BM909" s="48"/>
      <c r="BN909" s="48"/>
      <c r="BO909" s="48"/>
      <c r="BP909" s="48"/>
      <c r="BQ909" s="48"/>
      <c r="BR909" s="48"/>
      <c r="BS909" s="48"/>
      <c r="BT909" s="48"/>
      <c r="BU909" s="48"/>
      <c r="BV909" s="48"/>
      <c r="BW909" s="48"/>
      <c r="BX909" s="48"/>
      <c r="BY909" s="48"/>
      <c r="BZ909" s="48"/>
      <c r="CA909" s="48"/>
      <c r="CB909" s="48"/>
      <c r="CC909" s="48"/>
      <c r="CD909" s="48"/>
      <c r="CE909" s="48"/>
      <c r="CF909" s="48"/>
      <c r="CG909" s="48"/>
      <c r="CH909" s="48"/>
      <c r="CI909" s="48"/>
      <c r="CJ909" s="48"/>
      <c r="CK909" s="48"/>
      <c r="CL909" s="48"/>
      <c r="CM909" s="48"/>
      <c r="CN909" s="48"/>
      <c r="CO909" s="48"/>
      <c r="CP909" s="48"/>
      <c r="CQ909" s="48"/>
      <c r="CR909" s="48"/>
      <c r="CS909" s="48"/>
      <c r="CT909" s="48"/>
      <c r="CU909" s="48"/>
      <c r="CV909" s="48"/>
      <c r="CW909" s="48"/>
      <c r="CX909" s="48"/>
      <c r="CY909" s="48"/>
      <c r="CZ909" s="48"/>
      <c r="DA909" s="48"/>
      <c r="DB909" s="48"/>
      <c r="DC909" s="48"/>
      <c r="DD909" s="48"/>
      <c r="DE909" s="48"/>
      <c r="DF909" s="48"/>
      <c r="DG909" s="48"/>
      <c r="DH909" s="48"/>
      <c r="DI909" s="48"/>
      <c r="DJ909" s="48"/>
      <c r="DK909" s="48"/>
      <c r="DL909" s="48"/>
      <c r="DM909" s="48"/>
      <c r="DN909" s="48"/>
      <c r="DO909" s="48"/>
      <c r="DP909" s="48"/>
      <c r="DQ909" s="48"/>
      <c r="DR909" s="48"/>
      <c r="DS909" s="48"/>
    </row>
    <row r="910" spans="1:123" ht="15">
      <c r="A910"/>
      <c r="B910"/>
      <c r="C910"/>
      <c r="D910"/>
      <c r="E910"/>
      <c r="F910"/>
      <c r="G910"/>
      <c r="H910"/>
      <c r="I910"/>
      <c r="J910"/>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48"/>
      <c r="BH910" s="48"/>
      <c r="BI910" s="48"/>
      <c r="BJ910" s="48"/>
      <c r="BK910" s="48"/>
      <c r="BL910" s="48"/>
      <c r="BM910" s="48"/>
      <c r="BN910" s="48"/>
      <c r="BO910" s="48"/>
      <c r="BP910" s="48"/>
      <c r="BQ910" s="48"/>
      <c r="BR910" s="48"/>
      <c r="BS910" s="48"/>
      <c r="BT910" s="48"/>
      <c r="BU910" s="48"/>
      <c r="BV910" s="48"/>
      <c r="BW910" s="48"/>
      <c r="BX910" s="48"/>
      <c r="BY910" s="48"/>
      <c r="BZ910" s="48"/>
      <c r="CA910" s="48"/>
      <c r="CB910" s="48"/>
      <c r="CC910" s="48"/>
      <c r="CD910" s="48"/>
      <c r="CE910" s="48"/>
      <c r="CF910" s="48"/>
      <c r="CG910" s="48"/>
      <c r="CH910" s="48"/>
      <c r="CI910" s="48"/>
      <c r="CJ910" s="48"/>
      <c r="CK910" s="48"/>
      <c r="CL910" s="48"/>
      <c r="CM910" s="48"/>
      <c r="CN910" s="48"/>
      <c r="CO910" s="48"/>
      <c r="CP910" s="48"/>
      <c r="CQ910" s="48"/>
      <c r="CR910" s="48"/>
      <c r="CS910" s="48"/>
      <c r="CT910" s="48"/>
      <c r="CU910" s="48"/>
      <c r="CV910" s="48"/>
      <c r="CW910" s="48"/>
      <c r="CX910" s="48"/>
      <c r="CY910" s="48"/>
      <c r="CZ910" s="48"/>
      <c r="DA910" s="48"/>
      <c r="DB910" s="48"/>
      <c r="DC910" s="48"/>
      <c r="DD910" s="48"/>
      <c r="DE910" s="48"/>
      <c r="DF910" s="48"/>
      <c r="DG910" s="48"/>
      <c r="DH910" s="48"/>
      <c r="DI910" s="48"/>
      <c r="DJ910" s="48"/>
      <c r="DK910" s="48"/>
      <c r="DL910" s="48"/>
      <c r="DM910" s="48"/>
      <c r="DN910" s="48"/>
      <c r="DO910" s="48"/>
      <c r="DP910" s="48"/>
      <c r="DQ910" s="48"/>
      <c r="DR910" s="48"/>
      <c r="DS910" s="48"/>
    </row>
    <row r="911" spans="1:123" ht="15">
      <c r="A911"/>
      <c r="B911"/>
      <c r="C911"/>
      <c r="D911"/>
      <c r="E911"/>
      <c r="F911"/>
      <c r="G911"/>
      <c r="H911"/>
      <c r="I911"/>
      <c r="J911"/>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48"/>
      <c r="BH911" s="48"/>
      <c r="BI911" s="48"/>
      <c r="BJ911" s="48"/>
      <c r="BK911" s="48"/>
      <c r="BL911" s="48"/>
      <c r="BM911" s="48"/>
      <c r="BN911" s="48"/>
      <c r="BO911" s="48"/>
      <c r="BP911" s="48"/>
      <c r="BQ911" s="48"/>
      <c r="BR911" s="48"/>
      <c r="BS911" s="48"/>
      <c r="BT911" s="48"/>
      <c r="BU911" s="48"/>
      <c r="BV911" s="48"/>
      <c r="BW911" s="48"/>
      <c r="BX911" s="48"/>
      <c r="BY911" s="48"/>
      <c r="BZ911" s="48"/>
      <c r="CA911" s="48"/>
      <c r="CB911" s="48"/>
      <c r="CC911" s="48"/>
      <c r="CD911" s="48"/>
      <c r="CE911" s="48"/>
      <c r="CF911" s="48"/>
      <c r="CG911" s="48"/>
      <c r="CH911" s="48"/>
      <c r="CI911" s="48"/>
      <c r="CJ911" s="48"/>
      <c r="CK911" s="48"/>
      <c r="CL911" s="48"/>
      <c r="CM911" s="48"/>
      <c r="CN911" s="48"/>
      <c r="CO911" s="48"/>
      <c r="CP911" s="48"/>
      <c r="CQ911" s="48"/>
      <c r="CR911" s="48"/>
      <c r="CS911" s="48"/>
      <c r="CT911" s="48"/>
      <c r="CU911" s="48"/>
      <c r="CV911" s="48"/>
      <c r="CW911" s="48"/>
      <c r="CX911" s="48"/>
      <c r="CY911" s="48"/>
      <c r="CZ911" s="48"/>
      <c r="DA911" s="48"/>
      <c r="DB911" s="48"/>
      <c r="DC911" s="48"/>
      <c r="DD911" s="48"/>
      <c r="DE911" s="48"/>
      <c r="DF911" s="48"/>
      <c r="DG911" s="48"/>
      <c r="DH911" s="48"/>
      <c r="DI911" s="48"/>
      <c r="DJ911" s="48"/>
      <c r="DK911" s="48"/>
      <c r="DL911" s="48"/>
      <c r="DM911" s="48"/>
      <c r="DN911" s="48"/>
      <c r="DO911" s="48"/>
      <c r="DP911" s="48"/>
      <c r="DQ911" s="48"/>
      <c r="DR911" s="48"/>
      <c r="DS911" s="48"/>
    </row>
    <row r="912" spans="1:123" ht="15">
      <c r="A912"/>
      <c r="B912"/>
      <c r="C912"/>
      <c r="D912"/>
      <c r="E912"/>
      <c r="F912"/>
      <c r="G912"/>
      <c r="H912"/>
      <c r="I912"/>
      <c r="J912"/>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48"/>
      <c r="BH912" s="48"/>
      <c r="BI912" s="48"/>
      <c r="BJ912" s="48"/>
      <c r="BK912" s="48"/>
      <c r="BL912" s="48"/>
      <c r="BM912" s="48"/>
      <c r="BN912" s="48"/>
      <c r="BO912" s="48"/>
      <c r="BP912" s="48"/>
      <c r="BQ912" s="48"/>
      <c r="BR912" s="48"/>
      <c r="BS912" s="48"/>
      <c r="BT912" s="48"/>
      <c r="BU912" s="48"/>
      <c r="BV912" s="48"/>
      <c r="BW912" s="48"/>
      <c r="BX912" s="48"/>
      <c r="BY912" s="48"/>
      <c r="BZ912" s="48"/>
      <c r="CA912" s="48"/>
      <c r="CB912" s="48"/>
      <c r="CC912" s="48"/>
      <c r="CD912" s="48"/>
      <c r="CE912" s="48"/>
      <c r="CF912" s="48"/>
      <c r="CG912" s="48"/>
      <c r="CH912" s="48"/>
      <c r="CI912" s="48"/>
      <c r="CJ912" s="48"/>
      <c r="CK912" s="48"/>
      <c r="CL912" s="48"/>
      <c r="CM912" s="48"/>
      <c r="CN912" s="48"/>
      <c r="CO912" s="48"/>
      <c r="CP912" s="48"/>
      <c r="CQ912" s="48"/>
      <c r="CR912" s="48"/>
      <c r="CS912" s="48"/>
      <c r="CT912" s="48"/>
      <c r="CU912" s="48"/>
      <c r="CV912" s="48"/>
      <c r="CW912" s="48"/>
      <c r="CX912" s="48"/>
      <c r="CY912" s="48"/>
      <c r="CZ912" s="48"/>
      <c r="DA912" s="48"/>
      <c r="DB912" s="48"/>
      <c r="DC912" s="48"/>
      <c r="DD912" s="48"/>
      <c r="DE912" s="48"/>
      <c r="DF912" s="48"/>
      <c r="DG912" s="48"/>
      <c r="DH912" s="48"/>
      <c r="DI912" s="48"/>
      <c r="DJ912" s="48"/>
      <c r="DK912" s="48"/>
      <c r="DL912" s="48"/>
      <c r="DM912" s="48"/>
      <c r="DN912" s="48"/>
      <c r="DO912" s="48"/>
      <c r="DP912" s="48"/>
      <c r="DQ912" s="48"/>
      <c r="DR912" s="48"/>
      <c r="DS912" s="48"/>
    </row>
    <row r="913" spans="1:123" ht="15">
      <c r="A913"/>
      <c r="B913"/>
      <c r="C913"/>
      <c r="D913"/>
      <c r="E913"/>
      <c r="F913"/>
      <c r="G913"/>
      <c r="H913"/>
      <c r="I913"/>
      <c r="J913"/>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48"/>
      <c r="BH913" s="48"/>
      <c r="BI913" s="48"/>
      <c r="BJ913" s="48"/>
      <c r="BK913" s="48"/>
      <c r="BL913" s="48"/>
      <c r="BM913" s="48"/>
      <c r="BN913" s="48"/>
      <c r="BO913" s="48"/>
      <c r="BP913" s="48"/>
      <c r="BQ913" s="48"/>
      <c r="BR913" s="48"/>
      <c r="BS913" s="48"/>
      <c r="BT913" s="48"/>
      <c r="BU913" s="48"/>
      <c r="BV913" s="48"/>
      <c r="BW913" s="48"/>
      <c r="BX913" s="48"/>
      <c r="BY913" s="48"/>
      <c r="BZ913" s="48"/>
      <c r="CA913" s="48"/>
      <c r="CB913" s="48"/>
      <c r="CC913" s="48"/>
      <c r="CD913" s="48"/>
      <c r="CE913" s="48"/>
      <c r="CF913" s="48"/>
      <c r="CG913" s="48"/>
      <c r="CH913" s="48"/>
      <c r="CI913" s="48"/>
      <c r="CJ913" s="48"/>
      <c r="CK913" s="48"/>
      <c r="CL913" s="48"/>
      <c r="CM913" s="48"/>
      <c r="CN913" s="48"/>
      <c r="CO913" s="48"/>
      <c r="CP913" s="48"/>
      <c r="CQ913" s="48"/>
      <c r="CR913" s="48"/>
      <c r="CS913" s="48"/>
      <c r="CT913" s="48"/>
      <c r="CU913" s="48"/>
      <c r="CV913" s="48"/>
      <c r="CW913" s="48"/>
      <c r="CX913" s="48"/>
      <c r="CY913" s="48"/>
      <c r="CZ913" s="48"/>
      <c r="DA913" s="48"/>
      <c r="DB913" s="48"/>
      <c r="DC913" s="48"/>
      <c r="DD913" s="48"/>
      <c r="DE913" s="48"/>
      <c r="DF913" s="48"/>
      <c r="DG913" s="48"/>
      <c r="DH913" s="48"/>
      <c r="DI913" s="48"/>
      <c r="DJ913" s="48"/>
      <c r="DK913" s="48"/>
      <c r="DL913" s="48"/>
      <c r="DM913" s="48"/>
      <c r="DN913" s="48"/>
      <c r="DO913" s="48"/>
      <c r="DP913" s="48"/>
      <c r="DQ913" s="48"/>
      <c r="DR913" s="48"/>
      <c r="DS913" s="48"/>
    </row>
    <row r="914" spans="1:123" ht="15">
      <c r="A914"/>
      <c r="B914"/>
      <c r="C914"/>
      <c r="D914"/>
      <c r="E914"/>
      <c r="F914"/>
      <c r="G914"/>
      <c r="H914"/>
      <c r="I914"/>
      <c r="J914"/>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48"/>
      <c r="BH914" s="48"/>
      <c r="BI914" s="48"/>
      <c r="BJ914" s="48"/>
      <c r="BK914" s="48"/>
      <c r="BL914" s="48"/>
      <c r="BM914" s="48"/>
      <c r="BN914" s="48"/>
      <c r="BO914" s="48"/>
      <c r="BP914" s="48"/>
      <c r="BQ914" s="48"/>
      <c r="BR914" s="48"/>
      <c r="BS914" s="48"/>
      <c r="BT914" s="48"/>
      <c r="BU914" s="48"/>
      <c r="BV914" s="48"/>
      <c r="BW914" s="48"/>
      <c r="BX914" s="48"/>
      <c r="BY914" s="48"/>
      <c r="BZ914" s="48"/>
      <c r="CA914" s="48"/>
      <c r="CB914" s="48"/>
      <c r="CC914" s="48"/>
      <c r="CD914" s="48"/>
      <c r="CE914" s="48"/>
      <c r="CF914" s="48"/>
      <c r="CG914" s="48"/>
      <c r="CH914" s="48"/>
      <c r="CI914" s="48"/>
      <c r="CJ914" s="48"/>
      <c r="CK914" s="48"/>
      <c r="CL914" s="48"/>
      <c r="CM914" s="48"/>
      <c r="CN914" s="48"/>
      <c r="CO914" s="48"/>
      <c r="CP914" s="48"/>
      <c r="CQ914" s="48"/>
      <c r="CR914" s="48"/>
      <c r="CS914" s="48"/>
      <c r="CT914" s="48"/>
      <c r="CU914" s="48"/>
      <c r="CV914" s="48"/>
      <c r="CW914" s="48"/>
      <c r="CX914" s="48"/>
      <c r="CY914" s="48"/>
      <c r="CZ914" s="48"/>
      <c r="DA914" s="48"/>
      <c r="DB914" s="48"/>
      <c r="DC914" s="48"/>
      <c r="DD914" s="48"/>
      <c r="DE914" s="48"/>
      <c r="DF914" s="48"/>
      <c r="DG914" s="48"/>
      <c r="DH914" s="48"/>
      <c r="DI914" s="48"/>
      <c r="DJ914" s="48"/>
      <c r="DK914" s="48"/>
      <c r="DL914" s="48"/>
      <c r="DM914" s="48"/>
      <c r="DN914" s="48"/>
      <c r="DO914" s="48"/>
      <c r="DP914" s="48"/>
      <c r="DQ914" s="48"/>
      <c r="DR914" s="48"/>
      <c r="DS914" s="48"/>
    </row>
    <row r="915" spans="1:123" ht="15">
      <c r="A915"/>
      <c r="B915"/>
      <c r="C915"/>
      <c r="D915"/>
      <c r="E915"/>
      <c r="F915"/>
      <c r="G915"/>
      <c r="H915"/>
      <c r="I915"/>
      <c r="J915"/>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48"/>
      <c r="BH915" s="48"/>
      <c r="BI915" s="48"/>
      <c r="BJ915" s="48"/>
      <c r="BK915" s="48"/>
      <c r="BL915" s="48"/>
      <c r="BM915" s="48"/>
      <c r="BN915" s="48"/>
      <c r="BO915" s="48"/>
      <c r="BP915" s="48"/>
      <c r="BQ915" s="48"/>
      <c r="BR915" s="48"/>
      <c r="BS915" s="48"/>
      <c r="BT915" s="48"/>
      <c r="BU915" s="48"/>
      <c r="BV915" s="48"/>
      <c r="BW915" s="48"/>
      <c r="BX915" s="48"/>
      <c r="BY915" s="48"/>
      <c r="BZ915" s="48"/>
      <c r="CA915" s="48"/>
      <c r="CB915" s="48"/>
      <c r="CC915" s="48"/>
      <c r="CD915" s="48"/>
      <c r="CE915" s="48"/>
      <c r="CF915" s="48"/>
      <c r="CG915" s="48"/>
      <c r="CH915" s="48"/>
      <c r="CI915" s="48"/>
      <c r="CJ915" s="48"/>
      <c r="CK915" s="48"/>
      <c r="CL915" s="48"/>
      <c r="CM915" s="48"/>
      <c r="CN915" s="48"/>
      <c r="CO915" s="48"/>
      <c r="CP915" s="48"/>
      <c r="CQ915" s="48"/>
      <c r="CR915" s="48"/>
      <c r="CS915" s="48"/>
      <c r="CT915" s="48"/>
      <c r="CU915" s="48"/>
      <c r="CV915" s="48"/>
      <c r="CW915" s="48"/>
      <c r="CX915" s="48"/>
      <c r="CY915" s="48"/>
      <c r="CZ915" s="48"/>
      <c r="DA915" s="48"/>
      <c r="DB915" s="48"/>
      <c r="DC915" s="48"/>
      <c r="DD915" s="48"/>
      <c r="DE915" s="48"/>
      <c r="DF915" s="48"/>
      <c r="DG915" s="48"/>
      <c r="DH915" s="48"/>
      <c r="DI915" s="48"/>
      <c r="DJ915" s="48"/>
      <c r="DK915" s="48"/>
      <c r="DL915" s="48"/>
      <c r="DM915" s="48"/>
      <c r="DN915" s="48"/>
      <c r="DO915" s="48"/>
      <c r="DP915" s="48"/>
      <c r="DQ915" s="48"/>
      <c r="DR915" s="48"/>
      <c r="DS915" s="48"/>
    </row>
    <row r="916" spans="1:123" ht="15">
      <c r="A916"/>
      <c r="B916"/>
      <c r="C916"/>
      <c r="D916"/>
      <c r="E916"/>
      <c r="F916"/>
      <c r="G916"/>
      <c r="H916"/>
      <c r="I916"/>
      <c r="J916"/>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48"/>
      <c r="BH916" s="48"/>
      <c r="BI916" s="48"/>
      <c r="BJ916" s="48"/>
      <c r="BK916" s="48"/>
      <c r="BL916" s="48"/>
      <c r="BM916" s="48"/>
      <c r="BN916" s="48"/>
      <c r="BO916" s="48"/>
      <c r="BP916" s="48"/>
      <c r="BQ916" s="48"/>
      <c r="BR916" s="48"/>
      <c r="BS916" s="48"/>
      <c r="BT916" s="48"/>
      <c r="BU916" s="48"/>
      <c r="BV916" s="48"/>
      <c r="BW916" s="48"/>
      <c r="BX916" s="48"/>
      <c r="BY916" s="48"/>
      <c r="BZ916" s="48"/>
      <c r="CA916" s="48"/>
      <c r="CB916" s="48"/>
      <c r="CC916" s="48"/>
      <c r="CD916" s="48"/>
      <c r="CE916" s="48"/>
      <c r="CF916" s="48"/>
      <c r="CG916" s="48"/>
      <c r="CH916" s="48"/>
      <c r="CI916" s="48"/>
      <c r="CJ916" s="48"/>
      <c r="CK916" s="48"/>
      <c r="CL916" s="48"/>
      <c r="CM916" s="48"/>
      <c r="CN916" s="48"/>
      <c r="CO916" s="48"/>
      <c r="CP916" s="48"/>
      <c r="CQ916" s="48"/>
      <c r="CR916" s="48"/>
      <c r="CS916" s="48"/>
      <c r="CT916" s="48"/>
      <c r="CU916" s="48"/>
      <c r="CV916" s="48"/>
      <c r="CW916" s="48"/>
      <c r="CX916" s="48"/>
      <c r="CY916" s="48"/>
      <c r="CZ916" s="48"/>
      <c r="DA916" s="48"/>
      <c r="DB916" s="48"/>
      <c r="DC916" s="48"/>
      <c r="DD916" s="48"/>
      <c r="DE916" s="48"/>
      <c r="DF916" s="48"/>
      <c r="DG916" s="48"/>
      <c r="DH916" s="48"/>
      <c r="DI916" s="48"/>
      <c r="DJ916" s="48"/>
      <c r="DK916" s="48"/>
      <c r="DL916" s="48"/>
      <c r="DM916" s="48"/>
      <c r="DN916" s="48"/>
      <c r="DO916" s="48"/>
      <c r="DP916" s="48"/>
      <c r="DQ916" s="48"/>
      <c r="DR916" s="48"/>
      <c r="DS916" s="48"/>
    </row>
    <row r="917" spans="1:123" ht="15">
      <c r="A917"/>
      <c r="B917"/>
      <c r="C917"/>
      <c r="D917"/>
      <c r="E917"/>
      <c r="F917"/>
      <c r="G917"/>
      <c r="H917"/>
      <c r="I917"/>
      <c r="J917"/>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48"/>
      <c r="BH917" s="48"/>
      <c r="BI917" s="48"/>
      <c r="BJ917" s="48"/>
      <c r="BK917" s="48"/>
      <c r="BL917" s="48"/>
      <c r="BM917" s="48"/>
      <c r="BN917" s="48"/>
      <c r="BO917" s="48"/>
      <c r="BP917" s="48"/>
      <c r="BQ917" s="48"/>
      <c r="BR917" s="48"/>
      <c r="BS917" s="48"/>
      <c r="BT917" s="48"/>
      <c r="BU917" s="48"/>
      <c r="BV917" s="48"/>
      <c r="BW917" s="48"/>
      <c r="BX917" s="48"/>
      <c r="BY917" s="48"/>
      <c r="BZ917" s="48"/>
      <c r="CA917" s="48"/>
      <c r="CB917" s="48"/>
      <c r="CC917" s="48"/>
      <c r="CD917" s="48"/>
      <c r="CE917" s="48"/>
      <c r="CF917" s="48"/>
      <c r="CG917" s="48"/>
      <c r="CH917" s="48"/>
      <c r="CI917" s="48"/>
      <c r="CJ917" s="48"/>
      <c r="CK917" s="48"/>
      <c r="CL917" s="48"/>
      <c r="CM917" s="48"/>
      <c r="CN917" s="48"/>
      <c r="CO917" s="48"/>
      <c r="CP917" s="48"/>
      <c r="CQ917" s="48"/>
      <c r="CR917" s="48"/>
      <c r="CS917" s="48"/>
      <c r="CT917" s="48"/>
      <c r="CU917" s="48"/>
      <c r="CV917" s="48"/>
      <c r="CW917" s="48"/>
      <c r="CX917" s="48"/>
      <c r="CY917" s="48"/>
      <c r="CZ917" s="48"/>
      <c r="DA917" s="48"/>
      <c r="DB917" s="48"/>
      <c r="DC917" s="48"/>
      <c r="DD917" s="48"/>
      <c r="DE917" s="48"/>
      <c r="DF917" s="48"/>
      <c r="DG917" s="48"/>
      <c r="DH917" s="48"/>
      <c r="DI917" s="48"/>
      <c r="DJ917" s="48"/>
      <c r="DK917" s="48"/>
      <c r="DL917" s="48"/>
      <c r="DM917" s="48"/>
      <c r="DN917" s="48"/>
      <c r="DO917" s="48"/>
      <c r="DP917" s="48"/>
      <c r="DQ917" s="48"/>
      <c r="DR917" s="48"/>
      <c r="DS917" s="48"/>
    </row>
    <row r="918" spans="1:123" ht="15">
      <c r="A918"/>
      <c r="B918"/>
      <c r="C918"/>
      <c r="D918"/>
      <c r="E918"/>
      <c r="F918"/>
      <c r="G918"/>
      <c r="H918"/>
      <c r="I918"/>
      <c r="J91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48"/>
      <c r="BH918" s="48"/>
      <c r="BI918" s="48"/>
      <c r="BJ918" s="48"/>
      <c r="BK918" s="48"/>
      <c r="BL918" s="48"/>
      <c r="BM918" s="48"/>
      <c r="BN918" s="48"/>
      <c r="BO918" s="48"/>
      <c r="BP918" s="48"/>
      <c r="BQ918" s="48"/>
      <c r="BR918" s="48"/>
      <c r="BS918" s="48"/>
      <c r="BT918" s="48"/>
      <c r="BU918" s="48"/>
      <c r="BV918" s="48"/>
      <c r="BW918" s="48"/>
      <c r="BX918" s="48"/>
      <c r="BY918" s="48"/>
      <c r="BZ918" s="48"/>
      <c r="CA918" s="48"/>
      <c r="CB918" s="48"/>
      <c r="CC918" s="48"/>
      <c r="CD918" s="48"/>
      <c r="CE918" s="48"/>
      <c r="CF918" s="48"/>
      <c r="CG918" s="48"/>
      <c r="CH918" s="48"/>
      <c r="CI918" s="48"/>
      <c r="CJ918" s="48"/>
      <c r="CK918" s="48"/>
      <c r="CL918" s="48"/>
      <c r="CM918" s="48"/>
      <c r="CN918" s="48"/>
      <c r="CO918" s="48"/>
      <c r="CP918" s="48"/>
      <c r="CQ918" s="48"/>
      <c r="CR918" s="48"/>
      <c r="CS918" s="48"/>
      <c r="CT918" s="48"/>
      <c r="CU918" s="48"/>
      <c r="CV918" s="48"/>
      <c r="CW918" s="48"/>
      <c r="CX918" s="48"/>
      <c r="CY918" s="48"/>
      <c r="CZ918" s="48"/>
      <c r="DA918" s="48"/>
      <c r="DB918" s="48"/>
      <c r="DC918" s="48"/>
      <c r="DD918" s="48"/>
      <c r="DE918" s="48"/>
      <c r="DF918" s="48"/>
      <c r="DG918" s="48"/>
      <c r="DH918" s="48"/>
      <c r="DI918" s="48"/>
      <c r="DJ918" s="48"/>
      <c r="DK918" s="48"/>
      <c r="DL918" s="48"/>
      <c r="DM918" s="48"/>
      <c r="DN918" s="48"/>
      <c r="DO918" s="48"/>
      <c r="DP918" s="48"/>
      <c r="DQ918" s="48"/>
      <c r="DR918" s="48"/>
      <c r="DS918" s="48"/>
    </row>
    <row r="919" spans="1:123" ht="15">
      <c r="A919"/>
      <c r="B919"/>
      <c r="C919"/>
      <c r="D919"/>
      <c r="E919"/>
      <c r="F919"/>
      <c r="G919"/>
      <c r="H919"/>
      <c r="I919"/>
      <c r="J919"/>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48"/>
      <c r="BH919" s="48"/>
      <c r="BI919" s="48"/>
      <c r="BJ919" s="48"/>
      <c r="BK919" s="48"/>
      <c r="BL919" s="48"/>
      <c r="BM919" s="48"/>
      <c r="BN919" s="48"/>
      <c r="BO919" s="48"/>
      <c r="BP919" s="48"/>
      <c r="BQ919" s="48"/>
      <c r="BR919" s="48"/>
      <c r="BS919" s="48"/>
      <c r="BT919" s="48"/>
      <c r="BU919" s="48"/>
      <c r="BV919" s="48"/>
      <c r="BW919" s="48"/>
      <c r="BX919" s="48"/>
      <c r="BY919" s="48"/>
      <c r="BZ919" s="48"/>
      <c r="CA919" s="48"/>
      <c r="CB919" s="48"/>
      <c r="CC919" s="48"/>
      <c r="CD919" s="48"/>
      <c r="CE919" s="48"/>
      <c r="CF919" s="48"/>
      <c r="CG919" s="48"/>
      <c r="CH919" s="48"/>
      <c r="CI919" s="48"/>
      <c r="CJ919" s="48"/>
      <c r="CK919" s="48"/>
      <c r="CL919" s="48"/>
      <c r="CM919" s="48"/>
      <c r="CN919" s="48"/>
      <c r="CO919" s="48"/>
      <c r="CP919" s="48"/>
      <c r="CQ919" s="48"/>
      <c r="CR919" s="48"/>
      <c r="CS919" s="48"/>
      <c r="CT919" s="48"/>
      <c r="CU919" s="48"/>
      <c r="CV919" s="48"/>
      <c r="CW919" s="48"/>
      <c r="CX919" s="48"/>
      <c r="CY919" s="48"/>
      <c r="CZ919" s="48"/>
      <c r="DA919" s="48"/>
      <c r="DB919" s="48"/>
      <c r="DC919" s="48"/>
      <c r="DD919" s="48"/>
      <c r="DE919" s="48"/>
      <c r="DF919" s="48"/>
      <c r="DG919" s="48"/>
      <c r="DH919" s="48"/>
      <c r="DI919" s="48"/>
      <c r="DJ919" s="48"/>
      <c r="DK919" s="48"/>
      <c r="DL919" s="48"/>
      <c r="DM919" s="48"/>
      <c r="DN919" s="48"/>
      <c r="DO919" s="48"/>
      <c r="DP919" s="48"/>
      <c r="DQ919" s="48"/>
      <c r="DR919" s="48"/>
      <c r="DS919" s="48"/>
    </row>
    <row r="920" spans="1:123" ht="15">
      <c r="A920"/>
      <c r="B920"/>
      <c r="C920"/>
      <c r="D920"/>
      <c r="E920"/>
      <c r="F920"/>
      <c r="G920"/>
      <c r="H920"/>
      <c r="I920"/>
      <c r="J920"/>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48"/>
      <c r="BH920" s="48"/>
      <c r="BI920" s="48"/>
      <c r="BJ920" s="48"/>
      <c r="BK920" s="48"/>
      <c r="BL920" s="48"/>
      <c r="BM920" s="48"/>
      <c r="BN920" s="48"/>
      <c r="BO920" s="48"/>
      <c r="BP920" s="48"/>
      <c r="BQ920" s="48"/>
      <c r="BR920" s="48"/>
      <c r="BS920" s="48"/>
      <c r="BT920" s="48"/>
      <c r="BU920" s="48"/>
      <c r="BV920" s="48"/>
      <c r="BW920" s="48"/>
      <c r="BX920" s="48"/>
      <c r="BY920" s="48"/>
      <c r="BZ920" s="48"/>
      <c r="CA920" s="48"/>
      <c r="CB920" s="48"/>
      <c r="CC920" s="48"/>
      <c r="CD920" s="48"/>
      <c r="CE920" s="48"/>
      <c r="CF920" s="48"/>
      <c r="CG920" s="48"/>
      <c r="CH920" s="48"/>
      <c r="CI920" s="48"/>
      <c r="CJ920" s="48"/>
      <c r="CK920" s="48"/>
      <c r="CL920" s="48"/>
      <c r="CM920" s="48"/>
      <c r="CN920" s="48"/>
      <c r="CO920" s="48"/>
      <c r="CP920" s="48"/>
      <c r="CQ920" s="48"/>
      <c r="CR920" s="48"/>
      <c r="CS920" s="48"/>
      <c r="CT920" s="48"/>
      <c r="CU920" s="48"/>
      <c r="CV920" s="48"/>
      <c r="CW920" s="48"/>
      <c r="CX920" s="48"/>
      <c r="CY920" s="48"/>
      <c r="CZ920" s="48"/>
      <c r="DA920" s="48"/>
      <c r="DB920" s="48"/>
      <c r="DC920" s="48"/>
      <c r="DD920" s="48"/>
      <c r="DE920" s="48"/>
      <c r="DF920" s="48"/>
      <c r="DG920" s="48"/>
      <c r="DH920" s="48"/>
      <c r="DI920" s="48"/>
      <c r="DJ920" s="48"/>
      <c r="DK920" s="48"/>
      <c r="DL920" s="48"/>
      <c r="DM920" s="48"/>
      <c r="DN920" s="48"/>
      <c r="DO920" s="48"/>
      <c r="DP920" s="48"/>
      <c r="DQ920" s="48"/>
      <c r="DR920" s="48"/>
      <c r="DS920" s="48"/>
    </row>
    <row r="921" spans="1:123" ht="15">
      <c r="A921"/>
      <c r="B921"/>
      <c r="C921"/>
      <c r="D921"/>
      <c r="E921"/>
      <c r="F921"/>
      <c r="G921"/>
      <c r="H921"/>
      <c r="I921"/>
      <c r="J921"/>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48"/>
      <c r="BH921" s="48"/>
      <c r="BI921" s="48"/>
      <c r="BJ921" s="48"/>
      <c r="BK921" s="48"/>
      <c r="BL921" s="48"/>
      <c r="BM921" s="48"/>
      <c r="BN921" s="48"/>
      <c r="BO921" s="48"/>
      <c r="BP921" s="48"/>
      <c r="BQ921" s="48"/>
      <c r="BR921" s="48"/>
      <c r="BS921" s="48"/>
      <c r="BT921" s="48"/>
      <c r="BU921" s="48"/>
      <c r="BV921" s="48"/>
      <c r="BW921" s="48"/>
      <c r="BX921" s="48"/>
      <c r="BY921" s="48"/>
      <c r="BZ921" s="48"/>
      <c r="CA921" s="48"/>
      <c r="CB921" s="48"/>
      <c r="CC921" s="48"/>
      <c r="CD921" s="48"/>
      <c r="CE921" s="48"/>
      <c r="CF921" s="48"/>
      <c r="CG921" s="48"/>
      <c r="CH921" s="48"/>
      <c r="CI921" s="48"/>
      <c r="CJ921" s="48"/>
      <c r="CK921" s="48"/>
      <c r="CL921" s="48"/>
      <c r="CM921" s="48"/>
      <c r="CN921" s="48"/>
      <c r="CO921" s="48"/>
      <c r="CP921" s="48"/>
      <c r="CQ921" s="48"/>
      <c r="CR921" s="48"/>
      <c r="CS921" s="48"/>
      <c r="CT921" s="48"/>
      <c r="CU921" s="48"/>
      <c r="CV921" s="48"/>
      <c r="CW921" s="48"/>
      <c r="CX921" s="48"/>
      <c r="CY921" s="48"/>
      <c r="CZ921" s="48"/>
      <c r="DA921" s="48"/>
      <c r="DB921" s="48"/>
      <c r="DC921" s="48"/>
      <c r="DD921" s="48"/>
      <c r="DE921" s="48"/>
      <c r="DF921" s="48"/>
      <c r="DG921" s="48"/>
      <c r="DH921" s="48"/>
      <c r="DI921" s="48"/>
      <c r="DJ921" s="48"/>
      <c r="DK921" s="48"/>
      <c r="DL921" s="48"/>
      <c r="DM921" s="48"/>
      <c r="DN921" s="48"/>
      <c r="DO921" s="48"/>
      <c r="DP921" s="48"/>
      <c r="DQ921" s="48"/>
      <c r="DR921" s="48"/>
      <c r="DS921" s="48"/>
    </row>
    <row r="922" spans="1:123" ht="15">
      <c r="A922"/>
      <c r="B922"/>
      <c r="C922"/>
      <c r="D922"/>
      <c r="E922"/>
      <c r="F922"/>
      <c r="G922"/>
      <c r="H922"/>
      <c r="I922"/>
      <c r="J922"/>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48"/>
      <c r="BH922" s="48"/>
      <c r="BI922" s="48"/>
      <c r="BJ922" s="48"/>
      <c r="BK922" s="48"/>
      <c r="BL922" s="48"/>
      <c r="BM922" s="48"/>
      <c r="BN922" s="48"/>
      <c r="BO922" s="48"/>
      <c r="BP922" s="48"/>
      <c r="BQ922" s="48"/>
      <c r="BR922" s="48"/>
      <c r="BS922" s="48"/>
      <c r="BT922" s="48"/>
      <c r="BU922" s="48"/>
      <c r="BV922" s="48"/>
      <c r="BW922" s="48"/>
      <c r="BX922" s="48"/>
      <c r="BY922" s="48"/>
      <c r="BZ922" s="48"/>
      <c r="CA922" s="48"/>
      <c r="CB922" s="48"/>
      <c r="CC922" s="48"/>
      <c r="CD922" s="48"/>
      <c r="CE922" s="48"/>
      <c r="CF922" s="48"/>
      <c r="CG922" s="48"/>
      <c r="CH922" s="48"/>
      <c r="CI922" s="48"/>
      <c r="CJ922" s="48"/>
      <c r="CK922" s="48"/>
      <c r="CL922" s="48"/>
      <c r="CM922" s="48"/>
      <c r="CN922" s="48"/>
      <c r="CO922" s="48"/>
      <c r="CP922" s="48"/>
      <c r="CQ922" s="48"/>
      <c r="CR922" s="48"/>
      <c r="CS922" s="48"/>
      <c r="CT922" s="48"/>
      <c r="CU922" s="48"/>
      <c r="CV922" s="48"/>
      <c r="CW922" s="48"/>
      <c r="CX922" s="48"/>
      <c r="CY922" s="48"/>
      <c r="CZ922" s="48"/>
      <c r="DA922" s="48"/>
      <c r="DB922" s="48"/>
      <c r="DC922" s="48"/>
      <c r="DD922" s="48"/>
      <c r="DE922" s="48"/>
      <c r="DF922" s="48"/>
      <c r="DG922" s="48"/>
      <c r="DH922" s="48"/>
      <c r="DI922" s="48"/>
      <c r="DJ922" s="48"/>
      <c r="DK922" s="48"/>
      <c r="DL922" s="48"/>
      <c r="DM922" s="48"/>
      <c r="DN922" s="48"/>
      <c r="DO922" s="48"/>
      <c r="DP922" s="48"/>
      <c r="DQ922" s="48"/>
      <c r="DR922" s="48"/>
      <c r="DS922" s="48"/>
    </row>
    <row r="923" spans="1:1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48"/>
      <c r="BH923" s="48"/>
      <c r="BI923" s="48"/>
      <c r="BJ923" s="48"/>
      <c r="BK923" s="48"/>
      <c r="BL923" s="48"/>
      <c r="BM923" s="48"/>
      <c r="BN923" s="48"/>
      <c r="BO923" s="48"/>
      <c r="BP923" s="48"/>
      <c r="BQ923" s="48"/>
      <c r="BR923" s="48"/>
      <c r="BS923" s="48"/>
      <c r="BT923" s="48"/>
      <c r="BU923" s="48"/>
      <c r="BV923" s="48"/>
      <c r="BW923" s="48"/>
      <c r="BX923" s="48"/>
      <c r="BY923" s="48"/>
      <c r="BZ923" s="48"/>
      <c r="CA923" s="48"/>
      <c r="CB923" s="48"/>
      <c r="CC923" s="48"/>
      <c r="CD923" s="48"/>
      <c r="CE923" s="48"/>
      <c r="CF923" s="48"/>
      <c r="CG923" s="48"/>
      <c r="CH923" s="48"/>
      <c r="CI923" s="48"/>
      <c r="CJ923" s="48"/>
      <c r="CK923" s="48"/>
      <c r="CL923" s="48"/>
      <c r="CM923" s="48"/>
      <c r="CN923" s="48"/>
      <c r="CO923" s="48"/>
      <c r="CP923" s="48"/>
      <c r="CQ923" s="48"/>
      <c r="CR923" s="48"/>
      <c r="CS923" s="48"/>
      <c r="CT923" s="48"/>
      <c r="CU923" s="48"/>
      <c r="CV923" s="48"/>
      <c r="CW923" s="48"/>
      <c r="CX923" s="48"/>
      <c r="CY923" s="48"/>
      <c r="CZ923" s="48"/>
      <c r="DA923" s="48"/>
      <c r="DB923" s="48"/>
      <c r="DC923" s="48"/>
      <c r="DD923" s="48"/>
      <c r="DE923" s="48"/>
      <c r="DF923" s="48"/>
      <c r="DG923" s="48"/>
      <c r="DH923" s="48"/>
      <c r="DI923" s="48"/>
      <c r="DJ923" s="48"/>
      <c r="DK923" s="48"/>
      <c r="DL923" s="48"/>
      <c r="DM923" s="48"/>
      <c r="DN923" s="48"/>
      <c r="DO923" s="48"/>
      <c r="DP923" s="48"/>
      <c r="DQ923" s="48"/>
      <c r="DR923" s="48"/>
      <c r="DS923" s="48"/>
    </row>
  </sheetData>
  <conditionalFormatting sqref="K5:L190">
    <cfRule type="colorScale" priority="880">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9E920-8772-4021-9FF8-2E3CE42DF106}">
  <dimension ref="A1:F37"/>
  <sheetViews>
    <sheetView workbookViewId="0">
      <selection activeCell="C9" sqref="C9"/>
    </sheetView>
  </sheetViews>
  <sheetFormatPr defaultColWidth="8.85546875" defaultRowHeight="12"/>
  <cols>
    <col min="1" max="1" width="16.42578125" style="8" customWidth="1"/>
    <col min="2" max="2" width="51.42578125" style="8" customWidth="1"/>
    <col min="3" max="3" width="49.42578125" style="8" customWidth="1"/>
    <col min="4" max="4" width="14.42578125" style="8" hidden="1" customWidth="1"/>
    <col min="5" max="5" width="35.42578125" style="8" hidden="1" customWidth="1"/>
    <col min="6" max="16384" width="8.85546875" style="8"/>
  </cols>
  <sheetData>
    <row r="1" spans="1:6" ht="12.75" customHeight="1">
      <c r="A1" s="7" t="s">
        <v>1960</v>
      </c>
      <c r="B1" s="7" t="s">
        <v>1961</v>
      </c>
      <c r="C1" s="7" t="s">
        <v>1962</v>
      </c>
      <c r="D1" s="28"/>
    </row>
    <row r="2" spans="1:6" ht="12.75" customHeight="1">
      <c r="A2" s="9" t="s">
        <v>1963</v>
      </c>
      <c r="B2" s="66" t="s">
        <v>1964</v>
      </c>
      <c r="C2" s="65" t="s">
        <v>1965</v>
      </c>
      <c r="D2" s="22"/>
    </row>
    <row r="3" spans="1:6" ht="12.75" customHeight="1">
      <c r="A3" s="162" t="s">
        <v>1966</v>
      </c>
      <c r="B3" s="66" t="s">
        <v>1967</v>
      </c>
      <c r="C3" s="66" t="s">
        <v>1968</v>
      </c>
      <c r="D3" s="22"/>
      <c r="E3" s="8" t="s">
        <v>1969</v>
      </c>
      <c r="F3" s="8" t="s">
        <v>1970</v>
      </c>
    </row>
    <row r="4" spans="1:6" ht="12.95">
      <c r="A4" s="9" t="s">
        <v>1971</v>
      </c>
      <c r="B4" s="162" t="s">
        <v>1972</v>
      </c>
      <c r="C4" s="162" t="s">
        <v>1973</v>
      </c>
      <c r="D4" s="11"/>
      <c r="E4" s="8" t="s">
        <v>1974</v>
      </c>
    </row>
    <row r="5" spans="1:6">
      <c r="A5" s="11"/>
      <c r="B5" s="10"/>
      <c r="C5" s="10"/>
      <c r="D5" s="11"/>
    </row>
    <row r="6" spans="1:6" ht="12.75" customHeight="1">
      <c r="A6" s="12"/>
      <c r="B6" s="12"/>
      <c r="C6" s="12"/>
      <c r="D6" s="12"/>
    </row>
    <row r="7" spans="1:6" ht="12.75" customHeight="1">
      <c r="A7" s="264" t="s">
        <v>1975</v>
      </c>
      <c r="B7" s="264"/>
      <c r="C7" s="264"/>
      <c r="D7" s="84"/>
    </row>
    <row r="8" spans="1:6" ht="12.75" customHeight="1">
      <c r="A8" s="86" t="s">
        <v>1976</v>
      </c>
      <c r="B8" s="87" t="s">
        <v>1961</v>
      </c>
      <c r="C8" s="87" t="s">
        <v>1977</v>
      </c>
      <c r="D8" s="85" t="s">
        <v>1978</v>
      </c>
      <c r="E8" s="26" t="s">
        <v>176</v>
      </c>
    </row>
    <row r="9" spans="1:6" ht="12.75" customHeight="1">
      <c r="A9" s="86" t="s">
        <v>1963</v>
      </c>
      <c r="B9" s="66" t="s">
        <v>1979</v>
      </c>
      <c r="C9" s="88" t="s">
        <v>1965</v>
      </c>
      <c r="D9" s="75" t="s">
        <v>1980</v>
      </c>
      <c r="E9" s="15"/>
    </row>
    <row r="10" spans="1:6" ht="12.75" customHeight="1">
      <c r="A10" s="86" t="s">
        <v>1981</v>
      </c>
      <c r="B10" s="88" t="s">
        <v>1982</v>
      </c>
      <c r="C10" s="88" t="s">
        <v>1983</v>
      </c>
      <c r="D10" s="265" t="s">
        <v>1984</v>
      </c>
      <c r="E10" s="15"/>
    </row>
    <row r="11" spans="1:6" ht="14.1">
      <c r="A11" s="86" t="s">
        <v>1302</v>
      </c>
      <c r="B11" s="86" t="s">
        <v>1976</v>
      </c>
      <c r="C11" s="88" t="s">
        <v>1985</v>
      </c>
      <c r="D11" s="265"/>
      <c r="E11" s="15"/>
    </row>
    <row r="12" spans="1:6" ht="14.1">
      <c r="A12" s="86" t="s">
        <v>1773</v>
      </c>
      <c r="B12" s="86" t="s">
        <v>1976</v>
      </c>
      <c r="C12" s="86" t="s">
        <v>1986</v>
      </c>
      <c r="D12" s="76" t="s">
        <v>15</v>
      </c>
      <c r="E12" s="31"/>
      <c r="F12" s="13"/>
    </row>
    <row r="13" spans="1:6" ht="14.1">
      <c r="A13" s="86" t="s">
        <v>1326</v>
      </c>
      <c r="B13" s="86" t="s">
        <v>1976</v>
      </c>
      <c r="C13" s="86" t="s">
        <v>1987</v>
      </c>
      <c r="D13" s="75" t="s">
        <v>29</v>
      </c>
      <c r="E13" s="15"/>
      <c r="F13" s="13"/>
    </row>
    <row r="14" spans="1:6" ht="16.5" customHeight="1">
      <c r="A14" s="86" t="s">
        <v>1988</v>
      </c>
      <c r="B14" s="86" t="s">
        <v>1976</v>
      </c>
      <c r="C14" s="86" t="s">
        <v>1976</v>
      </c>
      <c r="D14" s="75" t="s">
        <v>32</v>
      </c>
      <c r="E14" s="14"/>
      <c r="F14" s="13"/>
    </row>
    <row r="15" spans="1:6" ht="16.5" customHeight="1">
      <c r="A15" s="86" t="s">
        <v>1466</v>
      </c>
      <c r="B15" s="86" t="s">
        <v>1989</v>
      </c>
      <c r="C15" s="86" t="s">
        <v>1990</v>
      </c>
      <c r="D15" s="77" t="s">
        <v>32</v>
      </c>
      <c r="E15" s="15"/>
    </row>
    <row r="16" spans="1:6" ht="12.75" customHeight="1">
      <c r="A16" s="86" t="s">
        <v>1991</v>
      </c>
      <c r="B16" s="86" t="s">
        <v>1992</v>
      </c>
      <c r="C16" s="86" t="s">
        <v>1993</v>
      </c>
      <c r="D16" s="77" t="s">
        <v>52</v>
      </c>
      <c r="E16" s="14"/>
    </row>
    <row r="17" spans="1:5" ht="12.75" customHeight="1">
      <c r="A17" s="78" t="s">
        <v>1994</v>
      </c>
      <c r="B17" s="78"/>
      <c r="C17" s="78"/>
      <c r="D17" s="30" t="s">
        <v>46</v>
      </c>
      <c r="E17" s="15"/>
    </row>
    <row r="18" spans="1:5" ht="12.75" customHeight="1">
      <c r="A18" s="29" t="s">
        <v>1995</v>
      </c>
      <c r="B18" s="29"/>
      <c r="C18" s="29"/>
      <c r="D18" s="30" t="s">
        <v>39</v>
      </c>
      <c r="E18" s="15"/>
    </row>
    <row r="19" spans="1:5" ht="12.75" customHeight="1">
      <c r="A19" s="29" t="s">
        <v>1188</v>
      </c>
      <c r="B19" s="29"/>
      <c r="C19" s="29"/>
      <c r="D19" s="30" t="s">
        <v>36</v>
      </c>
      <c r="E19" s="15"/>
    </row>
    <row r="20" spans="1:5" ht="12.75" customHeight="1">
      <c r="A20" s="29" t="s">
        <v>1996</v>
      </c>
      <c r="B20" s="29"/>
      <c r="C20" s="29"/>
      <c r="D20" s="30" t="s">
        <v>46</v>
      </c>
      <c r="E20" s="15"/>
    </row>
    <row r="21" spans="1:5" ht="14.1">
      <c r="A21" s="29" t="s">
        <v>1997</v>
      </c>
      <c r="B21" s="29"/>
      <c r="C21" s="29"/>
      <c r="D21" s="30" t="s">
        <v>39</v>
      </c>
      <c r="E21" s="15"/>
    </row>
    <row r="22" spans="1:5" ht="14.1">
      <c r="A22" s="29" t="s">
        <v>1998</v>
      </c>
      <c r="B22" s="29"/>
      <c r="C22" s="29"/>
      <c r="D22" s="30" t="s">
        <v>39</v>
      </c>
      <c r="E22" s="15"/>
    </row>
    <row r="23" spans="1:5" ht="14.1">
      <c r="A23" s="29" t="s">
        <v>1999</v>
      </c>
      <c r="B23" s="29"/>
      <c r="C23" s="29"/>
      <c r="D23" s="30" t="s">
        <v>39</v>
      </c>
      <c r="E23" s="15"/>
    </row>
    <row r="24" spans="1:5" ht="15">
      <c r="A24" s="29" t="s">
        <v>1486</v>
      </c>
      <c r="B24" s="27"/>
      <c r="C24" s="27"/>
      <c r="D24" s="30" t="s">
        <v>65</v>
      </c>
      <c r="E24" s="15"/>
    </row>
    <row r="35" ht="23.25" customHeight="1"/>
    <row r="36" ht="21.75" customHeight="1"/>
    <row r="37" ht="9.75" customHeight="1"/>
  </sheetData>
  <autoFilter ref="A8:F8" xr:uid="{5F29E920-8772-4021-9FF8-2E3CE42DF106}"/>
  <mergeCells count="2">
    <mergeCell ref="A7:C7"/>
    <mergeCell ref="D10:D11"/>
  </mergeCells>
  <hyperlinks>
    <hyperlink ref="B2" r:id="rId1" xr:uid="{4390E23D-A32E-40E3-8C38-220F2C1D3859}"/>
    <hyperlink ref="C2" r:id="rId2" xr:uid="{936BDDDD-59F8-4750-8481-5DE895F34DA9}"/>
    <hyperlink ref="B9" r:id="rId3" xr:uid="{E54D680F-5B69-4239-992B-A8A165CE187A}"/>
    <hyperlink ref="C9" r:id="rId4" xr:uid="{82734A81-DF82-4005-A54C-B185AA19D49C}"/>
    <hyperlink ref="B10" r:id="rId5" xr:uid="{3EA469CA-B975-4292-9A85-97AD3D466EA6}"/>
    <hyperlink ref="C10" r:id="rId6" xr:uid="{2248D144-B6B9-4740-A48B-F4B45CA58896}"/>
    <hyperlink ref="C11" r:id="rId7" xr:uid="{CBEBA684-FD41-4084-AA2D-1C02EB7964BA}"/>
    <hyperlink ref="B3" r:id="rId8" xr:uid="{C7DBE7A1-0558-41F7-85E1-9CE2C9CC1E8C}"/>
    <hyperlink ref="C3" r:id="rId9" xr:uid="{E680980C-CF4C-452A-82C4-0B37736DFE4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8B4B8-899D-406A-8968-B828FB5A6EF6}">
  <dimension ref="A2:L17"/>
  <sheetViews>
    <sheetView workbookViewId="0">
      <selection activeCell="E8" sqref="E8"/>
    </sheetView>
  </sheetViews>
  <sheetFormatPr defaultColWidth="8.85546875" defaultRowHeight="15" customHeight="1"/>
  <cols>
    <col min="1" max="1" width="11.42578125" bestFit="1" customWidth="1"/>
    <col min="2" max="2" width="11.7109375" bestFit="1" customWidth="1"/>
    <col min="3" max="3" width="10.7109375" bestFit="1" customWidth="1"/>
    <col min="4" max="4" width="12.28515625" bestFit="1" customWidth="1"/>
    <col min="5" max="5" width="12.140625" bestFit="1" customWidth="1"/>
    <col min="6" max="6" width="9.85546875" bestFit="1" customWidth="1"/>
    <col min="7" max="7" width="9" bestFit="1" customWidth="1"/>
    <col min="8" max="8" width="7.42578125" style="128" customWidth="1"/>
    <col min="9" max="9" width="8.85546875" style="128" customWidth="1"/>
    <col min="10" max="10" width="33" customWidth="1"/>
    <col min="11" max="11" width="35.42578125" customWidth="1"/>
    <col min="12" max="12" width="70.42578125" style="219" customWidth="1"/>
    <col min="13" max="13" width="3.42578125" customWidth="1"/>
    <col min="14" max="14" width="4.42578125" customWidth="1"/>
    <col min="15" max="15" width="7.42578125" customWidth="1"/>
    <col min="16" max="16" width="11.42578125" customWidth="1"/>
    <col min="17" max="21" width="8.85546875" customWidth="1"/>
  </cols>
  <sheetData>
    <row r="2" spans="1:12" s="184" customFormat="1" ht="12">
      <c r="A2" s="208" t="s">
        <v>4</v>
      </c>
      <c r="B2" s="209" t="s">
        <v>1954</v>
      </c>
      <c r="C2" s="209" t="s">
        <v>1955</v>
      </c>
      <c r="D2" s="209" t="s">
        <v>1956</v>
      </c>
      <c r="E2" s="209" t="s">
        <v>1957</v>
      </c>
      <c r="F2" s="209" t="s">
        <v>1958</v>
      </c>
      <c r="G2" s="209" t="s">
        <v>2000</v>
      </c>
      <c r="H2" s="210" t="s">
        <v>174</v>
      </c>
      <c r="I2" s="212" t="s">
        <v>2001</v>
      </c>
      <c r="J2" s="214" t="s">
        <v>2002</v>
      </c>
      <c r="K2" s="214" t="s">
        <v>2003</v>
      </c>
      <c r="L2" s="218" t="s">
        <v>2004</v>
      </c>
    </row>
    <row r="3" spans="1:12" s="184" customFormat="1" ht="12">
      <c r="A3" s="209" t="s">
        <v>25</v>
      </c>
      <c r="B3" s="209">
        <v>77</v>
      </c>
      <c r="C3" s="209">
        <v>1</v>
      </c>
      <c r="D3" s="209">
        <v>0</v>
      </c>
      <c r="E3" s="209">
        <v>0</v>
      </c>
      <c r="F3" s="209">
        <v>78</v>
      </c>
      <c r="G3" s="209">
        <v>9</v>
      </c>
      <c r="H3" s="211">
        <f t="shared" ref="H3:H17" si="0">IF(B3+C3=0,0,SUM(B3:D3)/F3)</f>
        <v>1</v>
      </c>
      <c r="I3" s="213">
        <f t="shared" ref="I3" si="1">IF(B3=0,0,B3/(SUM(B3:D3)))</f>
        <v>0.98717948717948723</v>
      </c>
      <c r="J3" s="216" t="s">
        <v>2005</v>
      </c>
      <c r="K3" s="216" t="s">
        <v>2006</v>
      </c>
      <c r="L3" s="229" t="s">
        <v>2007</v>
      </c>
    </row>
    <row r="4" spans="1:12" s="184" customFormat="1" ht="23.25">
      <c r="A4" s="209" t="s">
        <v>32</v>
      </c>
      <c r="B4" s="209">
        <v>439</v>
      </c>
      <c r="C4" s="209">
        <v>0</v>
      </c>
      <c r="D4" s="209">
        <v>0</v>
      </c>
      <c r="E4" s="209">
        <v>0</v>
      </c>
      <c r="F4" s="209">
        <v>439</v>
      </c>
      <c r="G4" s="209">
        <v>26</v>
      </c>
      <c r="H4" s="211">
        <f t="shared" si="0"/>
        <v>1</v>
      </c>
      <c r="I4" s="213">
        <f t="shared" ref="I4:I17" si="2">IF(B4=0,0,B4/(SUM(B4:D4)))</f>
        <v>1</v>
      </c>
      <c r="J4" s="217" t="s">
        <v>2008</v>
      </c>
      <c r="K4" s="216" t="s">
        <v>2009</v>
      </c>
      <c r="L4" s="217" t="s">
        <v>2010</v>
      </c>
    </row>
    <row r="5" spans="1:12" s="184" customFormat="1" ht="23.25">
      <c r="A5" s="209" t="s">
        <v>36</v>
      </c>
      <c r="B5" s="209">
        <v>1237</v>
      </c>
      <c r="C5" s="209">
        <v>19</v>
      </c>
      <c r="D5" s="209">
        <v>0</v>
      </c>
      <c r="E5" s="209">
        <v>0</v>
      </c>
      <c r="F5" s="209">
        <v>1256</v>
      </c>
      <c r="G5" s="209">
        <v>87</v>
      </c>
      <c r="H5" s="211">
        <f t="shared" si="0"/>
        <v>1</v>
      </c>
      <c r="I5" s="213">
        <f t="shared" si="2"/>
        <v>0.98487261146496818</v>
      </c>
      <c r="J5" s="217" t="s">
        <v>2011</v>
      </c>
      <c r="K5" s="217" t="s">
        <v>2012</v>
      </c>
      <c r="L5" s="217" t="s">
        <v>2013</v>
      </c>
    </row>
    <row r="6" spans="1:12" s="184" customFormat="1" ht="12">
      <c r="A6" s="209" t="s">
        <v>22</v>
      </c>
      <c r="B6" s="209">
        <v>421</v>
      </c>
      <c r="C6" s="209">
        <v>0</v>
      </c>
      <c r="D6" s="209">
        <v>0</v>
      </c>
      <c r="E6" s="209">
        <v>0</v>
      </c>
      <c r="F6" s="209">
        <v>421</v>
      </c>
      <c r="G6" s="209">
        <v>37</v>
      </c>
      <c r="H6" s="211">
        <f t="shared" si="0"/>
        <v>1</v>
      </c>
      <c r="I6" s="213">
        <f t="shared" si="2"/>
        <v>1</v>
      </c>
      <c r="J6" s="216" t="s">
        <v>2014</v>
      </c>
      <c r="K6" s="216" t="s">
        <v>2015</v>
      </c>
      <c r="L6" s="217" t="s">
        <v>2016</v>
      </c>
    </row>
    <row r="7" spans="1:12" s="184" customFormat="1" ht="23.25">
      <c r="A7" s="209" t="s">
        <v>46</v>
      </c>
      <c r="B7" s="209">
        <v>838</v>
      </c>
      <c r="C7" s="209">
        <v>1</v>
      </c>
      <c r="D7" s="209">
        <v>0</v>
      </c>
      <c r="E7" s="209">
        <v>0</v>
      </c>
      <c r="F7" s="209">
        <v>839</v>
      </c>
      <c r="G7" s="209">
        <v>42</v>
      </c>
      <c r="H7" s="211">
        <f t="shared" si="0"/>
        <v>1</v>
      </c>
      <c r="I7" s="213">
        <f t="shared" si="2"/>
        <v>0.99880810488676997</v>
      </c>
      <c r="J7" s="217" t="s">
        <v>2017</v>
      </c>
      <c r="K7" s="216" t="s">
        <v>2015</v>
      </c>
      <c r="L7" s="217" t="s">
        <v>2018</v>
      </c>
    </row>
    <row r="8" spans="1:12" s="184" customFormat="1" ht="12">
      <c r="A8" s="209" t="s">
        <v>52</v>
      </c>
      <c r="B8" s="209">
        <v>320</v>
      </c>
      <c r="C8" s="209">
        <v>0</v>
      </c>
      <c r="D8" s="209">
        <v>0</v>
      </c>
      <c r="E8" s="209">
        <v>0</v>
      </c>
      <c r="F8" s="209">
        <v>320</v>
      </c>
      <c r="G8" s="209">
        <v>14</v>
      </c>
      <c r="H8" s="211">
        <f t="shared" si="0"/>
        <v>1</v>
      </c>
      <c r="I8" s="213">
        <f t="shared" si="2"/>
        <v>1</v>
      </c>
      <c r="J8" s="216" t="s">
        <v>2019</v>
      </c>
      <c r="K8" s="216" t="s">
        <v>2020</v>
      </c>
      <c r="L8" s="217"/>
    </row>
    <row r="9" spans="1:12" s="184" customFormat="1" ht="23.25">
      <c r="A9" s="209" t="s">
        <v>49</v>
      </c>
      <c r="B9" s="209">
        <v>998</v>
      </c>
      <c r="C9" s="209">
        <v>5</v>
      </c>
      <c r="D9" s="209">
        <v>0</v>
      </c>
      <c r="E9" s="209">
        <v>0</v>
      </c>
      <c r="F9" s="209">
        <v>1003</v>
      </c>
      <c r="G9" s="209">
        <v>74</v>
      </c>
      <c r="H9" s="211">
        <f t="shared" si="0"/>
        <v>1</v>
      </c>
      <c r="I9" s="213">
        <f t="shared" si="2"/>
        <v>0.99501495513459626</v>
      </c>
      <c r="J9" s="217" t="s">
        <v>2021</v>
      </c>
      <c r="K9" s="216" t="s">
        <v>2022</v>
      </c>
      <c r="L9" s="217" t="s">
        <v>2023</v>
      </c>
    </row>
    <row r="10" spans="1:12" s="184" customFormat="1" ht="12">
      <c r="A10" s="209" t="s">
        <v>39</v>
      </c>
      <c r="B10" s="209">
        <v>519</v>
      </c>
      <c r="C10" s="209">
        <v>3</v>
      </c>
      <c r="D10" s="209">
        <v>0</v>
      </c>
      <c r="E10" s="209">
        <v>0</v>
      </c>
      <c r="F10" s="209">
        <v>522</v>
      </c>
      <c r="G10" s="209">
        <v>25</v>
      </c>
      <c r="H10" s="211">
        <f t="shared" si="0"/>
        <v>1</v>
      </c>
      <c r="I10" s="213">
        <f t="shared" si="2"/>
        <v>0.99425287356321834</v>
      </c>
      <c r="J10" s="216" t="s">
        <v>2024</v>
      </c>
      <c r="K10" s="216" t="s">
        <v>2022</v>
      </c>
      <c r="L10" s="217" t="s">
        <v>2025</v>
      </c>
    </row>
    <row r="11" spans="1:12" s="184" customFormat="1" ht="12">
      <c r="A11" s="209" t="s">
        <v>62</v>
      </c>
      <c r="B11" s="209">
        <v>248</v>
      </c>
      <c r="C11" s="209">
        <v>3</v>
      </c>
      <c r="D11" s="209">
        <v>0</v>
      </c>
      <c r="E11" s="209">
        <v>4</v>
      </c>
      <c r="F11" s="209">
        <v>255</v>
      </c>
      <c r="G11" s="209">
        <v>1</v>
      </c>
      <c r="H11" s="211">
        <f t="shared" si="0"/>
        <v>0.98431372549019602</v>
      </c>
      <c r="I11" s="213">
        <f t="shared" si="2"/>
        <v>0.98804780876494025</v>
      </c>
      <c r="J11" s="216"/>
      <c r="K11" s="216"/>
      <c r="L11" s="217"/>
    </row>
    <row r="12" spans="1:12" s="184" customFormat="1" ht="12">
      <c r="A12" s="209" t="s">
        <v>15</v>
      </c>
      <c r="B12" s="209">
        <v>633</v>
      </c>
      <c r="C12" s="209">
        <v>0</v>
      </c>
      <c r="D12" s="209">
        <v>0</v>
      </c>
      <c r="E12" s="209">
        <v>0</v>
      </c>
      <c r="F12" s="209">
        <v>633</v>
      </c>
      <c r="G12" s="209">
        <v>43</v>
      </c>
      <c r="H12" s="211">
        <f>IF(B12+C12=0,0,SUM(B12:D12)/F12)</f>
        <v>1</v>
      </c>
      <c r="I12" s="213">
        <f t="shared" si="2"/>
        <v>1</v>
      </c>
      <c r="J12" s="216" t="s">
        <v>2019</v>
      </c>
      <c r="K12" s="216" t="s">
        <v>2020</v>
      </c>
      <c r="L12" s="217"/>
    </row>
    <row r="13" spans="1:12" s="184" customFormat="1" ht="12">
      <c r="A13" s="209" t="s">
        <v>68</v>
      </c>
      <c r="B13" s="209">
        <v>241</v>
      </c>
      <c r="C13" s="209">
        <v>0</v>
      </c>
      <c r="D13" s="209">
        <v>0</v>
      </c>
      <c r="E13" s="209">
        <v>0</v>
      </c>
      <c r="F13" s="209">
        <v>241</v>
      </c>
      <c r="G13" s="209">
        <v>18</v>
      </c>
      <c r="H13" s="211">
        <f t="shared" si="0"/>
        <v>1</v>
      </c>
      <c r="I13" s="213">
        <f t="shared" si="2"/>
        <v>1</v>
      </c>
      <c r="J13" s="216" t="s">
        <v>2019</v>
      </c>
      <c r="K13" s="216" t="s">
        <v>2026</v>
      </c>
      <c r="L13" s="217"/>
    </row>
    <row r="14" spans="1:12" s="184" customFormat="1" ht="35.25">
      <c r="A14" s="209" t="s">
        <v>29</v>
      </c>
      <c r="B14" s="209">
        <v>485</v>
      </c>
      <c r="C14" s="209">
        <v>0</v>
      </c>
      <c r="D14" s="209">
        <v>0</v>
      </c>
      <c r="E14" s="209">
        <v>0</v>
      </c>
      <c r="F14" s="209">
        <v>485</v>
      </c>
      <c r="G14" s="209">
        <v>59</v>
      </c>
      <c r="H14" s="211">
        <f t="shared" si="0"/>
        <v>1</v>
      </c>
      <c r="I14" s="213">
        <f t="shared" si="2"/>
        <v>1</v>
      </c>
      <c r="J14" s="216" t="s">
        <v>2027</v>
      </c>
      <c r="K14" s="216" t="s">
        <v>2022</v>
      </c>
      <c r="L14" s="217" t="s">
        <v>2028</v>
      </c>
    </row>
    <row r="15" spans="1:12" s="184" customFormat="1" ht="12">
      <c r="A15" s="209" t="s">
        <v>73</v>
      </c>
      <c r="B15" s="209">
        <v>102</v>
      </c>
      <c r="C15" s="209">
        <v>0</v>
      </c>
      <c r="D15" s="209">
        <v>0</v>
      </c>
      <c r="E15" s="209">
        <v>0</v>
      </c>
      <c r="F15" s="209">
        <v>102</v>
      </c>
      <c r="G15" s="209">
        <v>12</v>
      </c>
      <c r="H15" s="211">
        <f t="shared" si="0"/>
        <v>1</v>
      </c>
      <c r="I15" s="213">
        <f t="shared" si="2"/>
        <v>1</v>
      </c>
      <c r="J15" s="216"/>
      <c r="K15" s="216"/>
      <c r="L15" s="217"/>
    </row>
    <row r="16" spans="1:12" s="184" customFormat="1" ht="12">
      <c r="A16" s="209" t="s">
        <v>76</v>
      </c>
      <c r="B16" s="209">
        <v>1517</v>
      </c>
      <c r="C16" s="209">
        <v>0</v>
      </c>
      <c r="D16" s="209">
        <v>0</v>
      </c>
      <c r="E16" s="209">
        <v>0</v>
      </c>
      <c r="F16" s="209">
        <v>1517</v>
      </c>
      <c r="G16" s="209">
        <v>28</v>
      </c>
      <c r="H16" s="211">
        <f t="shared" si="0"/>
        <v>1</v>
      </c>
      <c r="I16" s="213">
        <f t="shared" si="2"/>
        <v>1</v>
      </c>
      <c r="J16" s="216"/>
      <c r="K16" s="216"/>
      <c r="L16" s="217"/>
    </row>
    <row r="17" spans="1:12" s="184" customFormat="1" ht="12">
      <c r="A17" s="209" t="s">
        <v>19</v>
      </c>
      <c r="B17" s="209">
        <v>8075</v>
      </c>
      <c r="C17" s="209">
        <v>32</v>
      </c>
      <c r="D17" s="209">
        <v>0</v>
      </c>
      <c r="E17" s="209">
        <v>4</v>
      </c>
      <c r="F17" s="209">
        <v>8111</v>
      </c>
      <c r="G17" s="209">
        <v>475</v>
      </c>
      <c r="H17" s="211">
        <f t="shared" si="0"/>
        <v>0.99950684255948707</v>
      </c>
      <c r="I17" s="213">
        <f t="shared" si="2"/>
        <v>0.99605279388183054</v>
      </c>
      <c r="J17" s="216"/>
      <c r="K17" s="216"/>
      <c r="L17" s="2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b71a79-cb5e-4503-9be7-1bf9a81b48d1" xsi:nil="true"/>
    <lcf76f155ced4ddcb4097134ff3c332f xmlns="474829a4-a40a-4363-a6f3-a45ddeb8725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63D18D72676D47AA7C3C1C9EB051F7" ma:contentTypeVersion="16" ma:contentTypeDescription="Create a new document." ma:contentTypeScope="" ma:versionID="5ce0928fd645807c6f21653f64fad326">
  <xsd:schema xmlns:xsd="http://www.w3.org/2001/XMLSchema" xmlns:xs="http://www.w3.org/2001/XMLSchema" xmlns:p="http://schemas.microsoft.com/office/2006/metadata/properties" xmlns:ns2="474829a4-a40a-4363-a6f3-a45ddeb8725a" xmlns:ns3="4cb71a79-cb5e-4503-9be7-1bf9a81b48d1" targetNamespace="http://schemas.microsoft.com/office/2006/metadata/properties" ma:root="true" ma:fieldsID="9210b4657cf26e035bf1276e2e4ddf33" ns2:_="" ns3:_="">
    <xsd:import namespace="474829a4-a40a-4363-a6f3-a45ddeb8725a"/>
    <xsd:import namespace="4cb71a79-cb5e-4503-9be7-1bf9a81b48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829a4-a40a-4363-a6f3-a45ddeb872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cb71a79-cb5e-4503-9be7-1bf9a81b48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66fbd9e-d32e-4ed4-8089-c9b5452c55aa}" ma:internalName="TaxCatchAll" ma:showField="CatchAllData" ma:web="4cb71a79-cb5e-4503-9be7-1bf9a81b48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1CC69E-D78D-4392-AE1B-FA854437BF9E}"/>
</file>

<file path=customXml/itemProps2.xml><?xml version="1.0" encoding="utf-8"?>
<ds:datastoreItem xmlns:ds="http://schemas.openxmlformats.org/officeDocument/2006/customXml" ds:itemID="{20743784-302F-4750-8DAD-A012B0E46E08}"/>
</file>

<file path=customXml/itemProps3.xml><?xml version="1.0" encoding="utf-8"?>
<ds:datastoreItem xmlns:ds="http://schemas.openxmlformats.org/officeDocument/2006/customXml" ds:itemID="{635505E6-B0BC-4975-83D4-73E30781DBDC}"/>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Krishnan, Pirtheebaa</dc:creator>
  <cp:keywords/>
  <dc:description/>
  <cp:lastModifiedBy>Nandi, Abhijit</cp:lastModifiedBy>
  <cp:revision/>
  <dcterms:created xsi:type="dcterms:W3CDTF">2025-11-25T05:03:34Z</dcterms:created>
  <dcterms:modified xsi:type="dcterms:W3CDTF">2026-03-30T04:36:34Z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0x010100DE63D18D72676D47AA7C3C1C9EB051F7</vt:lpwstr>
  </property>
  <property fmtid="{D5CDD505-2E9C-101B-9397-08002B2CF9AE}" pid="3" name="MediaServiceImageTags">
    <vt:lpwstr/>
  </property>
</Properties>
</file>