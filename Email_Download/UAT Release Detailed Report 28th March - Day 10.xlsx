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nadupuru_sudheer_accenture_com/Documents/SP 150/other/"/>
    </mc:Choice>
  </mc:AlternateContent>
  <xr:revisionPtr revIDLastSave="0" documentId="8_{6085446B-793B-4657-9F68-1697FE345BC7}" xr6:coauthVersionLast="47" xr6:coauthVersionMax="47" xr10:uidLastSave="{00000000-0000-0000-0000-000000000000}"/>
  <bookViews>
    <workbookView xWindow="-110" yWindow="-110" windowWidth="19420" windowHeight="10300" xr2:uid="{D44F4BF7-A626-4E0F-A3A8-935847D5A33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Sheet1!$A$2:$W$107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7" i="1" l="1"/>
  <c r="Q107" i="1" s="1"/>
  <c r="M107" i="1"/>
  <c r="P107" i="1" s="1"/>
  <c r="L107" i="1"/>
  <c r="O107" i="1" s="1"/>
  <c r="K107" i="1"/>
  <c r="J107" i="1"/>
  <c r="R107" i="1" s="1"/>
  <c r="R105" i="1"/>
  <c r="Q105" i="1"/>
  <c r="P105" i="1"/>
  <c r="O105" i="1"/>
  <c r="N105" i="1"/>
  <c r="M105" i="1"/>
  <c r="L105" i="1"/>
  <c r="K105" i="1"/>
  <c r="J105" i="1"/>
  <c r="I105" i="1"/>
  <c r="H105" i="1"/>
  <c r="G105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R102" i="1"/>
  <c r="Q102" i="1"/>
  <c r="P102" i="1"/>
  <c r="O102" i="1"/>
  <c r="N102" i="1"/>
  <c r="M102" i="1"/>
  <c r="L102" i="1"/>
  <c r="K102" i="1"/>
  <c r="J102" i="1"/>
  <c r="I102" i="1"/>
  <c r="F102" i="1" s="1"/>
  <c r="H102" i="1"/>
  <c r="G102" i="1"/>
  <c r="R101" i="1"/>
  <c r="Q101" i="1"/>
  <c r="P101" i="1"/>
  <c r="O101" i="1"/>
  <c r="N101" i="1"/>
  <c r="M101" i="1"/>
  <c r="L101" i="1"/>
  <c r="K101" i="1"/>
  <c r="J101" i="1"/>
  <c r="I101" i="1"/>
  <c r="H101" i="1"/>
  <c r="F101" i="1" s="1"/>
  <c r="G101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R99" i="1"/>
  <c r="Q99" i="1"/>
  <c r="P99" i="1"/>
  <c r="O99" i="1"/>
  <c r="N99" i="1"/>
  <c r="M99" i="1"/>
  <c r="L99" i="1"/>
  <c r="K99" i="1"/>
  <c r="J99" i="1"/>
  <c r="I99" i="1"/>
  <c r="H99" i="1"/>
  <c r="G99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R96" i="1"/>
  <c r="Q96" i="1"/>
  <c r="P96" i="1"/>
  <c r="O96" i="1"/>
  <c r="N96" i="1"/>
  <c r="M96" i="1"/>
  <c r="L96" i="1"/>
  <c r="K96" i="1"/>
  <c r="J96" i="1"/>
  <c r="I96" i="1"/>
  <c r="H96" i="1"/>
  <c r="F96" i="1" s="1"/>
  <c r="G96" i="1"/>
  <c r="R95" i="1"/>
  <c r="Q95" i="1"/>
  <c r="P95" i="1"/>
  <c r="O95" i="1"/>
  <c r="N95" i="1"/>
  <c r="M95" i="1"/>
  <c r="L95" i="1"/>
  <c r="K95" i="1"/>
  <c r="J95" i="1"/>
  <c r="I95" i="1"/>
  <c r="H95" i="1"/>
  <c r="G95" i="1"/>
  <c r="R94" i="1"/>
  <c r="Q94" i="1"/>
  <c r="P94" i="1"/>
  <c r="O94" i="1"/>
  <c r="N94" i="1"/>
  <c r="M94" i="1"/>
  <c r="L94" i="1"/>
  <c r="K94" i="1"/>
  <c r="J94" i="1"/>
  <c r="I94" i="1"/>
  <c r="H94" i="1"/>
  <c r="G94" i="1"/>
  <c r="R93" i="1"/>
  <c r="Q93" i="1"/>
  <c r="P93" i="1"/>
  <c r="O93" i="1"/>
  <c r="N93" i="1"/>
  <c r="M93" i="1"/>
  <c r="L93" i="1"/>
  <c r="K93" i="1"/>
  <c r="J93" i="1"/>
  <c r="I93" i="1"/>
  <c r="H93" i="1"/>
  <c r="F93" i="1" s="1"/>
  <c r="G93" i="1"/>
  <c r="R92" i="1"/>
  <c r="Q92" i="1"/>
  <c r="P92" i="1"/>
  <c r="O92" i="1"/>
  <c r="N92" i="1"/>
  <c r="M92" i="1"/>
  <c r="L92" i="1"/>
  <c r="K92" i="1"/>
  <c r="J92" i="1"/>
  <c r="I92" i="1"/>
  <c r="F92" i="1" s="1"/>
  <c r="H92" i="1"/>
  <c r="G92" i="1"/>
  <c r="R91" i="1"/>
  <c r="Q91" i="1"/>
  <c r="P91" i="1"/>
  <c r="O91" i="1"/>
  <c r="N91" i="1"/>
  <c r="M91" i="1"/>
  <c r="L91" i="1"/>
  <c r="K91" i="1"/>
  <c r="J91" i="1"/>
  <c r="I91" i="1"/>
  <c r="H91" i="1"/>
  <c r="G91" i="1"/>
  <c r="R90" i="1"/>
  <c r="Q90" i="1"/>
  <c r="P90" i="1"/>
  <c r="O90" i="1"/>
  <c r="N90" i="1"/>
  <c r="M90" i="1"/>
  <c r="L90" i="1"/>
  <c r="K90" i="1"/>
  <c r="J90" i="1"/>
  <c r="I90" i="1"/>
  <c r="F90" i="1" s="1"/>
  <c r="H90" i="1"/>
  <c r="G90" i="1"/>
  <c r="R89" i="1"/>
  <c r="Q89" i="1"/>
  <c r="P89" i="1"/>
  <c r="O89" i="1"/>
  <c r="N89" i="1"/>
  <c r="M89" i="1"/>
  <c r="L89" i="1"/>
  <c r="K89" i="1"/>
  <c r="J89" i="1"/>
  <c r="I89" i="1"/>
  <c r="H89" i="1"/>
  <c r="F89" i="1" s="1"/>
  <c r="G89" i="1"/>
  <c r="R88" i="1"/>
  <c r="Q88" i="1"/>
  <c r="P88" i="1"/>
  <c r="O88" i="1"/>
  <c r="N88" i="1"/>
  <c r="M88" i="1"/>
  <c r="L88" i="1"/>
  <c r="K88" i="1"/>
  <c r="J88" i="1"/>
  <c r="I88" i="1"/>
  <c r="H88" i="1"/>
  <c r="F88" i="1" s="1"/>
  <c r="G88" i="1"/>
  <c r="R87" i="1"/>
  <c r="Q87" i="1"/>
  <c r="P87" i="1"/>
  <c r="O87" i="1"/>
  <c r="N87" i="1"/>
  <c r="M87" i="1"/>
  <c r="L87" i="1"/>
  <c r="K87" i="1"/>
  <c r="J87" i="1"/>
  <c r="I87" i="1"/>
  <c r="H87" i="1"/>
  <c r="G87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R85" i="1"/>
  <c r="Q85" i="1"/>
  <c r="P85" i="1"/>
  <c r="O85" i="1"/>
  <c r="N85" i="1"/>
  <c r="M85" i="1"/>
  <c r="L85" i="1"/>
  <c r="K85" i="1"/>
  <c r="J85" i="1"/>
  <c r="I85" i="1"/>
  <c r="H85" i="1"/>
  <c r="G85" i="1"/>
  <c r="R84" i="1"/>
  <c r="Q84" i="1"/>
  <c r="P84" i="1"/>
  <c r="O84" i="1"/>
  <c r="N84" i="1"/>
  <c r="M84" i="1"/>
  <c r="L84" i="1"/>
  <c r="K84" i="1"/>
  <c r="J84" i="1"/>
  <c r="I84" i="1"/>
  <c r="H84" i="1"/>
  <c r="G84" i="1"/>
  <c r="R83" i="1"/>
  <c r="Q83" i="1"/>
  <c r="P83" i="1"/>
  <c r="O83" i="1"/>
  <c r="N83" i="1"/>
  <c r="M83" i="1"/>
  <c r="L83" i="1"/>
  <c r="K83" i="1"/>
  <c r="J83" i="1"/>
  <c r="I83" i="1"/>
  <c r="H83" i="1"/>
  <c r="G83" i="1"/>
  <c r="R82" i="1"/>
  <c r="Q82" i="1"/>
  <c r="P82" i="1"/>
  <c r="O82" i="1"/>
  <c r="N82" i="1"/>
  <c r="M82" i="1"/>
  <c r="L82" i="1"/>
  <c r="K82" i="1"/>
  <c r="J82" i="1"/>
  <c r="I82" i="1"/>
  <c r="H82" i="1"/>
  <c r="F82" i="1" s="1"/>
  <c r="G82" i="1"/>
  <c r="R81" i="1"/>
  <c r="Q81" i="1"/>
  <c r="P81" i="1"/>
  <c r="O81" i="1"/>
  <c r="N81" i="1"/>
  <c r="M81" i="1"/>
  <c r="L81" i="1"/>
  <c r="K81" i="1"/>
  <c r="J81" i="1"/>
  <c r="I81" i="1"/>
  <c r="H81" i="1"/>
  <c r="G81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 s="1"/>
  <c r="R79" i="1"/>
  <c r="Q79" i="1"/>
  <c r="P79" i="1"/>
  <c r="O79" i="1"/>
  <c r="N79" i="1"/>
  <c r="M79" i="1"/>
  <c r="L79" i="1"/>
  <c r="K79" i="1"/>
  <c r="J79" i="1"/>
  <c r="I79" i="1"/>
  <c r="H79" i="1"/>
  <c r="G79" i="1"/>
  <c r="F79" i="1" s="1"/>
  <c r="R78" i="1"/>
  <c r="Q78" i="1"/>
  <c r="P78" i="1"/>
  <c r="O78" i="1"/>
  <c r="N78" i="1"/>
  <c r="M78" i="1"/>
  <c r="L78" i="1"/>
  <c r="K78" i="1"/>
  <c r="J78" i="1"/>
  <c r="I78" i="1"/>
  <c r="H78" i="1"/>
  <c r="G78" i="1"/>
  <c r="R77" i="1"/>
  <c r="Q77" i="1"/>
  <c r="P77" i="1"/>
  <c r="O77" i="1"/>
  <c r="N77" i="1"/>
  <c r="M77" i="1"/>
  <c r="L77" i="1"/>
  <c r="K77" i="1"/>
  <c r="J77" i="1"/>
  <c r="I77" i="1"/>
  <c r="H77" i="1"/>
  <c r="G77" i="1"/>
  <c r="R76" i="1"/>
  <c r="Q76" i="1"/>
  <c r="P76" i="1"/>
  <c r="O76" i="1"/>
  <c r="N76" i="1"/>
  <c r="M76" i="1"/>
  <c r="L76" i="1"/>
  <c r="K76" i="1"/>
  <c r="J76" i="1"/>
  <c r="I76" i="1"/>
  <c r="H76" i="1"/>
  <c r="F76" i="1" s="1"/>
  <c r="G76" i="1"/>
  <c r="R75" i="1"/>
  <c r="Q75" i="1"/>
  <c r="P75" i="1"/>
  <c r="O75" i="1"/>
  <c r="N75" i="1"/>
  <c r="M75" i="1"/>
  <c r="L75" i="1"/>
  <c r="K75" i="1"/>
  <c r="J75" i="1"/>
  <c r="I75" i="1"/>
  <c r="H75" i="1"/>
  <c r="G75" i="1"/>
  <c r="R74" i="1"/>
  <c r="Q74" i="1"/>
  <c r="P74" i="1"/>
  <c r="O74" i="1"/>
  <c r="N74" i="1"/>
  <c r="M74" i="1"/>
  <c r="L74" i="1"/>
  <c r="K74" i="1"/>
  <c r="J74" i="1"/>
  <c r="I74" i="1"/>
  <c r="H74" i="1"/>
  <c r="G74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R72" i="1"/>
  <c r="Q72" i="1"/>
  <c r="P72" i="1"/>
  <c r="O72" i="1"/>
  <c r="N72" i="1"/>
  <c r="M72" i="1"/>
  <c r="L72" i="1"/>
  <c r="K72" i="1"/>
  <c r="J72" i="1"/>
  <c r="I72" i="1"/>
  <c r="H72" i="1"/>
  <c r="F72" i="1" s="1"/>
  <c r="G72" i="1"/>
  <c r="R71" i="1"/>
  <c r="Q71" i="1"/>
  <c r="P71" i="1"/>
  <c r="O71" i="1"/>
  <c r="N71" i="1"/>
  <c r="M71" i="1"/>
  <c r="L71" i="1"/>
  <c r="K71" i="1"/>
  <c r="J71" i="1"/>
  <c r="I71" i="1"/>
  <c r="H71" i="1"/>
  <c r="G71" i="1"/>
  <c r="R70" i="1"/>
  <c r="Q70" i="1"/>
  <c r="P70" i="1"/>
  <c r="O70" i="1"/>
  <c r="N70" i="1"/>
  <c r="M70" i="1"/>
  <c r="L70" i="1"/>
  <c r="K70" i="1"/>
  <c r="J70" i="1"/>
  <c r="I70" i="1"/>
  <c r="H70" i="1"/>
  <c r="G70" i="1"/>
  <c r="R69" i="1"/>
  <c r="Q69" i="1"/>
  <c r="P69" i="1"/>
  <c r="O69" i="1"/>
  <c r="N69" i="1"/>
  <c r="M69" i="1"/>
  <c r="L69" i="1"/>
  <c r="K69" i="1"/>
  <c r="J69" i="1"/>
  <c r="I69" i="1"/>
  <c r="F69" i="1" s="1"/>
  <c r="H69" i="1"/>
  <c r="G69" i="1"/>
  <c r="R68" i="1"/>
  <c r="Q68" i="1"/>
  <c r="P68" i="1"/>
  <c r="O68" i="1"/>
  <c r="N68" i="1"/>
  <c r="M68" i="1"/>
  <c r="L68" i="1"/>
  <c r="K68" i="1"/>
  <c r="J68" i="1"/>
  <c r="I68" i="1"/>
  <c r="H68" i="1"/>
  <c r="F68" i="1" s="1"/>
  <c r="G68" i="1"/>
  <c r="R67" i="1"/>
  <c r="Q67" i="1"/>
  <c r="P67" i="1"/>
  <c r="O67" i="1"/>
  <c r="N67" i="1"/>
  <c r="M67" i="1"/>
  <c r="L67" i="1"/>
  <c r="K67" i="1"/>
  <c r="J67" i="1"/>
  <c r="I67" i="1"/>
  <c r="H67" i="1"/>
  <c r="G67" i="1"/>
  <c r="R66" i="1"/>
  <c r="Q66" i="1"/>
  <c r="P66" i="1"/>
  <c r="O66" i="1"/>
  <c r="N66" i="1"/>
  <c r="M66" i="1"/>
  <c r="L66" i="1"/>
  <c r="K66" i="1"/>
  <c r="J66" i="1"/>
  <c r="I66" i="1"/>
  <c r="H66" i="1"/>
  <c r="G66" i="1"/>
  <c r="R65" i="1"/>
  <c r="Q65" i="1"/>
  <c r="P65" i="1"/>
  <c r="O65" i="1"/>
  <c r="N65" i="1"/>
  <c r="M65" i="1"/>
  <c r="L65" i="1"/>
  <c r="K65" i="1"/>
  <c r="J65" i="1"/>
  <c r="I65" i="1"/>
  <c r="H65" i="1"/>
  <c r="G65" i="1"/>
  <c r="R64" i="1"/>
  <c r="Q64" i="1"/>
  <c r="P64" i="1"/>
  <c r="O64" i="1"/>
  <c r="N64" i="1"/>
  <c r="M64" i="1"/>
  <c r="L64" i="1"/>
  <c r="K64" i="1"/>
  <c r="J64" i="1"/>
  <c r="I64" i="1"/>
  <c r="F64" i="1" s="1"/>
  <c r="H64" i="1"/>
  <c r="G64" i="1"/>
  <c r="R63" i="1"/>
  <c r="Q63" i="1"/>
  <c r="P63" i="1"/>
  <c r="O63" i="1"/>
  <c r="N63" i="1"/>
  <c r="M63" i="1"/>
  <c r="L63" i="1"/>
  <c r="K63" i="1"/>
  <c r="J63" i="1"/>
  <c r="I63" i="1"/>
  <c r="H63" i="1"/>
  <c r="G63" i="1"/>
  <c r="R62" i="1"/>
  <c r="Q62" i="1"/>
  <c r="P62" i="1"/>
  <c r="O62" i="1"/>
  <c r="N62" i="1"/>
  <c r="M62" i="1"/>
  <c r="L62" i="1"/>
  <c r="K62" i="1"/>
  <c r="J62" i="1"/>
  <c r="I62" i="1"/>
  <c r="H62" i="1"/>
  <c r="F62" i="1" s="1"/>
  <c r="G62" i="1"/>
  <c r="R61" i="1"/>
  <c r="Q61" i="1"/>
  <c r="P61" i="1"/>
  <c r="O61" i="1"/>
  <c r="N61" i="1"/>
  <c r="M61" i="1"/>
  <c r="L61" i="1"/>
  <c r="K61" i="1"/>
  <c r="J61" i="1"/>
  <c r="I61" i="1"/>
  <c r="H61" i="1"/>
  <c r="G61" i="1"/>
  <c r="R60" i="1"/>
  <c r="Q60" i="1"/>
  <c r="P60" i="1"/>
  <c r="O60" i="1"/>
  <c r="N60" i="1"/>
  <c r="M60" i="1"/>
  <c r="L60" i="1"/>
  <c r="K60" i="1"/>
  <c r="J60" i="1"/>
  <c r="I60" i="1"/>
  <c r="H60" i="1"/>
  <c r="G60" i="1"/>
  <c r="R59" i="1"/>
  <c r="Q59" i="1"/>
  <c r="P59" i="1"/>
  <c r="O59" i="1"/>
  <c r="N59" i="1"/>
  <c r="M59" i="1"/>
  <c r="L59" i="1"/>
  <c r="K59" i="1"/>
  <c r="J59" i="1"/>
  <c r="I59" i="1"/>
  <c r="H59" i="1"/>
  <c r="F59" i="1" s="1"/>
  <c r="G59" i="1"/>
  <c r="R58" i="1"/>
  <c r="Q58" i="1"/>
  <c r="P58" i="1"/>
  <c r="O58" i="1"/>
  <c r="N58" i="1"/>
  <c r="M58" i="1"/>
  <c r="L58" i="1"/>
  <c r="K58" i="1"/>
  <c r="J58" i="1"/>
  <c r="I58" i="1"/>
  <c r="H58" i="1"/>
  <c r="G58" i="1"/>
  <c r="R57" i="1"/>
  <c r="Q57" i="1"/>
  <c r="P57" i="1"/>
  <c r="O57" i="1"/>
  <c r="N57" i="1"/>
  <c r="M57" i="1"/>
  <c r="L57" i="1"/>
  <c r="K57" i="1"/>
  <c r="J57" i="1"/>
  <c r="I57" i="1"/>
  <c r="H57" i="1"/>
  <c r="G57" i="1"/>
  <c r="R56" i="1"/>
  <c r="Q56" i="1"/>
  <c r="P56" i="1"/>
  <c r="O56" i="1"/>
  <c r="N56" i="1"/>
  <c r="M56" i="1"/>
  <c r="L56" i="1"/>
  <c r="K56" i="1"/>
  <c r="J56" i="1"/>
  <c r="I56" i="1"/>
  <c r="H56" i="1"/>
  <c r="G56" i="1"/>
  <c r="R55" i="1"/>
  <c r="Q55" i="1"/>
  <c r="P55" i="1"/>
  <c r="O55" i="1"/>
  <c r="N55" i="1"/>
  <c r="M55" i="1"/>
  <c r="L55" i="1"/>
  <c r="K55" i="1"/>
  <c r="J55" i="1"/>
  <c r="I55" i="1"/>
  <c r="H55" i="1"/>
  <c r="F55" i="1" s="1"/>
  <c r="G55" i="1"/>
  <c r="R54" i="1"/>
  <c r="Q54" i="1"/>
  <c r="P54" i="1"/>
  <c r="O54" i="1"/>
  <c r="N54" i="1"/>
  <c r="M54" i="1"/>
  <c r="L54" i="1"/>
  <c r="K54" i="1"/>
  <c r="J54" i="1"/>
  <c r="I54" i="1"/>
  <c r="H54" i="1"/>
  <c r="G54" i="1"/>
  <c r="R53" i="1"/>
  <c r="Q53" i="1"/>
  <c r="P53" i="1"/>
  <c r="O53" i="1"/>
  <c r="N53" i="1"/>
  <c r="M53" i="1"/>
  <c r="L53" i="1"/>
  <c r="K53" i="1"/>
  <c r="J53" i="1"/>
  <c r="I53" i="1"/>
  <c r="H53" i="1"/>
  <c r="F53" i="1" s="1"/>
  <c r="G53" i="1"/>
  <c r="R52" i="1"/>
  <c r="Q52" i="1"/>
  <c r="P52" i="1"/>
  <c r="O52" i="1"/>
  <c r="N52" i="1"/>
  <c r="M52" i="1"/>
  <c r="L52" i="1"/>
  <c r="K52" i="1"/>
  <c r="J52" i="1"/>
  <c r="I52" i="1"/>
  <c r="F52" i="1" s="1"/>
  <c r="H52" i="1"/>
  <c r="G52" i="1"/>
  <c r="R51" i="1"/>
  <c r="F51" i="1" s="1"/>
  <c r="Q51" i="1"/>
  <c r="P51" i="1"/>
  <c r="O51" i="1"/>
  <c r="N51" i="1"/>
  <c r="M51" i="1"/>
  <c r="L51" i="1"/>
  <c r="K51" i="1"/>
  <c r="J51" i="1"/>
  <c r="I51" i="1"/>
  <c r="H51" i="1"/>
  <c r="G51" i="1"/>
  <c r="R50" i="1"/>
  <c r="Q50" i="1"/>
  <c r="P50" i="1"/>
  <c r="O50" i="1"/>
  <c r="N50" i="1"/>
  <c r="M50" i="1"/>
  <c r="L50" i="1"/>
  <c r="K50" i="1"/>
  <c r="J50" i="1"/>
  <c r="I50" i="1"/>
  <c r="H50" i="1"/>
  <c r="G50" i="1"/>
  <c r="R49" i="1"/>
  <c r="Q49" i="1"/>
  <c r="P49" i="1"/>
  <c r="O49" i="1"/>
  <c r="N49" i="1"/>
  <c r="M49" i="1"/>
  <c r="L49" i="1"/>
  <c r="K49" i="1"/>
  <c r="J49" i="1"/>
  <c r="I49" i="1"/>
  <c r="H49" i="1"/>
  <c r="F49" i="1" s="1"/>
  <c r="G49" i="1"/>
  <c r="R48" i="1"/>
  <c r="Q48" i="1"/>
  <c r="P48" i="1"/>
  <c r="O48" i="1"/>
  <c r="N48" i="1"/>
  <c r="M48" i="1"/>
  <c r="L48" i="1"/>
  <c r="K48" i="1"/>
  <c r="J48" i="1"/>
  <c r="I48" i="1"/>
  <c r="F48" i="1" s="1"/>
  <c r="H48" i="1"/>
  <c r="G48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 s="1"/>
  <c r="R46" i="1"/>
  <c r="Q46" i="1"/>
  <c r="P46" i="1"/>
  <c r="O46" i="1"/>
  <c r="N46" i="1"/>
  <c r="M46" i="1"/>
  <c r="L46" i="1"/>
  <c r="K46" i="1"/>
  <c r="J46" i="1"/>
  <c r="I46" i="1"/>
  <c r="H46" i="1"/>
  <c r="G46" i="1"/>
  <c r="R45" i="1"/>
  <c r="Q45" i="1"/>
  <c r="P45" i="1"/>
  <c r="O45" i="1"/>
  <c r="N45" i="1"/>
  <c r="M45" i="1"/>
  <c r="L45" i="1"/>
  <c r="K45" i="1"/>
  <c r="J45" i="1"/>
  <c r="I45" i="1"/>
  <c r="H45" i="1"/>
  <c r="F45" i="1" s="1"/>
  <c r="G45" i="1"/>
  <c r="R44" i="1"/>
  <c r="Q44" i="1"/>
  <c r="P44" i="1"/>
  <c r="O44" i="1"/>
  <c r="N44" i="1"/>
  <c r="M44" i="1"/>
  <c r="L44" i="1"/>
  <c r="K44" i="1"/>
  <c r="J44" i="1"/>
  <c r="I44" i="1"/>
  <c r="H44" i="1"/>
  <c r="G44" i="1"/>
  <c r="R43" i="1"/>
  <c r="Q43" i="1"/>
  <c r="P43" i="1"/>
  <c r="O43" i="1"/>
  <c r="N43" i="1"/>
  <c r="M43" i="1"/>
  <c r="L43" i="1"/>
  <c r="K43" i="1"/>
  <c r="J43" i="1"/>
  <c r="I43" i="1"/>
  <c r="H43" i="1"/>
  <c r="G43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R41" i="1"/>
  <c r="Q41" i="1"/>
  <c r="P41" i="1"/>
  <c r="O41" i="1"/>
  <c r="N41" i="1"/>
  <c r="M41" i="1"/>
  <c r="L41" i="1"/>
  <c r="K41" i="1"/>
  <c r="J41" i="1"/>
  <c r="I41" i="1"/>
  <c r="H41" i="1"/>
  <c r="F41" i="1" s="1"/>
  <c r="G41" i="1"/>
  <c r="R40" i="1"/>
  <c r="Q40" i="1"/>
  <c r="P40" i="1"/>
  <c r="O40" i="1"/>
  <c r="N40" i="1"/>
  <c r="M40" i="1"/>
  <c r="L40" i="1"/>
  <c r="K40" i="1"/>
  <c r="J40" i="1"/>
  <c r="I40" i="1"/>
  <c r="H40" i="1"/>
  <c r="G40" i="1"/>
  <c r="R39" i="1"/>
  <c r="Q39" i="1"/>
  <c r="P39" i="1"/>
  <c r="O39" i="1"/>
  <c r="N39" i="1"/>
  <c r="M39" i="1"/>
  <c r="L39" i="1"/>
  <c r="K39" i="1"/>
  <c r="J39" i="1"/>
  <c r="I39" i="1"/>
  <c r="H39" i="1"/>
  <c r="G39" i="1"/>
  <c r="R38" i="1"/>
  <c r="Q38" i="1"/>
  <c r="P38" i="1"/>
  <c r="O38" i="1"/>
  <c r="N38" i="1"/>
  <c r="M38" i="1"/>
  <c r="L38" i="1"/>
  <c r="K38" i="1"/>
  <c r="J38" i="1"/>
  <c r="I38" i="1"/>
  <c r="F38" i="1" s="1"/>
  <c r="H38" i="1"/>
  <c r="G38" i="1"/>
  <c r="R37" i="1"/>
  <c r="Q37" i="1"/>
  <c r="P37" i="1"/>
  <c r="O37" i="1"/>
  <c r="N37" i="1"/>
  <c r="M37" i="1"/>
  <c r="L37" i="1"/>
  <c r="K37" i="1"/>
  <c r="J37" i="1"/>
  <c r="I37" i="1"/>
  <c r="F37" i="1" s="1"/>
  <c r="H37" i="1"/>
  <c r="G37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 s="1"/>
  <c r="R35" i="1"/>
  <c r="Q35" i="1"/>
  <c r="P35" i="1"/>
  <c r="O35" i="1"/>
  <c r="N35" i="1"/>
  <c r="M35" i="1"/>
  <c r="L35" i="1"/>
  <c r="K35" i="1"/>
  <c r="J35" i="1"/>
  <c r="I35" i="1"/>
  <c r="H35" i="1"/>
  <c r="G35" i="1"/>
  <c r="R34" i="1"/>
  <c r="Q34" i="1"/>
  <c r="P34" i="1"/>
  <c r="O34" i="1"/>
  <c r="N34" i="1"/>
  <c r="M34" i="1"/>
  <c r="L34" i="1"/>
  <c r="K34" i="1"/>
  <c r="J34" i="1"/>
  <c r="I34" i="1"/>
  <c r="H34" i="1"/>
  <c r="G34" i="1"/>
  <c r="R33" i="1"/>
  <c r="Q33" i="1"/>
  <c r="P33" i="1"/>
  <c r="O33" i="1"/>
  <c r="N33" i="1"/>
  <c r="M33" i="1"/>
  <c r="L33" i="1"/>
  <c r="K33" i="1"/>
  <c r="J33" i="1"/>
  <c r="I33" i="1"/>
  <c r="H33" i="1"/>
  <c r="G33" i="1"/>
  <c r="R32" i="1"/>
  <c r="Q32" i="1"/>
  <c r="P32" i="1"/>
  <c r="O32" i="1"/>
  <c r="N32" i="1"/>
  <c r="M32" i="1"/>
  <c r="L32" i="1"/>
  <c r="K32" i="1"/>
  <c r="J32" i="1"/>
  <c r="I32" i="1"/>
  <c r="H32" i="1"/>
  <c r="F32" i="1" s="1"/>
  <c r="G32" i="1"/>
  <c r="R31" i="1"/>
  <c r="Q31" i="1"/>
  <c r="P31" i="1"/>
  <c r="O31" i="1"/>
  <c r="N31" i="1"/>
  <c r="M31" i="1"/>
  <c r="L31" i="1"/>
  <c r="K31" i="1"/>
  <c r="J31" i="1"/>
  <c r="I31" i="1"/>
  <c r="F31" i="1" s="1"/>
  <c r="H31" i="1"/>
  <c r="G31" i="1"/>
  <c r="R30" i="1"/>
  <c r="Q30" i="1"/>
  <c r="P30" i="1"/>
  <c r="O30" i="1"/>
  <c r="N30" i="1"/>
  <c r="M30" i="1"/>
  <c r="L30" i="1"/>
  <c r="K30" i="1"/>
  <c r="J30" i="1"/>
  <c r="I30" i="1"/>
  <c r="F30" i="1" s="1"/>
  <c r="H30" i="1"/>
  <c r="G30" i="1"/>
  <c r="R29" i="1"/>
  <c r="Q29" i="1"/>
  <c r="P29" i="1"/>
  <c r="O29" i="1"/>
  <c r="N29" i="1"/>
  <c r="M29" i="1"/>
  <c r="L29" i="1"/>
  <c r="K29" i="1"/>
  <c r="J29" i="1"/>
  <c r="I29" i="1"/>
  <c r="H29" i="1"/>
  <c r="G29" i="1"/>
  <c r="R28" i="1"/>
  <c r="Q28" i="1"/>
  <c r="P28" i="1"/>
  <c r="O28" i="1"/>
  <c r="N28" i="1"/>
  <c r="M28" i="1"/>
  <c r="L28" i="1"/>
  <c r="K28" i="1"/>
  <c r="J28" i="1"/>
  <c r="I28" i="1"/>
  <c r="H28" i="1"/>
  <c r="F28" i="1" s="1"/>
  <c r="G28" i="1"/>
  <c r="R27" i="1"/>
  <c r="Q27" i="1"/>
  <c r="P27" i="1"/>
  <c r="O27" i="1"/>
  <c r="N27" i="1"/>
  <c r="M27" i="1"/>
  <c r="L27" i="1"/>
  <c r="K27" i="1"/>
  <c r="J27" i="1"/>
  <c r="I27" i="1"/>
  <c r="H27" i="1"/>
  <c r="F27" i="1" s="1"/>
  <c r="G27" i="1"/>
  <c r="R26" i="1"/>
  <c r="Q26" i="1"/>
  <c r="P26" i="1"/>
  <c r="O26" i="1"/>
  <c r="N26" i="1"/>
  <c r="M26" i="1"/>
  <c r="L26" i="1"/>
  <c r="K26" i="1"/>
  <c r="J26" i="1"/>
  <c r="I26" i="1"/>
  <c r="F26" i="1" s="1"/>
  <c r="H26" i="1"/>
  <c r="G26" i="1"/>
  <c r="R25" i="1"/>
  <c r="Q25" i="1"/>
  <c r="P25" i="1"/>
  <c r="O25" i="1"/>
  <c r="N25" i="1"/>
  <c r="M25" i="1"/>
  <c r="L25" i="1"/>
  <c r="K25" i="1"/>
  <c r="J25" i="1"/>
  <c r="I25" i="1"/>
  <c r="F25" i="1" s="1"/>
  <c r="H25" i="1"/>
  <c r="G25" i="1"/>
  <c r="R24" i="1"/>
  <c r="Q24" i="1"/>
  <c r="P24" i="1"/>
  <c r="O24" i="1"/>
  <c r="N24" i="1"/>
  <c r="M24" i="1"/>
  <c r="L24" i="1"/>
  <c r="K24" i="1"/>
  <c r="J24" i="1"/>
  <c r="I24" i="1"/>
  <c r="F24" i="1" s="1"/>
  <c r="H24" i="1"/>
  <c r="G24" i="1"/>
  <c r="R23" i="1"/>
  <c r="Q23" i="1"/>
  <c r="P23" i="1"/>
  <c r="O23" i="1"/>
  <c r="N23" i="1"/>
  <c r="M23" i="1"/>
  <c r="L23" i="1"/>
  <c r="K23" i="1"/>
  <c r="J23" i="1"/>
  <c r="I23" i="1"/>
  <c r="H23" i="1"/>
  <c r="F23" i="1" s="1"/>
  <c r="G23" i="1"/>
  <c r="R22" i="1"/>
  <c r="Q22" i="1"/>
  <c r="P22" i="1"/>
  <c r="O22" i="1"/>
  <c r="N22" i="1"/>
  <c r="M22" i="1"/>
  <c r="L22" i="1"/>
  <c r="K22" i="1"/>
  <c r="J22" i="1"/>
  <c r="I22" i="1"/>
  <c r="H22" i="1"/>
  <c r="G22" i="1"/>
  <c r="R21" i="1"/>
  <c r="Q21" i="1"/>
  <c r="P21" i="1"/>
  <c r="O21" i="1"/>
  <c r="N21" i="1"/>
  <c r="M21" i="1"/>
  <c r="L21" i="1"/>
  <c r="K21" i="1"/>
  <c r="J21" i="1"/>
  <c r="I21" i="1"/>
  <c r="H21" i="1"/>
  <c r="F21" i="1" s="1"/>
  <c r="G21" i="1"/>
  <c r="R20" i="1"/>
  <c r="Q20" i="1"/>
  <c r="P20" i="1"/>
  <c r="O20" i="1"/>
  <c r="N20" i="1"/>
  <c r="M20" i="1"/>
  <c r="L20" i="1"/>
  <c r="K20" i="1"/>
  <c r="J20" i="1"/>
  <c r="I20" i="1"/>
  <c r="H20" i="1"/>
  <c r="F20" i="1" s="1"/>
  <c r="G20" i="1"/>
  <c r="R19" i="1"/>
  <c r="Q19" i="1"/>
  <c r="P19" i="1"/>
  <c r="O19" i="1"/>
  <c r="N19" i="1"/>
  <c r="M19" i="1"/>
  <c r="L19" i="1"/>
  <c r="K19" i="1"/>
  <c r="J19" i="1"/>
  <c r="I19" i="1"/>
  <c r="H19" i="1"/>
  <c r="G19" i="1"/>
  <c r="R18" i="1"/>
  <c r="Q18" i="1"/>
  <c r="P18" i="1"/>
  <c r="O18" i="1"/>
  <c r="N18" i="1"/>
  <c r="M18" i="1"/>
  <c r="L18" i="1"/>
  <c r="K18" i="1"/>
  <c r="J18" i="1"/>
  <c r="I18" i="1"/>
  <c r="H18" i="1"/>
  <c r="F18" i="1" s="1"/>
  <c r="G18" i="1"/>
  <c r="R17" i="1"/>
  <c r="Q17" i="1"/>
  <c r="P17" i="1"/>
  <c r="O17" i="1"/>
  <c r="N17" i="1"/>
  <c r="M17" i="1"/>
  <c r="L17" i="1"/>
  <c r="K17" i="1"/>
  <c r="J17" i="1"/>
  <c r="I17" i="1"/>
  <c r="F17" i="1" s="1"/>
  <c r="H17" i="1"/>
  <c r="G17" i="1"/>
  <c r="R16" i="1"/>
  <c r="Q16" i="1"/>
  <c r="P16" i="1"/>
  <c r="O16" i="1"/>
  <c r="N16" i="1"/>
  <c r="M16" i="1"/>
  <c r="L16" i="1"/>
  <c r="K16" i="1"/>
  <c r="J16" i="1"/>
  <c r="I16" i="1"/>
  <c r="H16" i="1"/>
  <c r="G16" i="1"/>
  <c r="R15" i="1"/>
  <c r="Q15" i="1"/>
  <c r="P15" i="1"/>
  <c r="O15" i="1"/>
  <c r="N15" i="1"/>
  <c r="M15" i="1"/>
  <c r="L15" i="1"/>
  <c r="K15" i="1"/>
  <c r="J15" i="1"/>
  <c r="I15" i="1"/>
  <c r="H15" i="1"/>
  <c r="F15" i="1" s="1"/>
  <c r="G15" i="1"/>
  <c r="R14" i="1"/>
  <c r="Q14" i="1"/>
  <c r="P14" i="1"/>
  <c r="O14" i="1"/>
  <c r="N14" i="1"/>
  <c r="M14" i="1"/>
  <c r="L14" i="1"/>
  <c r="K14" i="1"/>
  <c r="J14" i="1"/>
  <c r="I14" i="1"/>
  <c r="H14" i="1"/>
  <c r="F14" i="1" s="1"/>
  <c r="G14" i="1"/>
  <c r="R13" i="1"/>
  <c r="Q13" i="1"/>
  <c r="P13" i="1"/>
  <c r="O13" i="1"/>
  <c r="N13" i="1"/>
  <c r="M13" i="1"/>
  <c r="L13" i="1"/>
  <c r="K13" i="1"/>
  <c r="J13" i="1"/>
  <c r="I13" i="1"/>
  <c r="H13" i="1"/>
  <c r="F13" i="1" s="1"/>
  <c r="G13" i="1"/>
  <c r="R12" i="1"/>
  <c r="Q12" i="1"/>
  <c r="P12" i="1"/>
  <c r="O12" i="1"/>
  <c r="N12" i="1"/>
  <c r="M12" i="1"/>
  <c r="L12" i="1"/>
  <c r="K12" i="1"/>
  <c r="J12" i="1"/>
  <c r="I12" i="1"/>
  <c r="H12" i="1"/>
  <c r="G12" i="1"/>
  <c r="R11" i="1"/>
  <c r="Q11" i="1"/>
  <c r="P11" i="1"/>
  <c r="O11" i="1"/>
  <c r="N11" i="1"/>
  <c r="M11" i="1"/>
  <c r="L11" i="1"/>
  <c r="K11" i="1"/>
  <c r="J11" i="1"/>
  <c r="I11" i="1"/>
  <c r="H11" i="1"/>
  <c r="F11" i="1" s="1"/>
  <c r="G11" i="1"/>
  <c r="R10" i="1"/>
  <c r="Q10" i="1"/>
  <c r="P10" i="1"/>
  <c r="O10" i="1"/>
  <c r="N10" i="1"/>
  <c r="M10" i="1"/>
  <c r="L10" i="1"/>
  <c r="K10" i="1"/>
  <c r="J10" i="1"/>
  <c r="I10" i="1"/>
  <c r="H10" i="1"/>
  <c r="F10" i="1" s="1"/>
  <c r="G10" i="1"/>
  <c r="R9" i="1"/>
  <c r="Q9" i="1"/>
  <c r="P9" i="1"/>
  <c r="O9" i="1"/>
  <c r="N9" i="1"/>
  <c r="M9" i="1"/>
  <c r="L9" i="1"/>
  <c r="K9" i="1"/>
  <c r="J9" i="1"/>
  <c r="I9" i="1"/>
  <c r="H9" i="1"/>
  <c r="G9" i="1"/>
  <c r="R8" i="1"/>
  <c r="Q8" i="1"/>
  <c r="P8" i="1"/>
  <c r="O8" i="1"/>
  <c r="N8" i="1"/>
  <c r="M8" i="1"/>
  <c r="L8" i="1"/>
  <c r="K8" i="1"/>
  <c r="J8" i="1"/>
  <c r="I8" i="1"/>
  <c r="H8" i="1"/>
  <c r="F8" i="1" s="1"/>
  <c r="G8" i="1"/>
  <c r="R7" i="1"/>
  <c r="Q7" i="1"/>
  <c r="P7" i="1"/>
  <c r="O7" i="1"/>
  <c r="N7" i="1"/>
  <c r="M7" i="1"/>
  <c r="L7" i="1"/>
  <c r="K7" i="1"/>
  <c r="J7" i="1"/>
  <c r="I7" i="1"/>
  <c r="H7" i="1"/>
  <c r="G7" i="1"/>
  <c r="R6" i="1"/>
  <c r="Q6" i="1"/>
  <c r="P6" i="1"/>
  <c r="O6" i="1"/>
  <c r="N6" i="1"/>
  <c r="M6" i="1"/>
  <c r="L6" i="1"/>
  <c r="K6" i="1"/>
  <c r="J6" i="1"/>
  <c r="I6" i="1"/>
  <c r="H6" i="1"/>
  <c r="F6" i="1" s="1"/>
  <c r="G6" i="1"/>
  <c r="R5" i="1"/>
  <c r="Q5" i="1"/>
  <c r="P5" i="1"/>
  <c r="O5" i="1"/>
  <c r="N5" i="1"/>
  <c r="M5" i="1"/>
  <c r="L5" i="1"/>
  <c r="K5" i="1"/>
  <c r="J5" i="1"/>
  <c r="I5" i="1"/>
  <c r="F5" i="1" s="1"/>
  <c r="H5" i="1"/>
  <c r="G5" i="1"/>
  <c r="R4" i="1"/>
  <c r="F4" i="1" s="1"/>
  <c r="Q4" i="1"/>
  <c r="P4" i="1"/>
  <c r="O4" i="1"/>
  <c r="N4" i="1"/>
  <c r="M4" i="1"/>
  <c r="L4" i="1"/>
  <c r="K4" i="1"/>
  <c r="J4" i="1"/>
  <c r="I4" i="1"/>
  <c r="H4" i="1"/>
  <c r="G4" i="1"/>
  <c r="R3" i="1"/>
  <c r="Q3" i="1"/>
  <c r="P3" i="1"/>
  <c r="O3" i="1"/>
  <c r="N3" i="1"/>
  <c r="M3" i="1"/>
  <c r="L3" i="1"/>
  <c r="K3" i="1"/>
  <c r="J3" i="1"/>
  <c r="I3" i="1"/>
  <c r="H3" i="1"/>
  <c r="G3" i="1"/>
  <c r="G107" i="1" s="1"/>
  <c r="F12" i="1" l="1"/>
  <c r="F50" i="1"/>
  <c r="F91" i="1"/>
  <c r="F103" i="1"/>
  <c r="F104" i="1"/>
  <c r="H107" i="1"/>
  <c r="F9" i="1"/>
  <c r="F56" i="1"/>
  <c r="F57" i="1"/>
  <c r="F105" i="1"/>
  <c r="I107" i="1"/>
  <c r="F19" i="1"/>
  <c r="F22" i="1"/>
  <c r="F34" i="1"/>
  <c r="F58" i="1"/>
  <c r="F65" i="1"/>
  <c r="F66" i="1"/>
  <c r="F77" i="1"/>
  <c r="F81" i="1"/>
  <c r="F87" i="1"/>
  <c r="F33" i="1"/>
  <c r="F35" i="1"/>
  <c r="F43" i="1"/>
  <c r="F44" i="1"/>
  <c r="F46" i="1"/>
  <c r="F67" i="1"/>
  <c r="F74" i="1"/>
  <c r="F75" i="1"/>
  <c r="F78" i="1"/>
  <c r="F99" i="1"/>
  <c r="F100" i="1"/>
  <c r="F7" i="1"/>
  <c r="F16" i="1"/>
  <c r="F29" i="1"/>
  <c r="F54" i="1"/>
  <c r="F83" i="1"/>
  <c r="T107" i="1"/>
  <c r="F39" i="1"/>
  <c r="F40" i="1"/>
  <c r="F60" i="1"/>
  <c r="F61" i="1"/>
  <c r="F63" i="1"/>
  <c r="F70" i="1"/>
  <c r="F71" i="1"/>
  <c r="F84" i="1"/>
  <c r="F85" i="1"/>
  <c r="F94" i="1"/>
  <c r="F95" i="1"/>
  <c r="F3" i="1"/>
</calcChain>
</file>

<file path=xl/sharedStrings.xml><?xml version="1.0" encoding="utf-8"?>
<sst xmlns="http://schemas.openxmlformats.org/spreadsheetml/2006/main" count="204" uniqueCount="185">
  <si>
    <t>Total Stories</t>
  </si>
  <si>
    <t>Test Case Execution Summary</t>
  </si>
  <si>
    <t>Defect Summary</t>
  </si>
  <si>
    <t>Feature ID</t>
  </si>
  <si>
    <t>Initiative</t>
  </si>
  <si>
    <t>Sub Initiative</t>
  </si>
  <si>
    <t>Module/ Textverification</t>
  </si>
  <si>
    <t>Parent Title</t>
  </si>
  <si>
    <t>RAG</t>
  </si>
  <si>
    <t>Stories Delivered</t>
  </si>
  <si>
    <t>Stories Not Delivered</t>
  </si>
  <si>
    <t>Total Test Cases</t>
  </si>
  <si>
    <t>Completed Test Cases</t>
  </si>
  <si>
    <t>Pass</t>
  </si>
  <si>
    <t>Fail</t>
  </si>
  <si>
    <t>Not Tested</t>
  </si>
  <si>
    <t>Pass %</t>
  </si>
  <si>
    <t>Fail %</t>
  </si>
  <si>
    <t>Not Tested %</t>
  </si>
  <si>
    <t>Execution %</t>
  </si>
  <si>
    <t>Total</t>
  </si>
  <si>
    <t>Critical</t>
  </si>
  <si>
    <t>High</t>
  </si>
  <si>
    <t>Medium</t>
  </si>
  <si>
    <t>Low</t>
  </si>
  <si>
    <t>Platform Consolidation</t>
  </si>
  <si>
    <t>Analytics</t>
  </si>
  <si>
    <t>March Release Analytics Enhancements</t>
  </si>
  <si>
    <t>Advisory SA Role Sync in DFD, PLD, Define Team</t>
  </si>
  <si>
    <t>Calculator</t>
  </si>
  <si>
    <t>DFD-myISP</t>
  </si>
  <si>
    <t>Song Deals Compliant Logic Update</t>
  </si>
  <si>
    <t>DFD</t>
  </si>
  <si>
    <t>Advisory SA - PLD cancellation and Status sync across DFD, PLD and Define Team</t>
  </si>
  <si>
    <t>ESA role rename to Market Maker ESA</t>
  </si>
  <si>
    <t>Market Maker ESA  - status sync</t>
  </si>
  <si>
    <r>
      <t>ESA role rename to Market Maker ESA</t>
    </r>
    <r>
      <rPr>
        <b/>
        <sz val="10"/>
        <color theme="1"/>
        <rFont val="Calibri"/>
        <family val="2"/>
      </rPr>
      <t>_M</t>
    </r>
  </si>
  <si>
    <t>PLD</t>
  </si>
  <si>
    <r>
      <t>Advisory SA - PLD cancellation and Status sync across DFD, PLD and Define Team</t>
    </r>
    <r>
      <rPr>
        <b/>
        <sz val="10"/>
        <color theme="1"/>
        <rFont val="Calibri"/>
        <family val="2"/>
      </rPr>
      <t>_PLD</t>
    </r>
  </si>
  <si>
    <r>
      <t>ESA role rename to Market Maker ESA</t>
    </r>
    <r>
      <rPr>
        <b/>
        <sz val="10"/>
        <color theme="1"/>
        <rFont val="Calibri"/>
        <family val="2"/>
      </rPr>
      <t>_PLD</t>
    </r>
  </si>
  <si>
    <t>PLD - cancellation</t>
  </si>
  <si>
    <r>
      <t>Advisory SA - PLD cancellation and Status sync across DFD, PLD and Define Team</t>
    </r>
    <r>
      <rPr>
        <b/>
        <sz val="10"/>
        <color theme="1"/>
        <rFont val="Calibri"/>
        <family val="2"/>
      </rPr>
      <t>_PLDCan</t>
    </r>
  </si>
  <si>
    <t>DSP</t>
  </si>
  <si>
    <t>DLC</t>
  </si>
  <si>
    <t>DSP Core Solution Plan Enhancements</t>
  </si>
  <si>
    <t>DSP MDA Enhancements for PPT/PDF</t>
  </si>
  <si>
    <r>
      <t>DSP Core Solution Plan Enhancements</t>
    </r>
    <r>
      <rPr>
        <b/>
        <sz val="10"/>
        <color theme="1"/>
        <rFont val="Calibri"/>
        <family val="2"/>
      </rPr>
      <t>_DSP</t>
    </r>
  </si>
  <si>
    <t>PPT/PDF Updated for all SGs</t>
  </si>
  <si>
    <t>DSP March 14th CRs</t>
  </si>
  <si>
    <t>GenAI</t>
  </si>
  <si>
    <t>CDAT</t>
  </si>
  <si>
    <t>CDAT Gen AI additional Nudges addition.</t>
  </si>
  <si>
    <t>GEN AI</t>
  </si>
  <si>
    <t>Retrospective Learnings - Opportunity Benchmarks</t>
  </si>
  <si>
    <t>March Release DLC Revamp - Gen AI</t>
  </si>
  <si>
    <t>S2C_UI and Role Access  changes</t>
  </si>
  <si>
    <t>One-Click Review File – Excel Download with Nudge Details and DSP File Links</t>
  </si>
  <si>
    <t>GEN AI March Enhancements</t>
  </si>
  <si>
    <t>GEN AI Feb Enhancements</t>
  </si>
  <si>
    <t>[Gen AI - SSA] - S2C Use Cases</t>
  </si>
  <si>
    <t>S2C Salesforce Enablement Across Configuration Flows</t>
  </si>
  <si>
    <t>Solution Version Comparator Feature in SSA</t>
  </si>
  <si>
    <t>HSP March Release Enhancements</t>
  </si>
  <si>
    <t>GEN AI QDI March Enhancements</t>
  </si>
  <si>
    <t>[Gen AI - SSA] - Enhancements of SSA Chat</t>
  </si>
  <si>
    <t>[Gen AI - SSA] - Enhancement of SSA Agent info. pane.</t>
  </si>
  <si>
    <t>Solution Review Agent</t>
  </si>
  <si>
    <t>[Gen AI - SRA] - Review Agent L2 summarization</t>
  </si>
  <si>
    <t>[Gen AI - SRA] - UI changes in Review Agent</t>
  </si>
  <si>
    <t>[Gen AI - SRA] - SRA Landing Page with DSP, RFP Synthesis Version, Deal Level Canvas, Review Outcomes</t>
  </si>
  <si>
    <t>[Gen AI - SRA] Introducing Opportunity Context screen in Solution Review Agent</t>
  </si>
  <si>
    <t>Solution Super Agent</t>
  </si>
  <si>
    <t>CR: [Gen AI - SSA] - Featuring SSA chat as part of the screen</t>
  </si>
  <si>
    <t>[Gen AI - SSA] - Span of Search</t>
  </si>
  <si>
    <t>[SSA - SCA] - Prompt Library UI changes</t>
  </si>
  <si>
    <t>[Gen AI - SSA] - PII Reporting form changes.</t>
  </si>
  <si>
    <r>
      <t>[Gen AI - SSA] - S2C Use Cases</t>
    </r>
    <r>
      <rPr>
        <b/>
        <sz val="10"/>
        <color theme="1"/>
        <rFont val="Calibri"/>
        <family val="2"/>
      </rPr>
      <t>_SuperAgent</t>
    </r>
  </si>
  <si>
    <r>
      <t>[Gen AI - SSA] - Enhancement of SSA Agent info. pane.</t>
    </r>
    <r>
      <rPr>
        <b/>
        <sz val="10"/>
        <color theme="1"/>
        <rFont val="Calibri"/>
        <family val="2"/>
      </rPr>
      <t>_SuperAgent</t>
    </r>
  </si>
  <si>
    <r>
      <t>[Gen AI - SRA] - UI changes in Review Agent</t>
    </r>
    <r>
      <rPr>
        <b/>
        <sz val="10"/>
        <color theme="1"/>
        <rFont val="Calibri"/>
        <family val="2"/>
      </rPr>
      <t>_SuperAgent</t>
    </r>
  </si>
  <si>
    <t>KDA</t>
  </si>
  <si>
    <t>DCSO</t>
  </si>
  <si>
    <t>myISP - Digital DCSO</t>
  </si>
  <si>
    <t>MSDA</t>
  </si>
  <si>
    <t>MDA</t>
  </si>
  <si>
    <t>MDA IMS Personalization - March Release</t>
  </si>
  <si>
    <t>[MDA-AMS]: View Group-wise Data Across Headcount &amp; Pyramid Reports for Both OCP &amp; MMP routes for Both OCP &amp; MMP Route</t>
  </si>
  <si>
    <t>Change Request for MDA PBI reports- March Release</t>
  </si>
  <si>
    <t>MDA‑Common: Enable Lead Solution Architects to Create MSDA Deal Versions</t>
  </si>
  <si>
    <t>myISP_BPMS</t>
  </si>
  <si>
    <t>BPMS Onboarding</t>
  </si>
  <si>
    <t>BPMS Reporting &amp; Compliance UI Suggestions post demo call</t>
  </si>
  <si>
    <t>Solution Simplification mandatory field updates</t>
  </si>
  <si>
    <t>Capco Template - Enhancement</t>
  </si>
  <si>
    <t>TfO Internal Approvals: Enable auto‑approval when lead does not approve the  approval request</t>
  </si>
  <si>
    <t>Custom meeting slots for BPMS meeting scheduler</t>
  </si>
  <si>
    <t>VMM out of scope status and risk and compliance auto insert block for Foxtrot Q1 = No</t>
  </si>
  <si>
    <t>Benchmark Report - Add a column for Lead SA - Operations</t>
  </si>
  <si>
    <t>Reporting Layer: CXTA Fields to be added</t>
  </si>
  <si>
    <t>Client name should be mapped to MasterCustomerNM in Mob architect , CXTA email &amp; Reporting Layer</t>
  </si>
  <si>
    <t>Diel hierarchy - rolled up revenue</t>
  </si>
  <si>
    <t>Addition of information in mobilization SA and CXTA User request email</t>
  </si>
  <si>
    <t>Generative AI productivity calculation by Year on Year productivity % in separate columns</t>
  </si>
  <si>
    <t>Enterprise SA should have Read–Write access to the Reporting &amp; Compliance module</t>
  </si>
  <si>
    <t>Operations toggle enable only for BPMS SG</t>
  </si>
  <si>
    <t>Solution status based on Transition status stream</t>
  </si>
  <si>
    <t>NextGen</t>
  </si>
  <si>
    <t>Advisory SA - SONG</t>
  </si>
  <si>
    <t>PLD - Advisory SA Role</t>
  </si>
  <si>
    <t xml:space="preserve">Advisory SA - Song </t>
  </si>
  <si>
    <r>
      <t>PLD - Advisory SA Role</t>
    </r>
    <r>
      <rPr>
        <b/>
        <sz val="11"/>
        <color theme="1"/>
        <rFont val="Aptos Narrow"/>
        <family val="2"/>
        <scheme val="minor"/>
      </rPr>
      <t>_Song</t>
    </r>
  </si>
  <si>
    <t>Advisory SA - SONG role enablement</t>
  </si>
  <si>
    <r>
      <t>Advisory SA Role Sync in DFD, PLD, Define Team</t>
    </r>
    <r>
      <rPr>
        <b/>
        <sz val="10"/>
        <color theme="1"/>
        <rFont val="Calibri"/>
        <family val="2"/>
      </rPr>
      <t>_ASA</t>
    </r>
  </si>
  <si>
    <r>
      <t>March Release Analytics Enhancements</t>
    </r>
    <r>
      <rPr>
        <b/>
        <sz val="10"/>
        <color theme="1"/>
        <rFont val="Calibri"/>
        <family val="2"/>
      </rPr>
      <t>_Analytics</t>
    </r>
  </si>
  <si>
    <t>RA BPMS Feedback</t>
  </si>
  <si>
    <t>Common</t>
  </si>
  <si>
    <t>Comma formatting in all raise request emails</t>
  </si>
  <si>
    <t>Cross Service PLD</t>
  </si>
  <si>
    <t>Feb21||UAT1||PLD||In Cluster management under Generate Pricing-&gt;One Click Pricing, Add Group is enabled in Actions column for cross service lead role.</t>
  </si>
  <si>
    <r>
      <t>myISP - Digital DCSO</t>
    </r>
    <r>
      <rPr>
        <b/>
        <sz val="10"/>
        <color theme="1"/>
        <rFont val="Calibri"/>
        <family val="2"/>
      </rPr>
      <t>_DCSO</t>
    </r>
  </si>
  <si>
    <t>Document Type Rename</t>
  </si>
  <si>
    <r>
      <t>March Release NextGen Enhancements</t>
    </r>
    <r>
      <rPr>
        <b/>
        <sz val="10"/>
        <color theme="1"/>
        <rFont val="Calibri"/>
        <family val="2"/>
      </rPr>
      <t>_DTR</t>
    </r>
  </si>
  <si>
    <t>ESA to Market Maker ESA</t>
  </si>
  <si>
    <r>
      <t>March Release NextGen Enhancements</t>
    </r>
    <r>
      <rPr>
        <b/>
        <sz val="10"/>
        <color theme="1"/>
        <rFont val="Calibri"/>
        <family val="2"/>
      </rPr>
      <t>_ESA</t>
    </r>
  </si>
  <si>
    <r>
      <t>March Release Analytics Enhancements</t>
    </r>
    <r>
      <rPr>
        <b/>
        <sz val="10"/>
        <color theme="1"/>
        <rFont val="Calibri"/>
        <family val="2"/>
      </rPr>
      <t>_ESA</t>
    </r>
  </si>
  <si>
    <t>myISP Enhancements</t>
  </si>
  <si>
    <r>
      <t>March Release NextGen Enhancements</t>
    </r>
    <r>
      <rPr>
        <b/>
        <sz val="10"/>
        <color theme="1"/>
        <rFont val="Calibri"/>
        <family val="2"/>
      </rPr>
      <t>_MYISP Enhancements</t>
    </r>
  </si>
  <si>
    <t>Role Rename</t>
  </si>
  <si>
    <r>
      <t>March Release NextGen Enhancements</t>
    </r>
    <r>
      <rPr>
        <b/>
        <sz val="10"/>
        <color theme="1"/>
        <rFont val="Calibri"/>
        <family val="2"/>
      </rPr>
      <t>_Rolerename</t>
    </r>
  </si>
  <si>
    <t>Self Assign</t>
  </si>
  <si>
    <r>
      <t>March Release NextGen Enhancements</t>
    </r>
    <r>
      <rPr>
        <b/>
        <sz val="10"/>
        <color theme="1"/>
        <rFont val="Calibri"/>
        <family val="2"/>
      </rPr>
      <t>_SelfAssign</t>
    </r>
  </si>
  <si>
    <t>SI - pcw</t>
  </si>
  <si>
    <r>
      <t>myISP - Digital DCSO</t>
    </r>
    <r>
      <rPr>
        <b/>
        <sz val="11"/>
        <color theme="1"/>
        <rFont val="Aptos Narrow"/>
        <family val="2"/>
        <scheme val="minor"/>
      </rPr>
      <t>_SIPCW</t>
    </r>
  </si>
  <si>
    <t>Small Deal - COE</t>
  </si>
  <si>
    <r>
      <t>Advisory SA Role Sync in DFD, PLD, Define Team</t>
    </r>
    <r>
      <rPr>
        <b/>
        <sz val="10"/>
        <color theme="1"/>
        <rFont val="Calibri"/>
        <family val="2"/>
      </rPr>
      <t>_COE</t>
    </r>
  </si>
  <si>
    <t>NextGen SI</t>
  </si>
  <si>
    <t>AEP-myISP</t>
  </si>
  <si>
    <t>Enhance AEP refresh feature to handle use cases where SA updates DNP, Pricing, other screens on myISP end</t>
  </si>
  <si>
    <t>PCW</t>
  </si>
  <si>
    <t>Billable Expenses Method as % of Price inclusion in JSON in Lower environment</t>
  </si>
  <si>
    <t>PCW Enhancements and User Feedback - March Release</t>
  </si>
  <si>
    <t>Rapid Soln</t>
  </si>
  <si>
    <t>DATA Refresh</t>
  </si>
  <si>
    <t>Omdia Mapping data FY2025 - for the platform</t>
  </si>
  <si>
    <t>DCTA</t>
  </si>
  <si>
    <t>AMS</t>
  </si>
  <si>
    <t>Updating the logic for calculating productivity assessment values</t>
  </si>
  <si>
    <t>IMS MMP</t>
  </si>
  <si>
    <t>Price to Client after Negotiation Contingency calculation</t>
  </si>
  <si>
    <t>Pricing</t>
  </si>
  <si>
    <r>
      <t>Price to Client after Negotiation Contingency calculation</t>
    </r>
    <r>
      <rPr>
        <b/>
        <sz val="10"/>
        <color theme="1"/>
        <rFont val="Calibri"/>
        <family val="2"/>
      </rPr>
      <t>_Pricing</t>
    </r>
  </si>
  <si>
    <t>SI DCTA</t>
  </si>
  <si>
    <t>Billable Expenses as % of Price UI</t>
  </si>
  <si>
    <t>MMP release: Billable Expense as % of Price</t>
  </si>
  <si>
    <t>SI OCP</t>
  </si>
  <si>
    <t>Billable Expense as % of Price</t>
  </si>
  <si>
    <t>AMS Refactoring Scope</t>
  </si>
  <si>
    <t>AMS MVP1 – Refactoring Scope for Mar 28 (Profiles, Groups, Group‑wide Pricing, Other Cost, Planner Agent)</t>
  </si>
  <si>
    <t xml:space="preserve">AMS Solution Configuration Agent </t>
  </si>
  <si>
    <t>AMS SCA MVP2 March 28th Release Scope</t>
  </si>
  <si>
    <t>AMS - Staffing OU Across versions for AMS &amp; edit in File name</t>
  </si>
  <si>
    <t>Enhancement for Generative AI tab for AMS</t>
  </si>
  <si>
    <r>
      <t>myISP - Digital DCSO</t>
    </r>
    <r>
      <rPr>
        <b/>
        <sz val="10"/>
        <color theme="1"/>
        <rFont val="Calibri"/>
        <family val="2"/>
      </rPr>
      <t>_NGR</t>
    </r>
  </si>
  <si>
    <t>myISP - Online SI API's for DSCO</t>
  </si>
  <si>
    <t>OCP</t>
  </si>
  <si>
    <t>Updating the Staffing  OU Import Export Validation logic based on Modified On column</t>
  </si>
  <si>
    <t>AMS, SI, DCTA</t>
  </si>
  <si>
    <t>Updating the logic for populating the Deal Rag Status in KDA Variance Analysis Report</t>
  </si>
  <si>
    <t>AMS, SI, OCP</t>
  </si>
  <si>
    <r>
      <t>Updating the logic for populating the Deal Rag Status in KDA Variance Analysis Report</t>
    </r>
    <r>
      <rPr>
        <b/>
        <sz val="10"/>
        <color theme="1"/>
        <rFont val="Calibri"/>
        <family val="2"/>
      </rPr>
      <t>_OCP</t>
    </r>
  </si>
  <si>
    <t>BPMS</t>
  </si>
  <si>
    <t>BPMS OCP: Cost/FTE/Year report</t>
  </si>
  <si>
    <t>IMS OCP</t>
  </si>
  <si>
    <r>
      <t>Price to Client after Negotiation Contingency calculation</t>
    </r>
    <r>
      <rPr>
        <b/>
        <sz val="10"/>
        <color theme="1"/>
        <rFont val="Calibri"/>
        <family val="2"/>
      </rPr>
      <t>_IMSOCP</t>
    </r>
  </si>
  <si>
    <t>Sending Roles and Open for SA notes to MSDA along with Cost Description and Category</t>
  </si>
  <si>
    <t>OCP/DCTA</t>
  </si>
  <si>
    <t>OCP/DCTA - Updating the logic for Calculating productivity assessment values in Recommended Productivity section</t>
  </si>
  <si>
    <t>Corrections in OCP/DCTA Resource Level Excel Export Reports</t>
  </si>
  <si>
    <r>
      <t>OCP/DCTA - Updating the logic for Calculating productivity assessment values in Recommended Productivity section</t>
    </r>
    <r>
      <rPr>
        <b/>
        <sz val="10"/>
        <color theme="1"/>
        <rFont val="Calibri"/>
        <family val="2"/>
      </rPr>
      <t>_Pricing</t>
    </r>
  </si>
  <si>
    <t>Including Client Volume Discount for BPMS OCP</t>
  </si>
  <si>
    <t>V2V</t>
  </si>
  <si>
    <t>Mobilization Calculator</t>
  </si>
  <si>
    <t>Mobilization - CXTA Calculator : CXTA enhancements</t>
  </si>
  <si>
    <t>Value Shaping</t>
  </si>
  <si>
    <t>Value Shaping –Enhancements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</si>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</sst>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30549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3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dupuru.sudheer\Downloads\28th%20March%202026%20Execution%20Tracker.xlsx" TargetMode="External"/><Relationship Id="rId1" Type="http://schemas.openxmlformats.org/officeDocument/2006/relationships/externalLinkPath" Target="file:///C:\Users\nadupuru.sudheer\Downloads\28th%20March%202026%20Execution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March 28th Release"/>
      <sheetName val="March 28th Reporting"/>
      <sheetName val="Parent ID Report"/>
      <sheetName val="Scenarios"/>
      <sheetName val="Sheet1"/>
    </sheetNames>
    <sheetDataSet>
      <sheetData sheetId="0"/>
      <sheetData sheetId="1">
        <row r="2">
          <cell r="F2">
            <v>4</v>
          </cell>
          <cell r="G2">
            <v>4</v>
          </cell>
          <cell r="H2">
            <v>4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1</v>
          </cell>
          <cell r="R2">
            <v>1</v>
          </cell>
          <cell r="S2">
            <v>1</v>
          </cell>
          <cell r="T2">
            <v>0</v>
          </cell>
        </row>
        <row r="3">
          <cell r="F3">
            <v>6</v>
          </cell>
          <cell r="G3">
            <v>6</v>
          </cell>
          <cell r="H3">
            <v>6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1</v>
          </cell>
          <cell r="R3">
            <v>1</v>
          </cell>
          <cell r="S3">
            <v>1</v>
          </cell>
          <cell r="T3">
            <v>0</v>
          </cell>
        </row>
        <row r="4">
          <cell r="F4">
            <v>120</v>
          </cell>
          <cell r="G4">
            <v>120</v>
          </cell>
          <cell r="H4">
            <v>120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1</v>
          </cell>
          <cell r="R4">
            <v>24</v>
          </cell>
          <cell r="S4">
            <v>24</v>
          </cell>
          <cell r="T4">
            <v>0</v>
          </cell>
        </row>
        <row r="5">
          <cell r="F5">
            <v>4</v>
          </cell>
          <cell r="G5">
            <v>4</v>
          </cell>
          <cell r="H5">
            <v>4</v>
          </cell>
          <cell r="I5">
            <v>0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R5">
            <v>1</v>
          </cell>
          <cell r="S5">
            <v>1</v>
          </cell>
          <cell r="T5">
            <v>0</v>
          </cell>
        </row>
        <row r="6">
          <cell r="F6">
            <v>2</v>
          </cell>
          <cell r="G6">
            <v>2</v>
          </cell>
          <cell r="H6">
            <v>2</v>
          </cell>
          <cell r="I6">
            <v>0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1</v>
          </cell>
          <cell r="R6">
            <v>1</v>
          </cell>
          <cell r="S6">
            <v>1</v>
          </cell>
          <cell r="T6">
            <v>0</v>
          </cell>
        </row>
        <row r="7">
          <cell r="F7">
            <v>7</v>
          </cell>
          <cell r="G7">
            <v>7</v>
          </cell>
          <cell r="H7">
            <v>7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R7">
            <v>1</v>
          </cell>
          <cell r="S7">
            <v>1</v>
          </cell>
          <cell r="T7">
            <v>0</v>
          </cell>
        </row>
        <row r="8">
          <cell r="F8">
            <v>9</v>
          </cell>
          <cell r="G8">
            <v>9</v>
          </cell>
          <cell r="H8">
            <v>9</v>
          </cell>
          <cell r="I8">
            <v>0</v>
          </cell>
          <cell r="J8">
            <v>0</v>
          </cell>
          <cell r="K8">
            <v>1</v>
          </cell>
          <cell r="L8">
            <v>0</v>
          </cell>
          <cell r="M8">
            <v>0</v>
          </cell>
          <cell r="N8">
            <v>1</v>
          </cell>
          <cell r="R8">
            <v>1</v>
          </cell>
          <cell r="S8">
            <v>1</v>
          </cell>
          <cell r="T8">
            <v>0</v>
          </cell>
        </row>
        <row r="9">
          <cell r="F9">
            <v>21</v>
          </cell>
          <cell r="G9">
            <v>21</v>
          </cell>
          <cell r="H9">
            <v>19</v>
          </cell>
          <cell r="I9">
            <v>2</v>
          </cell>
          <cell r="J9">
            <v>0</v>
          </cell>
          <cell r="K9">
            <v>0.90476190476190477</v>
          </cell>
          <cell r="L9">
            <v>9.5238095238095233E-2</v>
          </cell>
          <cell r="M9">
            <v>0</v>
          </cell>
          <cell r="N9">
            <v>1</v>
          </cell>
          <cell r="R9">
            <v>1</v>
          </cell>
          <cell r="S9">
            <v>1</v>
          </cell>
          <cell r="T9">
            <v>0</v>
          </cell>
        </row>
        <row r="10">
          <cell r="F10">
            <v>18</v>
          </cell>
          <cell r="G10">
            <v>18</v>
          </cell>
          <cell r="H10">
            <v>18</v>
          </cell>
          <cell r="I10">
            <v>0</v>
          </cell>
          <cell r="J10">
            <v>0</v>
          </cell>
          <cell r="K10">
            <v>1</v>
          </cell>
          <cell r="L10">
            <v>0</v>
          </cell>
          <cell r="M10">
            <v>0</v>
          </cell>
          <cell r="N10">
            <v>1</v>
          </cell>
          <cell r="R10">
            <v>1</v>
          </cell>
          <cell r="S10">
            <v>1</v>
          </cell>
          <cell r="T10">
            <v>0</v>
          </cell>
        </row>
        <row r="11">
          <cell r="F11">
            <v>2</v>
          </cell>
          <cell r="G11">
            <v>2</v>
          </cell>
          <cell r="H11">
            <v>0</v>
          </cell>
          <cell r="I11">
            <v>2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1</v>
          </cell>
          <cell r="R11">
            <v>1</v>
          </cell>
          <cell r="S11">
            <v>1</v>
          </cell>
          <cell r="T11">
            <v>0</v>
          </cell>
        </row>
        <row r="12">
          <cell r="F12">
            <v>6</v>
          </cell>
          <cell r="G12">
            <v>4</v>
          </cell>
          <cell r="H12">
            <v>2</v>
          </cell>
          <cell r="I12">
            <v>2</v>
          </cell>
          <cell r="J12">
            <v>2</v>
          </cell>
          <cell r="K12">
            <v>0.5</v>
          </cell>
          <cell r="L12">
            <v>0.5</v>
          </cell>
          <cell r="M12">
            <v>0.33333333333333331</v>
          </cell>
          <cell r="N12">
            <v>0.66666666666666663</v>
          </cell>
          <cell r="R12">
            <v>2</v>
          </cell>
          <cell r="S12">
            <v>2</v>
          </cell>
          <cell r="T12">
            <v>0</v>
          </cell>
        </row>
        <row r="13">
          <cell r="F13">
            <v>43</v>
          </cell>
          <cell r="G13">
            <v>34</v>
          </cell>
          <cell r="H13">
            <v>31</v>
          </cell>
          <cell r="I13">
            <v>3</v>
          </cell>
          <cell r="J13">
            <v>9</v>
          </cell>
          <cell r="K13">
            <v>0.91176470588235292</v>
          </cell>
          <cell r="L13">
            <v>8.8235294117647065E-2</v>
          </cell>
          <cell r="M13">
            <v>0.20930232558139536</v>
          </cell>
          <cell r="N13">
            <v>0.79069767441860461</v>
          </cell>
          <cell r="R13">
            <v>16</v>
          </cell>
          <cell r="S13">
            <v>16</v>
          </cell>
          <cell r="T13">
            <v>0</v>
          </cell>
        </row>
        <row r="14">
          <cell r="F14">
            <v>12</v>
          </cell>
          <cell r="G14">
            <v>9</v>
          </cell>
          <cell r="H14">
            <v>7</v>
          </cell>
          <cell r="I14">
            <v>2</v>
          </cell>
          <cell r="J14">
            <v>3</v>
          </cell>
          <cell r="K14">
            <v>0.77777777777777779</v>
          </cell>
          <cell r="L14">
            <v>0.22222222222222221</v>
          </cell>
          <cell r="M14">
            <v>0.25</v>
          </cell>
          <cell r="N14">
            <v>0.75</v>
          </cell>
          <cell r="R14">
            <v>4</v>
          </cell>
          <cell r="S14">
            <v>4</v>
          </cell>
          <cell r="T14">
            <v>0</v>
          </cell>
        </row>
        <row r="15">
          <cell r="F15">
            <v>3</v>
          </cell>
          <cell r="G15">
            <v>2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1</v>
          </cell>
          <cell r="M15">
            <v>0.33333333333333331</v>
          </cell>
          <cell r="N15">
            <v>0.66666666666666663</v>
          </cell>
          <cell r="R15">
            <v>1</v>
          </cell>
          <cell r="S15">
            <v>1</v>
          </cell>
          <cell r="T15">
            <v>0</v>
          </cell>
        </row>
        <row r="16">
          <cell r="F16">
            <v>32</v>
          </cell>
          <cell r="G16">
            <v>32</v>
          </cell>
          <cell r="H16">
            <v>30</v>
          </cell>
          <cell r="I16">
            <v>2</v>
          </cell>
          <cell r="J16">
            <v>0</v>
          </cell>
          <cell r="K16">
            <v>0.9375</v>
          </cell>
          <cell r="L16">
            <v>6.25E-2</v>
          </cell>
          <cell r="M16">
            <v>0</v>
          </cell>
          <cell r="N16">
            <v>1</v>
          </cell>
          <cell r="R16">
            <v>7</v>
          </cell>
          <cell r="S16">
            <v>7</v>
          </cell>
          <cell r="T16">
            <v>0</v>
          </cell>
        </row>
        <row r="17">
          <cell r="F17">
            <v>106</v>
          </cell>
          <cell r="G17">
            <v>100</v>
          </cell>
          <cell r="H17">
            <v>87</v>
          </cell>
          <cell r="I17">
            <v>13</v>
          </cell>
          <cell r="J17">
            <v>6</v>
          </cell>
          <cell r="K17">
            <v>0.87</v>
          </cell>
          <cell r="L17">
            <v>0.13</v>
          </cell>
          <cell r="M17">
            <v>5.6603773584905662E-2</v>
          </cell>
          <cell r="N17">
            <v>0.94339622641509435</v>
          </cell>
          <cell r="R17">
            <v>43</v>
          </cell>
          <cell r="S17">
            <v>43</v>
          </cell>
          <cell r="T17">
            <v>0</v>
          </cell>
        </row>
        <row r="18">
          <cell r="F18">
            <v>26</v>
          </cell>
          <cell r="G18">
            <v>22</v>
          </cell>
          <cell r="H18">
            <v>20</v>
          </cell>
          <cell r="I18">
            <v>2</v>
          </cell>
          <cell r="J18">
            <v>4</v>
          </cell>
          <cell r="K18">
            <v>0.90909090909090906</v>
          </cell>
          <cell r="L18">
            <v>9.0909090909090912E-2</v>
          </cell>
          <cell r="M18">
            <v>0.15384615384615385</v>
          </cell>
          <cell r="N18">
            <v>0.84615384615384615</v>
          </cell>
          <cell r="R18">
            <v>12</v>
          </cell>
          <cell r="S18">
            <v>12</v>
          </cell>
          <cell r="T18">
            <v>0</v>
          </cell>
        </row>
        <row r="19">
          <cell r="F19">
            <v>10</v>
          </cell>
          <cell r="G19">
            <v>6</v>
          </cell>
          <cell r="H19">
            <v>6</v>
          </cell>
          <cell r="I19">
            <v>0</v>
          </cell>
          <cell r="J19">
            <v>4</v>
          </cell>
          <cell r="K19">
            <v>1</v>
          </cell>
          <cell r="L19">
            <v>0</v>
          </cell>
          <cell r="M19">
            <v>0.4</v>
          </cell>
          <cell r="N19">
            <v>0.6</v>
          </cell>
          <cell r="R19">
            <v>4</v>
          </cell>
          <cell r="S19">
            <v>4</v>
          </cell>
          <cell r="T19">
            <v>0</v>
          </cell>
        </row>
        <row r="20">
          <cell r="F20">
            <v>2</v>
          </cell>
          <cell r="G20">
            <v>2</v>
          </cell>
          <cell r="H20">
            <v>2</v>
          </cell>
          <cell r="I20">
            <v>0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1</v>
          </cell>
          <cell r="R20">
            <v>1</v>
          </cell>
          <cell r="S20">
            <v>1</v>
          </cell>
          <cell r="T20">
            <v>0</v>
          </cell>
        </row>
        <row r="21">
          <cell r="F21">
            <v>15</v>
          </cell>
          <cell r="G21">
            <v>15</v>
          </cell>
          <cell r="H21">
            <v>11</v>
          </cell>
          <cell r="I21">
            <v>4</v>
          </cell>
          <cell r="J21">
            <v>0</v>
          </cell>
          <cell r="K21">
            <v>0.73333333333333328</v>
          </cell>
          <cell r="L21">
            <v>0.26666666666666666</v>
          </cell>
          <cell r="M21">
            <v>0</v>
          </cell>
          <cell r="N21">
            <v>1</v>
          </cell>
          <cell r="R21">
            <v>5</v>
          </cell>
          <cell r="S21">
            <v>5</v>
          </cell>
          <cell r="T21">
            <v>0</v>
          </cell>
        </row>
        <row r="22">
          <cell r="F22">
            <v>2</v>
          </cell>
          <cell r="G22">
            <v>2</v>
          </cell>
          <cell r="H22">
            <v>2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1</v>
          </cell>
          <cell r="R22">
            <v>1</v>
          </cell>
          <cell r="S22">
            <v>1</v>
          </cell>
          <cell r="T22">
            <v>0</v>
          </cell>
        </row>
        <row r="23">
          <cell r="F23">
            <v>12</v>
          </cell>
          <cell r="G23">
            <v>12</v>
          </cell>
          <cell r="H23">
            <v>8</v>
          </cell>
          <cell r="I23">
            <v>4</v>
          </cell>
          <cell r="J23">
            <v>0</v>
          </cell>
          <cell r="K23">
            <v>0.66666666666666663</v>
          </cell>
          <cell r="L23">
            <v>0.33333333333333331</v>
          </cell>
          <cell r="M23">
            <v>0</v>
          </cell>
          <cell r="N23">
            <v>1</v>
          </cell>
          <cell r="R23">
            <v>4</v>
          </cell>
          <cell r="S23">
            <v>4</v>
          </cell>
          <cell r="T23">
            <v>0</v>
          </cell>
        </row>
        <row r="24">
          <cell r="F24">
            <v>107</v>
          </cell>
          <cell r="G24">
            <v>107</v>
          </cell>
          <cell r="H24">
            <v>105</v>
          </cell>
          <cell r="I24">
            <v>2</v>
          </cell>
          <cell r="J24">
            <v>0</v>
          </cell>
          <cell r="K24">
            <v>0.98130841121495327</v>
          </cell>
          <cell r="L24">
            <v>1.8691588785046728E-2</v>
          </cell>
          <cell r="M24">
            <v>0</v>
          </cell>
          <cell r="N24">
            <v>1</v>
          </cell>
          <cell r="R24">
            <v>9</v>
          </cell>
          <cell r="S24">
            <v>9</v>
          </cell>
          <cell r="T24">
            <v>0</v>
          </cell>
        </row>
        <row r="26">
          <cell r="F26">
            <v>12</v>
          </cell>
          <cell r="G26">
            <v>11</v>
          </cell>
          <cell r="H26">
            <v>11</v>
          </cell>
          <cell r="I26">
            <v>0</v>
          </cell>
          <cell r="J26">
            <v>1</v>
          </cell>
          <cell r="K26">
            <v>1</v>
          </cell>
          <cell r="L26">
            <v>0</v>
          </cell>
          <cell r="M26">
            <v>8.3333333333333329E-2</v>
          </cell>
          <cell r="N26">
            <v>0.91666666666666663</v>
          </cell>
          <cell r="R26">
            <v>5</v>
          </cell>
          <cell r="S26">
            <v>5</v>
          </cell>
          <cell r="T26">
            <v>0</v>
          </cell>
        </row>
        <row r="27">
          <cell r="F27">
            <v>7</v>
          </cell>
          <cell r="G27">
            <v>7</v>
          </cell>
          <cell r="H27">
            <v>7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1</v>
          </cell>
          <cell r="R27">
            <v>4</v>
          </cell>
          <cell r="S27">
            <v>4</v>
          </cell>
          <cell r="T27">
            <v>0</v>
          </cell>
        </row>
        <row r="28">
          <cell r="F28">
            <v>2</v>
          </cell>
          <cell r="G28">
            <v>2</v>
          </cell>
          <cell r="H28">
            <v>2</v>
          </cell>
          <cell r="I28">
            <v>0</v>
          </cell>
          <cell r="J28">
            <v>0</v>
          </cell>
          <cell r="K28">
            <v>1</v>
          </cell>
          <cell r="L28">
            <v>0</v>
          </cell>
          <cell r="M28">
            <v>0</v>
          </cell>
          <cell r="N28">
            <v>1</v>
          </cell>
          <cell r="R28">
            <v>1</v>
          </cell>
          <cell r="S28">
            <v>1</v>
          </cell>
          <cell r="T28">
            <v>0</v>
          </cell>
        </row>
        <row r="29">
          <cell r="F29">
            <v>19</v>
          </cell>
          <cell r="G29">
            <v>15</v>
          </cell>
          <cell r="H29">
            <v>10</v>
          </cell>
          <cell r="I29">
            <v>5</v>
          </cell>
          <cell r="J29">
            <v>4</v>
          </cell>
          <cell r="K29">
            <v>0.66666666666666663</v>
          </cell>
          <cell r="L29">
            <v>0.33333333333333331</v>
          </cell>
          <cell r="M29">
            <v>0.21052631578947367</v>
          </cell>
          <cell r="N29">
            <v>0.78947368421052633</v>
          </cell>
          <cell r="R29">
            <v>5</v>
          </cell>
          <cell r="S29">
            <v>5</v>
          </cell>
          <cell r="T29">
            <v>0</v>
          </cell>
        </row>
        <row r="30">
          <cell r="F30">
            <v>2</v>
          </cell>
          <cell r="G30">
            <v>2</v>
          </cell>
          <cell r="H30">
            <v>2</v>
          </cell>
          <cell r="I30">
            <v>0</v>
          </cell>
          <cell r="J30">
            <v>0</v>
          </cell>
          <cell r="K30">
            <v>1</v>
          </cell>
          <cell r="L30">
            <v>0</v>
          </cell>
          <cell r="M30">
            <v>0</v>
          </cell>
          <cell r="N30">
            <v>1</v>
          </cell>
          <cell r="R30">
            <v>1</v>
          </cell>
          <cell r="S30">
            <v>1</v>
          </cell>
          <cell r="T30">
            <v>0</v>
          </cell>
        </row>
        <row r="31">
          <cell r="F31">
            <v>6</v>
          </cell>
          <cell r="G31">
            <v>5</v>
          </cell>
          <cell r="H31">
            <v>5</v>
          </cell>
          <cell r="I31">
            <v>0</v>
          </cell>
          <cell r="J31">
            <v>1</v>
          </cell>
          <cell r="K31">
            <v>1</v>
          </cell>
          <cell r="L31">
            <v>0</v>
          </cell>
          <cell r="M31">
            <v>0.16666666666666666</v>
          </cell>
          <cell r="N31">
            <v>0.83333333333333337</v>
          </cell>
          <cell r="R31">
            <v>3</v>
          </cell>
          <cell r="S31">
            <v>3</v>
          </cell>
          <cell r="T31">
            <v>0</v>
          </cell>
        </row>
        <row r="32">
          <cell r="F32">
            <v>6</v>
          </cell>
          <cell r="G32">
            <v>6</v>
          </cell>
          <cell r="H32">
            <v>5</v>
          </cell>
          <cell r="I32">
            <v>1</v>
          </cell>
          <cell r="J32">
            <v>0</v>
          </cell>
          <cell r="K32">
            <v>0.83333333333333337</v>
          </cell>
          <cell r="L32">
            <v>0.16666666666666666</v>
          </cell>
          <cell r="M32">
            <v>0</v>
          </cell>
          <cell r="N32">
            <v>1</v>
          </cell>
          <cell r="R32">
            <v>3</v>
          </cell>
          <cell r="S32">
            <v>3</v>
          </cell>
          <cell r="T32">
            <v>0</v>
          </cell>
        </row>
        <row r="33">
          <cell r="F33">
            <v>10</v>
          </cell>
          <cell r="G33">
            <v>10</v>
          </cell>
          <cell r="H33">
            <v>8</v>
          </cell>
          <cell r="I33">
            <v>2</v>
          </cell>
          <cell r="J33">
            <v>0</v>
          </cell>
          <cell r="K33">
            <v>0.8</v>
          </cell>
          <cell r="L33">
            <v>0.2</v>
          </cell>
          <cell r="M33">
            <v>0</v>
          </cell>
          <cell r="N33">
            <v>1</v>
          </cell>
          <cell r="R33">
            <v>3</v>
          </cell>
          <cell r="S33">
            <v>3</v>
          </cell>
          <cell r="T33">
            <v>0</v>
          </cell>
        </row>
        <row r="34">
          <cell r="F34">
            <v>4</v>
          </cell>
          <cell r="G34">
            <v>4</v>
          </cell>
          <cell r="H34">
            <v>2</v>
          </cell>
          <cell r="I34">
            <v>2</v>
          </cell>
          <cell r="J34">
            <v>0</v>
          </cell>
          <cell r="K34">
            <v>0.5</v>
          </cell>
          <cell r="L34">
            <v>0.5</v>
          </cell>
          <cell r="M34">
            <v>0</v>
          </cell>
          <cell r="N34">
            <v>1</v>
          </cell>
          <cell r="R34">
            <v>2</v>
          </cell>
          <cell r="S34">
            <v>2</v>
          </cell>
          <cell r="T34">
            <v>0</v>
          </cell>
        </row>
        <row r="35">
          <cell r="F35">
            <v>7</v>
          </cell>
          <cell r="G35">
            <v>6</v>
          </cell>
          <cell r="H35">
            <v>5</v>
          </cell>
          <cell r="I35">
            <v>1</v>
          </cell>
          <cell r="J35">
            <v>1</v>
          </cell>
          <cell r="K35">
            <v>0.83333333333333337</v>
          </cell>
          <cell r="L35">
            <v>0.16666666666666666</v>
          </cell>
          <cell r="M35">
            <v>0.14285714285714285</v>
          </cell>
          <cell r="N35">
            <v>0.8571428571428571</v>
          </cell>
          <cell r="R35">
            <v>4</v>
          </cell>
          <cell r="S35">
            <v>4</v>
          </cell>
          <cell r="T35">
            <v>0</v>
          </cell>
        </row>
        <row r="36">
          <cell r="F36">
            <v>7</v>
          </cell>
          <cell r="G36">
            <v>7</v>
          </cell>
          <cell r="H36">
            <v>6</v>
          </cell>
          <cell r="I36">
            <v>1</v>
          </cell>
          <cell r="J36">
            <v>0</v>
          </cell>
          <cell r="K36">
            <v>0.8571428571428571</v>
          </cell>
          <cell r="L36">
            <v>0.14285714285714285</v>
          </cell>
          <cell r="M36">
            <v>0</v>
          </cell>
          <cell r="N36">
            <v>1</v>
          </cell>
          <cell r="R36">
            <v>3</v>
          </cell>
          <cell r="S36">
            <v>3</v>
          </cell>
          <cell r="T36">
            <v>0</v>
          </cell>
        </row>
        <row r="37">
          <cell r="F37">
            <v>10</v>
          </cell>
          <cell r="G37">
            <v>10</v>
          </cell>
          <cell r="H37">
            <v>10</v>
          </cell>
          <cell r="I37">
            <v>0</v>
          </cell>
          <cell r="J37">
            <v>0</v>
          </cell>
          <cell r="K37">
            <v>1</v>
          </cell>
          <cell r="L37">
            <v>0</v>
          </cell>
          <cell r="M37">
            <v>0</v>
          </cell>
          <cell r="N37">
            <v>1</v>
          </cell>
          <cell r="R37">
            <v>1</v>
          </cell>
          <cell r="S37">
            <v>1</v>
          </cell>
          <cell r="T37">
            <v>0</v>
          </cell>
        </row>
        <row r="38">
          <cell r="F38">
            <v>10</v>
          </cell>
          <cell r="G38">
            <v>10</v>
          </cell>
          <cell r="H38">
            <v>7</v>
          </cell>
          <cell r="I38">
            <v>3</v>
          </cell>
          <cell r="J38">
            <v>0</v>
          </cell>
          <cell r="K38">
            <v>0.7</v>
          </cell>
          <cell r="L38">
            <v>0.3</v>
          </cell>
          <cell r="M38">
            <v>0</v>
          </cell>
          <cell r="N38">
            <v>1</v>
          </cell>
          <cell r="R38">
            <v>3</v>
          </cell>
          <cell r="S38">
            <v>3</v>
          </cell>
          <cell r="T38">
            <v>0</v>
          </cell>
        </row>
        <row r="39">
          <cell r="F39">
            <v>4</v>
          </cell>
          <cell r="G39">
            <v>4</v>
          </cell>
          <cell r="H39">
            <v>4</v>
          </cell>
          <cell r="I39">
            <v>0</v>
          </cell>
          <cell r="J39">
            <v>0</v>
          </cell>
          <cell r="K39">
            <v>1</v>
          </cell>
          <cell r="L39">
            <v>0</v>
          </cell>
          <cell r="M39">
            <v>0</v>
          </cell>
          <cell r="N39">
            <v>1</v>
          </cell>
          <cell r="R39">
            <v>1</v>
          </cell>
          <cell r="S39">
            <v>1</v>
          </cell>
          <cell r="T39">
            <v>0</v>
          </cell>
        </row>
        <row r="40">
          <cell r="F40">
            <v>3</v>
          </cell>
          <cell r="G40">
            <v>3</v>
          </cell>
          <cell r="H40">
            <v>3</v>
          </cell>
          <cell r="I40">
            <v>0</v>
          </cell>
          <cell r="J40">
            <v>0</v>
          </cell>
          <cell r="K40">
            <v>1</v>
          </cell>
          <cell r="L40">
            <v>0</v>
          </cell>
          <cell r="M40">
            <v>0</v>
          </cell>
          <cell r="N40">
            <v>1</v>
          </cell>
          <cell r="R40">
            <v>1</v>
          </cell>
          <cell r="S40">
            <v>1</v>
          </cell>
          <cell r="T40">
            <v>0</v>
          </cell>
        </row>
        <row r="41">
          <cell r="F41">
            <v>3</v>
          </cell>
          <cell r="G41">
            <v>3</v>
          </cell>
          <cell r="H41">
            <v>2</v>
          </cell>
          <cell r="I41">
            <v>1</v>
          </cell>
          <cell r="J41">
            <v>0</v>
          </cell>
          <cell r="K41">
            <v>0.66666666666666663</v>
          </cell>
          <cell r="L41">
            <v>0.33333333333333331</v>
          </cell>
          <cell r="M41">
            <v>0</v>
          </cell>
          <cell r="N41">
            <v>1</v>
          </cell>
          <cell r="R41">
            <v>1</v>
          </cell>
          <cell r="S41">
            <v>1</v>
          </cell>
          <cell r="T41">
            <v>0</v>
          </cell>
        </row>
        <row r="42">
          <cell r="F42">
            <v>10</v>
          </cell>
          <cell r="G42">
            <v>10</v>
          </cell>
          <cell r="H42">
            <v>10</v>
          </cell>
          <cell r="I42">
            <v>0</v>
          </cell>
          <cell r="J42">
            <v>0</v>
          </cell>
          <cell r="K42">
            <v>1</v>
          </cell>
          <cell r="L42">
            <v>0</v>
          </cell>
          <cell r="M42">
            <v>0</v>
          </cell>
          <cell r="N42">
            <v>1</v>
          </cell>
          <cell r="R42">
            <v>2</v>
          </cell>
          <cell r="S42">
            <v>2</v>
          </cell>
          <cell r="T42">
            <v>0</v>
          </cell>
        </row>
        <row r="43">
          <cell r="F43">
            <v>30</v>
          </cell>
          <cell r="G43">
            <v>30</v>
          </cell>
          <cell r="H43">
            <v>15</v>
          </cell>
          <cell r="I43">
            <v>15</v>
          </cell>
          <cell r="J43">
            <v>0</v>
          </cell>
          <cell r="K43">
            <v>0.5</v>
          </cell>
          <cell r="L43">
            <v>0.5</v>
          </cell>
          <cell r="M43">
            <v>0</v>
          </cell>
          <cell r="N43">
            <v>1</v>
          </cell>
          <cell r="R43">
            <v>6</v>
          </cell>
          <cell r="S43">
            <v>6</v>
          </cell>
          <cell r="T43">
            <v>0</v>
          </cell>
        </row>
        <row r="44">
          <cell r="F44">
            <v>12</v>
          </cell>
          <cell r="G44">
            <v>12</v>
          </cell>
          <cell r="H44">
            <v>10</v>
          </cell>
          <cell r="I44">
            <v>2</v>
          </cell>
          <cell r="J44">
            <v>0</v>
          </cell>
          <cell r="K44">
            <v>0.83333333333333337</v>
          </cell>
          <cell r="L44">
            <v>0.16666666666666666</v>
          </cell>
          <cell r="M44">
            <v>0</v>
          </cell>
          <cell r="N44">
            <v>1</v>
          </cell>
          <cell r="R44">
            <v>4</v>
          </cell>
          <cell r="S44">
            <v>4</v>
          </cell>
          <cell r="T44">
            <v>0</v>
          </cell>
        </row>
        <row r="45">
          <cell r="F45">
            <v>10</v>
          </cell>
          <cell r="G45">
            <v>10</v>
          </cell>
          <cell r="H45">
            <v>9</v>
          </cell>
          <cell r="I45">
            <v>1</v>
          </cell>
          <cell r="J45">
            <v>0</v>
          </cell>
          <cell r="K45">
            <v>0.9</v>
          </cell>
          <cell r="L45">
            <v>0.1</v>
          </cell>
          <cell r="M45">
            <v>0</v>
          </cell>
          <cell r="N45">
            <v>1</v>
          </cell>
          <cell r="R45">
            <v>3</v>
          </cell>
          <cell r="S45">
            <v>3</v>
          </cell>
          <cell r="T45">
            <v>0</v>
          </cell>
        </row>
        <row r="46">
          <cell r="F46">
            <v>4</v>
          </cell>
          <cell r="G46">
            <v>4</v>
          </cell>
          <cell r="H46">
            <v>4</v>
          </cell>
          <cell r="I46">
            <v>0</v>
          </cell>
          <cell r="J46">
            <v>0</v>
          </cell>
          <cell r="K46">
            <v>1</v>
          </cell>
          <cell r="L46">
            <v>0</v>
          </cell>
          <cell r="M46">
            <v>0</v>
          </cell>
          <cell r="N46">
            <v>1</v>
          </cell>
          <cell r="R46">
            <v>1</v>
          </cell>
          <cell r="S46">
            <v>1</v>
          </cell>
          <cell r="T46">
            <v>0</v>
          </cell>
        </row>
        <row r="47">
          <cell r="F47">
            <v>11</v>
          </cell>
          <cell r="G47">
            <v>11</v>
          </cell>
          <cell r="H47">
            <v>11</v>
          </cell>
          <cell r="I47">
            <v>0</v>
          </cell>
          <cell r="J47">
            <v>0</v>
          </cell>
          <cell r="K47">
            <v>1</v>
          </cell>
          <cell r="L47">
            <v>0</v>
          </cell>
          <cell r="M47">
            <v>0</v>
          </cell>
          <cell r="N47">
            <v>1</v>
          </cell>
          <cell r="R47">
            <v>3</v>
          </cell>
          <cell r="S47">
            <v>3</v>
          </cell>
          <cell r="T47">
            <v>0</v>
          </cell>
        </row>
        <row r="48">
          <cell r="F48">
            <v>8</v>
          </cell>
          <cell r="G48">
            <v>8</v>
          </cell>
          <cell r="H48">
            <v>8</v>
          </cell>
          <cell r="I48">
            <v>0</v>
          </cell>
          <cell r="J48">
            <v>0</v>
          </cell>
          <cell r="K48">
            <v>1</v>
          </cell>
          <cell r="L48">
            <v>0</v>
          </cell>
          <cell r="M48">
            <v>0</v>
          </cell>
          <cell r="N48">
            <v>1</v>
          </cell>
          <cell r="R48">
            <v>2</v>
          </cell>
          <cell r="S48">
            <v>2</v>
          </cell>
          <cell r="T48">
            <v>0</v>
          </cell>
        </row>
        <row r="49">
          <cell r="F49">
            <v>3</v>
          </cell>
          <cell r="G49">
            <v>3</v>
          </cell>
          <cell r="H49">
            <v>3</v>
          </cell>
          <cell r="I49">
            <v>0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1</v>
          </cell>
          <cell r="R49">
            <v>1</v>
          </cell>
          <cell r="S49">
            <v>1</v>
          </cell>
          <cell r="T49">
            <v>0</v>
          </cell>
        </row>
        <row r="50">
          <cell r="F50">
            <v>3</v>
          </cell>
          <cell r="G50">
            <v>3</v>
          </cell>
          <cell r="H50">
            <v>3</v>
          </cell>
          <cell r="I50">
            <v>0</v>
          </cell>
          <cell r="J50">
            <v>0</v>
          </cell>
          <cell r="K50">
            <v>1</v>
          </cell>
          <cell r="L50">
            <v>0</v>
          </cell>
          <cell r="M50">
            <v>0</v>
          </cell>
          <cell r="N50">
            <v>1</v>
          </cell>
          <cell r="R50">
            <v>1</v>
          </cell>
          <cell r="S50">
            <v>1</v>
          </cell>
          <cell r="T50">
            <v>0</v>
          </cell>
        </row>
        <row r="51">
          <cell r="F51">
            <v>5</v>
          </cell>
          <cell r="G51">
            <v>5</v>
          </cell>
          <cell r="H51">
            <v>5</v>
          </cell>
          <cell r="I51">
            <v>0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1</v>
          </cell>
          <cell r="R51">
            <v>1</v>
          </cell>
          <cell r="S51">
            <v>1</v>
          </cell>
          <cell r="T51">
            <v>0</v>
          </cell>
        </row>
        <row r="52">
          <cell r="F52">
            <v>3</v>
          </cell>
          <cell r="G52">
            <v>3</v>
          </cell>
          <cell r="H52">
            <v>3</v>
          </cell>
          <cell r="I52">
            <v>0</v>
          </cell>
          <cell r="J52">
            <v>0</v>
          </cell>
          <cell r="K52">
            <v>1</v>
          </cell>
          <cell r="L52">
            <v>0</v>
          </cell>
          <cell r="M52">
            <v>0</v>
          </cell>
          <cell r="N52">
            <v>1</v>
          </cell>
          <cell r="R52">
            <v>1</v>
          </cell>
          <cell r="S52">
            <v>1</v>
          </cell>
          <cell r="T52">
            <v>0</v>
          </cell>
        </row>
        <row r="53">
          <cell r="F53">
            <v>3</v>
          </cell>
          <cell r="G53">
            <v>3</v>
          </cell>
          <cell r="H53">
            <v>3</v>
          </cell>
          <cell r="I53">
            <v>0</v>
          </cell>
          <cell r="J53">
            <v>0</v>
          </cell>
          <cell r="K53">
            <v>1</v>
          </cell>
          <cell r="L53">
            <v>0</v>
          </cell>
          <cell r="M53">
            <v>0</v>
          </cell>
          <cell r="N53">
            <v>1</v>
          </cell>
          <cell r="R53">
            <v>1</v>
          </cell>
          <cell r="S53">
            <v>1</v>
          </cell>
          <cell r="T53">
            <v>0</v>
          </cell>
        </row>
        <row r="54">
          <cell r="F54">
            <v>2</v>
          </cell>
          <cell r="G54">
            <v>2</v>
          </cell>
          <cell r="H54">
            <v>2</v>
          </cell>
          <cell r="I54">
            <v>0</v>
          </cell>
          <cell r="J54">
            <v>0</v>
          </cell>
          <cell r="K54">
            <v>1</v>
          </cell>
          <cell r="L54">
            <v>0</v>
          </cell>
          <cell r="M54">
            <v>0</v>
          </cell>
          <cell r="N54">
            <v>1</v>
          </cell>
          <cell r="R54">
            <v>1</v>
          </cell>
          <cell r="S54">
            <v>1</v>
          </cell>
          <cell r="T54">
            <v>0</v>
          </cell>
        </row>
        <row r="55">
          <cell r="F55">
            <v>2</v>
          </cell>
          <cell r="G55">
            <v>2</v>
          </cell>
          <cell r="H55">
            <v>2</v>
          </cell>
          <cell r="I55">
            <v>0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1</v>
          </cell>
          <cell r="R55">
            <v>2</v>
          </cell>
          <cell r="S55">
            <v>2</v>
          </cell>
          <cell r="T55">
            <v>0</v>
          </cell>
        </row>
        <row r="56">
          <cell r="F56">
            <v>33</v>
          </cell>
          <cell r="G56">
            <v>33</v>
          </cell>
          <cell r="H56">
            <v>33</v>
          </cell>
          <cell r="I56">
            <v>0</v>
          </cell>
          <cell r="J56">
            <v>0</v>
          </cell>
          <cell r="K56">
            <v>1</v>
          </cell>
          <cell r="L56">
            <v>0</v>
          </cell>
          <cell r="M56">
            <v>0</v>
          </cell>
          <cell r="N56">
            <v>1</v>
          </cell>
          <cell r="R56">
            <v>9</v>
          </cell>
          <cell r="S56">
            <v>9</v>
          </cell>
          <cell r="T56">
            <v>0</v>
          </cell>
        </row>
        <row r="57">
          <cell r="F57">
            <v>4</v>
          </cell>
          <cell r="G57">
            <v>4</v>
          </cell>
          <cell r="H57">
            <v>4</v>
          </cell>
          <cell r="I57">
            <v>0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1</v>
          </cell>
          <cell r="R57">
            <v>1</v>
          </cell>
          <cell r="S57">
            <v>1</v>
          </cell>
          <cell r="T57">
            <v>0</v>
          </cell>
        </row>
        <row r="58">
          <cell r="F58">
            <v>1</v>
          </cell>
          <cell r="G58">
            <v>1</v>
          </cell>
          <cell r="H58">
            <v>1</v>
          </cell>
          <cell r="I58">
            <v>0</v>
          </cell>
          <cell r="J58">
            <v>0</v>
          </cell>
          <cell r="K58">
            <v>1</v>
          </cell>
          <cell r="L58">
            <v>0</v>
          </cell>
          <cell r="M58">
            <v>0</v>
          </cell>
          <cell r="N58">
            <v>1</v>
          </cell>
          <cell r="R58">
            <v>1</v>
          </cell>
          <cell r="S58">
            <v>1</v>
          </cell>
          <cell r="T58">
            <v>0</v>
          </cell>
        </row>
        <row r="59">
          <cell r="F59">
            <v>3</v>
          </cell>
          <cell r="G59">
            <v>3</v>
          </cell>
          <cell r="H59">
            <v>3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1</v>
          </cell>
          <cell r="R59">
            <v>1</v>
          </cell>
          <cell r="S59">
            <v>1</v>
          </cell>
          <cell r="T59">
            <v>0</v>
          </cell>
        </row>
        <row r="60">
          <cell r="F60">
            <v>4</v>
          </cell>
          <cell r="G60">
            <v>4</v>
          </cell>
          <cell r="H60">
            <v>4</v>
          </cell>
          <cell r="I60">
            <v>0</v>
          </cell>
          <cell r="J60">
            <v>0</v>
          </cell>
          <cell r="K60">
            <v>1</v>
          </cell>
          <cell r="L60">
            <v>0</v>
          </cell>
          <cell r="M60">
            <v>0</v>
          </cell>
          <cell r="N60">
            <v>1</v>
          </cell>
          <cell r="R60">
            <v>1</v>
          </cell>
          <cell r="S60">
            <v>1</v>
          </cell>
          <cell r="T60">
            <v>0</v>
          </cell>
        </row>
        <row r="61">
          <cell r="F61">
            <v>3</v>
          </cell>
          <cell r="G61">
            <v>3</v>
          </cell>
          <cell r="H61">
            <v>3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N61">
            <v>1</v>
          </cell>
          <cell r="R61">
            <v>1</v>
          </cell>
          <cell r="S61">
            <v>1</v>
          </cell>
          <cell r="T61">
            <v>0</v>
          </cell>
        </row>
        <row r="62">
          <cell r="F62">
            <v>35</v>
          </cell>
          <cell r="G62">
            <v>35</v>
          </cell>
          <cell r="H62">
            <v>35</v>
          </cell>
          <cell r="I62">
            <v>0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1</v>
          </cell>
          <cell r="R62">
            <v>6</v>
          </cell>
          <cell r="S62">
            <v>6</v>
          </cell>
          <cell r="T62">
            <v>0</v>
          </cell>
        </row>
        <row r="63">
          <cell r="F63">
            <v>66</v>
          </cell>
          <cell r="G63">
            <v>66</v>
          </cell>
          <cell r="H63">
            <v>65</v>
          </cell>
          <cell r="I63">
            <v>1</v>
          </cell>
          <cell r="J63">
            <v>0</v>
          </cell>
          <cell r="K63">
            <v>0.98484848484848486</v>
          </cell>
          <cell r="L63">
            <v>1.5151515151515152E-2</v>
          </cell>
          <cell r="M63">
            <v>0</v>
          </cell>
          <cell r="N63">
            <v>1</v>
          </cell>
          <cell r="R63">
            <v>14</v>
          </cell>
          <cell r="S63">
            <v>14</v>
          </cell>
          <cell r="T63">
            <v>0</v>
          </cell>
        </row>
        <row r="64">
          <cell r="F64">
            <v>7</v>
          </cell>
          <cell r="G64">
            <v>7</v>
          </cell>
          <cell r="H64">
            <v>7</v>
          </cell>
          <cell r="I64">
            <v>0</v>
          </cell>
          <cell r="J64">
            <v>0</v>
          </cell>
          <cell r="K64">
            <v>1</v>
          </cell>
          <cell r="L64">
            <v>0</v>
          </cell>
          <cell r="M64">
            <v>0</v>
          </cell>
          <cell r="N64">
            <v>1</v>
          </cell>
          <cell r="R64">
            <v>1</v>
          </cell>
          <cell r="S64">
            <v>1</v>
          </cell>
          <cell r="T64">
            <v>0</v>
          </cell>
        </row>
        <row r="65">
          <cell r="F65">
            <v>2</v>
          </cell>
          <cell r="G65">
            <v>2</v>
          </cell>
          <cell r="H65">
            <v>2</v>
          </cell>
          <cell r="I65">
            <v>0</v>
          </cell>
          <cell r="J65">
            <v>0</v>
          </cell>
          <cell r="K65">
            <v>1</v>
          </cell>
          <cell r="L65">
            <v>0</v>
          </cell>
          <cell r="M65">
            <v>0</v>
          </cell>
          <cell r="N65">
            <v>1</v>
          </cell>
          <cell r="R65">
            <v>1</v>
          </cell>
          <cell r="S65">
            <v>1</v>
          </cell>
          <cell r="T65">
            <v>0</v>
          </cell>
        </row>
        <row r="66">
          <cell r="F66">
            <v>8</v>
          </cell>
          <cell r="G66">
            <v>8</v>
          </cell>
          <cell r="H66">
            <v>8</v>
          </cell>
          <cell r="I66">
            <v>0</v>
          </cell>
          <cell r="J66">
            <v>0</v>
          </cell>
          <cell r="K66">
            <v>1</v>
          </cell>
          <cell r="L66">
            <v>0</v>
          </cell>
          <cell r="M66">
            <v>0</v>
          </cell>
          <cell r="N66">
            <v>1</v>
          </cell>
          <cell r="R66">
            <v>2</v>
          </cell>
          <cell r="S66">
            <v>2</v>
          </cell>
          <cell r="T66">
            <v>0</v>
          </cell>
        </row>
        <row r="67">
          <cell r="F67">
            <v>7</v>
          </cell>
          <cell r="G67">
            <v>7</v>
          </cell>
          <cell r="H67">
            <v>7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1</v>
          </cell>
          <cell r="R67">
            <v>1</v>
          </cell>
          <cell r="S67">
            <v>1</v>
          </cell>
          <cell r="T67">
            <v>0</v>
          </cell>
        </row>
        <row r="68">
          <cell r="F68">
            <v>7</v>
          </cell>
          <cell r="G68">
            <v>7</v>
          </cell>
          <cell r="H68">
            <v>7</v>
          </cell>
          <cell r="I68">
            <v>0</v>
          </cell>
          <cell r="J68">
            <v>0</v>
          </cell>
          <cell r="K68">
            <v>1</v>
          </cell>
          <cell r="L68">
            <v>0</v>
          </cell>
          <cell r="M68">
            <v>0</v>
          </cell>
          <cell r="N68">
            <v>1</v>
          </cell>
          <cell r="R68">
            <v>1</v>
          </cell>
          <cell r="S68">
            <v>1</v>
          </cell>
          <cell r="T68">
            <v>0</v>
          </cell>
        </row>
        <row r="69">
          <cell r="F69">
            <v>86</v>
          </cell>
          <cell r="G69">
            <v>86</v>
          </cell>
          <cell r="H69">
            <v>65</v>
          </cell>
          <cell r="I69">
            <v>21</v>
          </cell>
          <cell r="J69">
            <v>0</v>
          </cell>
          <cell r="K69">
            <v>0.7558139534883721</v>
          </cell>
          <cell r="L69">
            <v>0.2441860465116279</v>
          </cell>
          <cell r="M69">
            <v>0</v>
          </cell>
          <cell r="N69">
            <v>1</v>
          </cell>
          <cell r="R69">
            <v>21</v>
          </cell>
          <cell r="S69">
            <v>21</v>
          </cell>
          <cell r="T69">
            <v>0</v>
          </cell>
        </row>
        <row r="70">
          <cell r="F70">
            <v>4</v>
          </cell>
          <cell r="G70">
            <v>4</v>
          </cell>
          <cell r="H70">
            <v>4</v>
          </cell>
          <cell r="I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1</v>
          </cell>
          <cell r="R70">
            <v>1</v>
          </cell>
          <cell r="S70">
            <v>1</v>
          </cell>
          <cell r="T70">
            <v>0</v>
          </cell>
        </row>
        <row r="71">
          <cell r="F71">
            <v>13</v>
          </cell>
          <cell r="G71">
            <v>13</v>
          </cell>
          <cell r="H71">
            <v>13</v>
          </cell>
          <cell r="I71">
            <v>0</v>
          </cell>
          <cell r="J71">
            <v>0</v>
          </cell>
          <cell r="K71">
            <v>1</v>
          </cell>
          <cell r="L71">
            <v>0</v>
          </cell>
          <cell r="M71">
            <v>0</v>
          </cell>
          <cell r="N71">
            <v>1</v>
          </cell>
          <cell r="R71">
            <v>2</v>
          </cell>
          <cell r="S71">
            <v>2</v>
          </cell>
          <cell r="T71">
            <v>0</v>
          </cell>
        </row>
        <row r="72">
          <cell r="F72">
            <v>1</v>
          </cell>
          <cell r="G72">
            <v>1</v>
          </cell>
          <cell r="H72">
            <v>1</v>
          </cell>
          <cell r="I72">
            <v>0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1</v>
          </cell>
          <cell r="R72">
            <v>1</v>
          </cell>
          <cell r="S72">
            <v>1</v>
          </cell>
          <cell r="T72">
            <v>0</v>
          </cell>
        </row>
        <row r="73">
          <cell r="F73">
            <v>2</v>
          </cell>
          <cell r="G73">
            <v>2</v>
          </cell>
          <cell r="H73">
            <v>2</v>
          </cell>
          <cell r="I73">
            <v>0</v>
          </cell>
          <cell r="J73">
            <v>0</v>
          </cell>
          <cell r="K73">
            <v>1</v>
          </cell>
          <cell r="L73">
            <v>0</v>
          </cell>
          <cell r="M73">
            <v>0</v>
          </cell>
          <cell r="N73">
            <v>1</v>
          </cell>
          <cell r="R73">
            <v>1</v>
          </cell>
          <cell r="S73">
            <v>1</v>
          </cell>
          <cell r="T73">
            <v>0</v>
          </cell>
        </row>
        <row r="74">
          <cell r="F74">
            <v>18</v>
          </cell>
          <cell r="G74">
            <v>18</v>
          </cell>
          <cell r="H74">
            <v>18</v>
          </cell>
          <cell r="I74">
            <v>0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1</v>
          </cell>
          <cell r="R74">
            <v>7</v>
          </cell>
          <cell r="S74">
            <v>7</v>
          </cell>
          <cell r="T74">
            <v>0</v>
          </cell>
        </row>
        <row r="75">
          <cell r="F75">
            <v>2</v>
          </cell>
          <cell r="G75">
            <v>2</v>
          </cell>
          <cell r="H75">
            <v>2</v>
          </cell>
          <cell r="I75">
            <v>0</v>
          </cell>
          <cell r="J75">
            <v>0</v>
          </cell>
          <cell r="K75">
            <v>1</v>
          </cell>
          <cell r="L75">
            <v>0</v>
          </cell>
          <cell r="M75">
            <v>0</v>
          </cell>
          <cell r="N75">
            <v>1</v>
          </cell>
          <cell r="R75">
            <v>1</v>
          </cell>
          <cell r="S75">
            <v>1</v>
          </cell>
          <cell r="T75">
            <v>0</v>
          </cell>
        </row>
        <row r="76">
          <cell r="F76">
            <v>9</v>
          </cell>
          <cell r="G76">
            <v>8</v>
          </cell>
          <cell r="H76">
            <v>6</v>
          </cell>
          <cell r="I76">
            <v>2</v>
          </cell>
          <cell r="J76">
            <v>1</v>
          </cell>
          <cell r="K76">
            <v>0.75</v>
          </cell>
          <cell r="L76">
            <v>0.25</v>
          </cell>
          <cell r="M76">
            <v>0.1111111111111111</v>
          </cell>
          <cell r="N76">
            <v>0.88888888888888884</v>
          </cell>
          <cell r="R76">
            <v>1</v>
          </cell>
          <cell r="S76">
            <v>1</v>
          </cell>
          <cell r="T76">
            <v>0</v>
          </cell>
        </row>
        <row r="77">
          <cell r="F77">
            <v>7</v>
          </cell>
          <cell r="G77">
            <v>7</v>
          </cell>
          <cell r="H77">
            <v>7</v>
          </cell>
          <cell r="I77">
            <v>0</v>
          </cell>
          <cell r="J77">
            <v>0</v>
          </cell>
          <cell r="K77">
            <v>1</v>
          </cell>
          <cell r="L77">
            <v>0</v>
          </cell>
          <cell r="M77">
            <v>0</v>
          </cell>
          <cell r="N77">
            <v>1</v>
          </cell>
          <cell r="R77">
            <v>1</v>
          </cell>
          <cell r="S77">
            <v>1</v>
          </cell>
          <cell r="T77">
            <v>0</v>
          </cell>
        </row>
        <row r="78">
          <cell r="F78">
            <v>5</v>
          </cell>
          <cell r="G78">
            <v>5</v>
          </cell>
          <cell r="H78">
            <v>5</v>
          </cell>
          <cell r="I78">
            <v>0</v>
          </cell>
          <cell r="J78">
            <v>0</v>
          </cell>
          <cell r="K78">
            <v>1</v>
          </cell>
          <cell r="L78">
            <v>0</v>
          </cell>
          <cell r="M78">
            <v>0</v>
          </cell>
          <cell r="N78">
            <v>1</v>
          </cell>
          <cell r="R78">
            <v>1</v>
          </cell>
          <cell r="S78">
            <v>1</v>
          </cell>
          <cell r="T78">
            <v>0</v>
          </cell>
        </row>
        <row r="79">
          <cell r="F79">
            <v>9</v>
          </cell>
          <cell r="G79">
            <v>9</v>
          </cell>
          <cell r="H79">
            <v>7</v>
          </cell>
          <cell r="I79">
            <v>2</v>
          </cell>
          <cell r="J79">
            <v>0</v>
          </cell>
          <cell r="K79">
            <v>0.77777777777777779</v>
          </cell>
          <cell r="L79">
            <v>0.22222222222222221</v>
          </cell>
          <cell r="M79">
            <v>0</v>
          </cell>
          <cell r="N79">
            <v>1</v>
          </cell>
          <cell r="R79">
            <v>1</v>
          </cell>
          <cell r="S79">
            <v>1</v>
          </cell>
          <cell r="T79">
            <v>0</v>
          </cell>
        </row>
        <row r="80">
          <cell r="F80">
            <v>6</v>
          </cell>
          <cell r="G80">
            <v>3</v>
          </cell>
          <cell r="H80">
            <v>1</v>
          </cell>
          <cell r="I80">
            <v>2</v>
          </cell>
          <cell r="J80">
            <v>3</v>
          </cell>
          <cell r="K80">
            <v>0.33333333333333331</v>
          </cell>
          <cell r="L80">
            <v>0.66666666666666663</v>
          </cell>
          <cell r="M80">
            <v>0.5</v>
          </cell>
          <cell r="N80">
            <v>0.5</v>
          </cell>
          <cell r="R80">
            <v>1</v>
          </cell>
          <cell r="S80">
            <v>1</v>
          </cell>
          <cell r="T80">
            <v>0</v>
          </cell>
        </row>
        <row r="81">
          <cell r="F81">
            <v>1</v>
          </cell>
          <cell r="G81">
            <v>1</v>
          </cell>
          <cell r="H81">
            <v>1</v>
          </cell>
          <cell r="I81">
            <v>0</v>
          </cell>
          <cell r="J81">
            <v>0</v>
          </cell>
          <cell r="K81">
            <v>1</v>
          </cell>
          <cell r="L81">
            <v>0</v>
          </cell>
          <cell r="M81">
            <v>0</v>
          </cell>
          <cell r="N81">
            <v>1</v>
          </cell>
          <cell r="R81">
            <v>1</v>
          </cell>
          <cell r="S81">
            <v>1</v>
          </cell>
          <cell r="T81">
            <v>0</v>
          </cell>
        </row>
        <row r="82">
          <cell r="F82">
            <v>6</v>
          </cell>
          <cell r="G82">
            <v>6</v>
          </cell>
          <cell r="H82">
            <v>3</v>
          </cell>
          <cell r="I82">
            <v>3</v>
          </cell>
          <cell r="J82">
            <v>0</v>
          </cell>
          <cell r="K82">
            <v>0.5</v>
          </cell>
          <cell r="L82">
            <v>0.5</v>
          </cell>
          <cell r="M82">
            <v>0</v>
          </cell>
          <cell r="N82">
            <v>1</v>
          </cell>
          <cell r="R82">
            <v>1</v>
          </cell>
          <cell r="S82">
            <v>1</v>
          </cell>
          <cell r="T82">
            <v>0</v>
          </cell>
        </row>
        <row r="83">
          <cell r="F83">
            <v>4</v>
          </cell>
          <cell r="G83">
            <v>4</v>
          </cell>
          <cell r="H83">
            <v>3</v>
          </cell>
          <cell r="I83">
            <v>1</v>
          </cell>
          <cell r="J83">
            <v>0</v>
          </cell>
          <cell r="K83">
            <v>0.75</v>
          </cell>
          <cell r="L83">
            <v>0.25</v>
          </cell>
          <cell r="M83">
            <v>0</v>
          </cell>
          <cell r="N83">
            <v>1</v>
          </cell>
          <cell r="R83">
            <v>1</v>
          </cell>
          <cell r="S83">
            <v>1</v>
          </cell>
          <cell r="T83">
            <v>0</v>
          </cell>
        </row>
        <row r="84">
          <cell r="F84">
            <v>8</v>
          </cell>
          <cell r="G84">
            <v>8</v>
          </cell>
          <cell r="H84">
            <v>8</v>
          </cell>
          <cell r="I84">
            <v>0</v>
          </cell>
          <cell r="J84">
            <v>0</v>
          </cell>
          <cell r="K84">
            <v>1</v>
          </cell>
          <cell r="L84">
            <v>0</v>
          </cell>
          <cell r="M84">
            <v>0</v>
          </cell>
          <cell r="N84">
            <v>1</v>
          </cell>
          <cell r="R84">
            <v>2</v>
          </cell>
          <cell r="S84">
            <v>2</v>
          </cell>
          <cell r="T84">
            <v>0</v>
          </cell>
        </row>
        <row r="85">
          <cell r="F85">
            <v>3</v>
          </cell>
          <cell r="G85">
            <v>3</v>
          </cell>
          <cell r="H85">
            <v>2</v>
          </cell>
          <cell r="I85">
            <v>1</v>
          </cell>
          <cell r="J85">
            <v>0</v>
          </cell>
          <cell r="K85">
            <v>0.66666666666666663</v>
          </cell>
          <cell r="L85">
            <v>0.33333333333333331</v>
          </cell>
          <cell r="M85">
            <v>0</v>
          </cell>
          <cell r="N85">
            <v>1</v>
          </cell>
          <cell r="R85">
            <v>1</v>
          </cell>
          <cell r="S85">
            <v>1</v>
          </cell>
          <cell r="T85">
            <v>0</v>
          </cell>
        </row>
        <row r="86">
          <cell r="F86">
            <v>5</v>
          </cell>
          <cell r="G86">
            <v>5</v>
          </cell>
          <cell r="H86">
            <v>5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1</v>
          </cell>
          <cell r="R86">
            <v>2</v>
          </cell>
          <cell r="S86">
            <v>2</v>
          </cell>
          <cell r="T86">
            <v>0</v>
          </cell>
        </row>
        <row r="87">
          <cell r="F87">
            <v>6</v>
          </cell>
          <cell r="G87">
            <v>6</v>
          </cell>
          <cell r="H87">
            <v>5</v>
          </cell>
          <cell r="I87">
            <v>1</v>
          </cell>
          <cell r="J87">
            <v>0</v>
          </cell>
          <cell r="K87">
            <v>0.83333333333333337</v>
          </cell>
          <cell r="L87">
            <v>0.16666666666666666</v>
          </cell>
          <cell r="M87">
            <v>0</v>
          </cell>
          <cell r="N87">
            <v>1</v>
          </cell>
          <cell r="R87">
            <v>1</v>
          </cell>
          <cell r="S87">
            <v>1</v>
          </cell>
          <cell r="T87">
            <v>0</v>
          </cell>
        </row>
        <row r="88">
          <cell r="F88">
            <v>75</v>
          </cell>
          <cell r="G88">
            <v>75</v>
          </cell>
          <cell r="H88">
            <v>70</v>
          </cell>
          <cell r="I88">
            <v>5</v>
          </cell>
          <cell r="J88">
            <v>0</v>
          </cell>
          <cell r="K88">
            <v>0.93333333333333335</v>
          </cell>
          <cell r="L88">
            <v>6.6666666666666666E-2</v>
          </cell>
          <cell r="M88">
            <v>0</v>
          </cell>
          <cell r="N88">
            <v>1</v>
          </cell>
          <cell r="R88">
            <v>5</v>
          </cell>
          <cell r="S88">
            <v>5</v>
          </cell>
          <cell r="T88">
            <v>0</v>
          </cell>
        </row>
        <row r="89">
          <cell r="F89">
            <v>178</v>
          </cell>
          <cell r="G89">
            <v>178</v>
          </cell>
          <cell r="H89">
            <v>141</v>
          </cell>
          <cell r="I89">
            <v>37</v>
          </cell>
          <cell r="J89">
            <v>0</v>
          </cell>
          <cell r="K89">
            <v>0.7921348314606742</v>
          </cell>
          <cell r="L89">
            <v>0.20786516853932585</v>
          </cell>
          <cell r="M89">
            <v>0</v>
          </cell>
          <cell r="N89">
            <v>1</v>
          </cell>
          <cell r="R89">
            <v>14</v>
          </cell>
          <cell r="S89">
            <v>14</v>
          </cell>
          <cell r="T89">
            <v>0</v>
          </cell>
        </row>
        <row r="90">
          <cell r="F90">
            <v>6</v>
          </cell>
          <cell r="G90">
            <v>6</v>
          </cell>
          <cell r="H90">
            <v>4</v>
          </cell>
          <cell r="I90">
            <v>2</v>
          </cell>
          <cell r="J90">
            <v>0</v>
          </cell>
          <cell r="K90">
            <v>0.66666666666666663</v>
          </cell>
          <cell r="L90">
            <v>0.33333333333333331</v>
          </cell>
          <cell r="M90">
            <v>0</v>
          </cell>
          <cell r="N90">
            <v>1</v>
          </cell>
          <cell r="R90">
            <v>1</v>
          </cell>
          <cell r="S90">
            <v>1</v>
          </cell>
          <cell r="T90">
            <v>0</v>
          </cell>
        </row>
        <row r="91">
          <cell r="F91">
            <v>4</v>
          </cell>
          <cell r="G91">
            <v>4</v>
          </cell>
          <cell r="H91">
            <v>2</v>
          </cell>
          <cell r="I91">
            <v>2</v>
          </cell>
          <cell r="J91">
            <v>0</v>
          </cell>
          <cell r="K91">
            <v>0.5</v>
          </cell>
          <cell r="L91">
            <v>0.5</v>
          </cell>
          <cell r="M91">
            <v>0</v>
          </cell>
          <cell r="N91">
            <v>1</v>
          </cell>
          <cell r="R91">
            <v>1</v>
          </cell>
          <cell r="S91">
            <v>1</v>
          </cell>
          <cell r="T91">
            <v>0</v>
          </cell>
        </row>
        <row r="92">
          <cell r="F92">
            <v>20</v>
          </cell>
          <cell r="G92">
            <v>20</v>
          </cell>
          <cell r="H92">
            <v>11</v>
          </cell>
          <cell r="I92">
            <v>9</v>
          </cell>
          <cell r="J92">
            <v>0</v>
          </cell>
          <cell r="K92">
            <v>0.55000000000000004</v>
          </cell>
          <cell r="L92">
            <v>0.45</v>
          </cell>
          <cell r="M92">
            <v>0</v>
          </cell>
          <cell r="N92">
            <v>1</v>
          </cell>
          <cell r="R92">
            <v>6</v>
          </cell>
          <cell r="S92">
            <v>6</v>
          </cell>
          <cell r="T92">
            <v>0</v>
          </cell>
        </row>
        <row r="93">
          <cell r="F93">
            <v>6</v>
          </cell>
          <cell r="G93">
            <v>6</v>
          </cell>
          <cell r="H93">
            <v>6</v>
          </cell>
          <cell r="I93">
            <v>0</v>
          </cell>
          <cell r="J93">
            <v>0</v>
          </cell>
          <cell r="K93">
            <v>1</v>
          </cell>
          <cell r="L93">
            <v>0</v>
          </cell>
          <cell r="M93">
            <v>0</v>
          </cell>
          <cell r="N93">
            <v>1</v>
          </cell>
          <cell r="R93">
            <v>1</v>
          </cell>
          <cell r="S93">
            <v>1</v>
          </cell>
          <cell r="T93">
            <v>0</v>
          </cell>
        </row>
        <row r="95">
          <cell r="F95">
            <v>3</v>
          </cell>
          <cell r="G95">
            <v>3</v>
          </cell>
          <cell r="H95">
            <v>2</v>
          </cell>
          <cell r="I95">
            <v>1</v>
          </cell>
          <cell r="J95">
            <v>0</v>
          </cell>
          <cell r="K95">
            <v>0.66666666666666663</v>
          </cell>
          <cell r="L95">
            <v>0.33333333333333331</v>
          </cell>
          <cell r="M95">
            <v>0</v>
          </cell>
          <cell r="N95">
            <v>1</v>
          </cell>
          <cell r="R95">
            <v>1</v>
          </cell>
          <cell r="S95">
            <v>1</v>
          </cell>
          <cell r="T95">
            <v>0</v>
          </cell>
        </row>
        <row r="96">
          <cell r="F96">
            <v>10</v>
          </cell>
          <cell r="G96">
            <v>10</v>
          </cell>
          <cell r="H96">
            <v>9</v>
          </cell>
          <cell r="I96">
            <v>1</v>
          </cell>
          <cell r="J96">
            <v>0</v>
          </cell>
          <cell r="K96">
            <v>0.9</v>
          </cell>
          <cell r="L96">
            <v>0.1</v>
          </cell>
          <cell r="M96">
            <v>0</v>
          </cell>
          <cell r="N96">
            <v>1</v>
          </cell>
          <cell r="R96">
            <v>1</v>
          </cell>
          <cell r="S96">
            <v>1</v>
          </cell>
          <cell r="T96">
            <v>0</v>
          </cell>
        </row>
        <row r="97">
          <cell r="F97">
            <v>11</v>
          </cell>
          <cell r="G97">
            <v>11</v>
          </cell>
          <cell r="H97">
            <v>11</v>
          </cell>
          <cell r="I97">
            <v>0</v>
          </cell>
          <cell r="J97">
            <v>0</v>
          </cell>
          <cell r="K97">
            <v>1</v>
          </cell>
          <cell r="L97">
            <v>0</v>
          </cell>
          <cell r="M97">
            <v>0</v>
          </cell>
          <cell r="N97">
            <v>1</v>
          </cell>
          <cell r="R97">
            <v>1</v>
          </cell>
          <cell r="S97">
            <v>1</v>
          </cell>
          <cell r="T97">
            <v>0</v>
          </cell>
        </row>
        <row r="98">
          <cell r="F98">
            <v>5</v>
          </cell>
          <cell r="G98">
            <v>5</v>
          </cell>
          <cell r="H98">
            <v>4</v>
          </cell>
          <cell r="I98">
            <v>1</v>
          </cell>
          <cell r="J98">
            <v>0</v>
          </cell>
          <cell r="K98">
            <v>0.8</v>
          </cell>
          <cell r="L98">
            <v>0.2</v>
          </cell>
          <cell r="M98">
            <v>0</v>
          </cell>
          <cell r="N98">
            <v>1</v>
          </cell>
          <cell r="R98">
            <v>1</v>
          </cell>
          <cell r="S98">
            <v>1</v>
          </cell>
          <cell r="T98">
            <v>0</v>
          </cell>
        </row>
        <row r="99">
          <cell r="F99">
            <v>4</v>
          </cell>
          <cell r="G99">
            <v>4</v>
          </cell>
          <cell r="H99">
            <v>4</v>
          </cell>
          <cell r="I99">
            <v>0</v>
          </cell>
          <cell r="J99">
            <v>0</v>
          </cell>
          <cell r="K99">
            <v>1</v>
          </cell>
          <cell r="L99">
            <v>0</v>
          </cell>
          <cell r="M99">
            <v>0</v>
          </cell>
          <cell r="N99">
            <v>1</v>
          </cell>
          <cell r="R99">
            <v>1</v>
          </cell>
          <cell r="S99">
            <v>1</v>
          </cell>
          <cell r="T99">
            <v>0</v>
          </cell>
        </row>
        <row r="100">
          <cell r="F100">
            <v>4</v>
          </cell>
          <cell r="G100">
            <v>4</v>
          </cell>
          <cell r="H100">
            <v>3</v>
          </cell>
          <cell r="I100">
            <v>1</v>
          </cell>
          <cell r="J100">
            <v>0</v>
          </cell>
          <cell r="K100">
            <v>0.75</v>
          </cell>
          <cell r="L100">
            <v>0.25</v>
          </cell>
          <cell r="M100">
            <v>0</v>
          </cell>
          <cell r="N100">
            <v>1</v>
          </cell>
          <cell r="R100">
            <v>1</v>
          </cell>
          <cell r="S100">
            <v>1</v>
          </cell>
          <cell r="T100">
            <v>0</v>
          </cell>
        </row>
        <row r="101">
          <cell r="F101">
            <v>3</v>
          </cell>
          <cell r="G101">
            <v>3</v>
          </cell>
          <cell r="H101">
            <v>3</v>
          </cell>
          <cell r="I101">
            <v>0</v>
          </cell>
          <cell r="J101">
            <v>0</v>
          </cell>
          <cell r="K101">
            <v>1</v>
          </cell>
          <cell r="L101">
            <v>0</v>
          </cell>
          <cell r="M101">
            <v>0</v>
          </cell>
          <cell r="N101">
            <v>1</v>
          </cell>
          <cell r="R101">
            <v>1</v>
          </cell>
          <cell r="S101">
            <v>1</v>
          </cell>
          <cell r="T101">
            <v>0</v>
          </cell>
        </row>
        <row r="102">
          <cell r="F102">
            <v>15</v>
          </cell>
          <cell r="G102">
            <v>15</v>
          </cell>
          <cell r="H102">
            <v>13</v>
          </cell>
          <cell r="I102">
            <v>2</v>
          </cell>
          <cell r="J102">
            <v>0</v>
          </cell>
          <cell r="K102">
            <v>0.8666666666666667</v>
          </cell>
          <cell r="L102">
            <v>0.13333333333333333</v>
          </cell>
          <cell r="M102">
            <v>0</v>
          </cell>
          <cell r="N102">
            <v>1</v>
          </cell>
          <cell r="R102">
            <v>4</v>
          </cell>
          <cell r="S102">
            <v>4</v>
          </cell>
          <cell r="T102">
            <v>0</v>
          </cell>
        </row>
        <row r="103">
          <cell r="F103">
            <v>3</v>
          </cell>
          <cell r="G103">
            <v>3</v>
          </cell>
          <cell r="H103">
            <v>1</v>
          </cell>
          <cell r="I103">
            <v>2</v>
          </cell>
          <cell r="J103">
            <v>0</v>
          </cell>
          <cell r="K103">
            <v>0.33333333333333331</v>
          </cell>
          <cell r="L103">
            <v>0.66666666666666663</v>
          </cell>
          <cell r="M103">
            <v>0</v>
          </cell>
          <cell r="N103">
            <v>1</v>
          </cell>
          <cell r="R103">
            <v>1</v>
          </cell>
          <cell r="S103">
            <v>1</v>
          </cell>
          <cell r="T103">
            <v>0</v>
          </cell>
        </row>
        <row r="104">
          <cell r="F104">
            <v>5</v>
          </cell>
          <cell r="G104">
            <v>5</v>
          </cell>
          <cell r="H104">
            <v>5</v>
          </cell>
          <cell r="I104">
            <v>0</v>
          </cell>
          <cell r="J104">
            <v>0</v>
          </cell>
          <cell r="K104">
            <v>1</v>
          </cell>
          <cell r="L104">
            <v>0</v>
          </cell>
          <cell r="M104">
            <v>0</v>
          </cell>
          <cell r="N104">
            <v>1</v>
          </cell>
          <cell r="R104">
            <v>1</v>
          </cell>
          <cell r="S104">
            <v>1</v>
          </cell>
          <cell r="T104">
            <v>0</v>
          </cell>
        </row>
        <row r="105">
          <cell r="F105">
            <v>8</v>
          </cell>
          <cell r="G105">
            <v>8</v>
          </cell>
          <cell r="H105">
            <v>8</v>
          </cell>
          <cell r="I105">
            <v>0</v>
          </cell>
          <cell r="J105">
            <v>0</v>
          </cell>
          <cell r="K105">
            <v>1</v>
          </cell>
          <cell r="L105">
            <v>0</v>
          </cell>
          <cell r="M105">
            <v>0</v>
          </cell>
          <cell r="N105">
            <v>1</v>
          </cell>
          <cell r="R105">
            <v>2</v>
          </cell>
          <cell r="S105">
            <v>2</v>
          </cell>
          <cell r="T105">
            <v>0</v>
          </cell>
        </row>
        <row r="106">
          <cell r="F106">
            <v>70</v>
          </cell>
          <cell r="G106">
            <v>70</v>
          </cell>
          <cell r="H106">
            <v>55</v>
          </cell>
          <cell r="I106">
            <v>15</v>
          </cell>
          <cell r="J106">
            <v>0</v>
          </cell>
          <cell r="K106">
            <v>0.7857142857142857</v>
          </cell>
          <cell r="L106">
            <v>0.21428571428571427</v>
          </cell>
          <cell r="M106">
            <v>0</v>
          </cell>
          <cell r="N106">
            <v>1</v>
          </cell>
          <cell r="R106">
            <v>26</v>
          </cell>
          <cell r="S106">
            <v>26</v>
          </cell>
          <cell r="T106">
            <v>0</v>
          </cell>
        </row>
        <row r="108">
          <cell r="F108">
            <v>1592</v>
          </cell>
          <cell r="G108">
            <v>1552</v>
          </cell>
          <cell r="H108">
            <v>1366</v>
          </cell>
          <cell r="I108">
            <v>186</v>
          </cell>
          <cell r="J108">
            <v>40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9B6E-91F9-46A1-BCC6-A4E01DE0670D}">
  <dimension ref="A1:X113"/>
  <sheetViews>
    <sheetView tabSelected="1" workbookViewId="0">
      <selection activeCell="T111" sqref="T111"/>
    </sheetView>
  </sheetViews>
  <sheetFormatPr defaultColWidth="9.1796875" defaultRowHeight="13" x14ac:dyDescent="0.3"/>
  <cols>
    <col min="1" max="1" width="9.1796875" style="1"/>
    <col min="2" max="2" width="9.1796875" style="6"/>
    <col min="3" max="3" width="14" style="1" customWidth="1"/>
    <col min="4" max="4" width="19.54296875" style="9" customWidth="1"/>
    <col min="5" max="5" width="53.54296875" style="10" customWidth="1"/>
    <col min="6" max="6" width="14.453125" style="6" customWidth="1"/>
    <col min="7" max="16384" width="9.1796875" style="6"/>
  </cols>
  <sheetData>
    <row r="1" spans="1:23" x14ac:dyDescent="0.3">
      <c r="A1" s="24"/>
      <c r="B1" s="2"/>
      <c r="C1" s="2"/>
      <c r="D1" s="3"/>
      <c r="E1" s="4"/>
      <c r="F1" s="2"/>
      <c r="G1" s="34" t="s">
        <v>0</v>
      </c>
      <c r="H1" s="34"/>
      <c r="I1" s="34"/>
      <c r="J1" s="34"/>
      <c r="K1" s="34"/>
      <c r="L1" s="34"/>
      <c r="M1" s="34"/>
      <c r="N1" s="34"/>
      <c r="O1" s="34" t="s">
        <v>1</v>
      </c>
      <c r="P1" s="34"/>
      <c r="Q1" s="34"/>
      <c r="R1" s="34"/>
      <c r="S1" s="34" t="s">
        <v>2</v>
      </c>
      <c r="T1" s="34"/>
      <c r="U1" s="34"/>
      <c r="V1" s="34"/>
      <c r="W1" s="34"/>
    </row>
    <row r="2" spans="1:23" ht="39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5" t="s">
        <v>8</v>
      </c>
      <c r="G2" s="5" t="s">
        <v>0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</row>
    <row r="3" spans="1:23" s="1" customFormat="1" ht="14.5" x14ac:dyDescent="0.3">
      <c r="A3" s="1">
        <v>4365879</v>
      </c>
      <c r="B3" s="26" t="s">
        <v>25</v>
      </c>
      <c r="C3" s="26" t="s">
        <v>26</v>
      </c>
      <c r="D3" s="27" t="s">
        <v>26</v>
      </c>
      <c r="E3" s="10" t="s">
        <v>27</v>
      </c>
      <c r="F3" s="11" t="str">
        <f>IF(AND(H3-I3=G3,O3&lt;&gt;1,R3=1),"Awaiting bug fix",IF(AND(H3-I3=G3,O3=1,R3=1),"Completed",IF(H3=0,"Not Delivered","In Progress")))</f>
        <v>Completed</v>
      </c>
      <c r="G3" s="1">
        <f>'[1]March 28th Release'!R2</f>
        <v>1</v>
      </c>
      <c r="H3" s="1">
        <f>'[1]March 28th Release'!S2</f>
        <v>1</v>
      </c>
      <c r="I3" s="1">
        <f>'[1]March 28th Release'!T2</f>
        <v>0</v>
      </c>
      <c r="J3" s="1">
        <f>'[1]March 28th Release'!F2</f>
        <v>4</v>
      </c>
      <c r="K3" s="1">
        <f>'[1]March 28th Release'!G2</f>
        <v>4</v>
      </c>
      <c r="L3" s="1">
        <f>'[1]March 28th Release'!H2</f>
        <v>4</v>
      </c>
      <c r="M3" s="1">
        <f>'[1]March 28th Release'!I2</f>
        <v>0</v>
      </c>
      <c r="N3" s="1">
        <f>'[1]March 28th Release'!J2</f>
        <v>0</v>
      </c>
      <c r="O3" s="12">
        <f>'[1]March 28th Release'!K2</f>
        <v>1</v>
      </c>
      <c r="P3" s="12">
        <f>'[1]March 28th Release'!L2</f>
        <v>0</v>
      </c>
      <c r="Q3" s="12">
        <f>'[1]March 28th Release'!M2</f>
        <v>0</v>
      </c>
      <c r="R3" s="12">
        <f>'[1]March 28th Release'!N2</f>
        <v>1</v>
      </c>
      <c r="S3" s="13"/>
      <c r="T3" s="14"/>
      <c r="U3" s="14"/>
      <c r="V3" s="14"/>
      <c r="W3" s="14"/>
    </row>
    <row r="4" spans="1:23" s="1" customFormat="1" ht="14.5" x14ac:dyDescent="0.3">
      <c r="A4" s="15">
        <v>4366466</v>
      </c>
      <c r="B4" s="26"/>
      <c r="C4" s="26"/>
      <c r="D4" s="27"/>
      <c r="E4" s="10" t="s">
        <v>28</v>
      </c>
      <c r="F4" s="11" t="str">
        <f t="shared" ref="F4:F67" si="0">IF(AND(H4-I4=G4,O4&lt;&gt;1,R4=1),"Awaiting bug fix",IF(AND(H4-I4=G4,O4=1,R4=1),"Completed",IF(H4=0,"Not Delivered","In Progress")))</f>
        <v>Completed</v>
      </c>
      <c r="G4" s="1">
        <f>'[1]March 28th Release'!R3</f>
        <v>1</v>
      </c>
      <c r="H4" s="1">
        <f>'[1]March 28th Release'!S3</f>
        <v>1</v>
      </c>
      <c r="I4" s="1">
        <f>'[1]March 28th Release'!T3</f>
        <v>0</v>
      </c>
      <c r="J4" s="1">
        <f>'[1]March 28th Release'!F3</f>
        <v>6</v>
      </c>
      <c r="K4" s="1">
        <f>'[1]March 28th Release'!G3</f>
        <v>6</v>
      </c>
      <c r="L4" s="1">
        <f>'[1]March 28th Release'!H3</f>
        <v>6</v>
      </c>
      <c r="M4" s="1">
        <f>'[1]March 28th Release'!I3</f>
        <v>0</v>
      </c>
      <c r="N4" s="1">
        <f>'[1]March 28th Release'!J3</f>
        <v>0</v>
      </c>
      <c r="O4" s="12">
        <f>'[1]March 28th Release'!K3</f>
        <v>1</v>
      </c>
      <c r="P4" s="12">
        <f>'[1]March 28th Release'!L3</f>
        <v>0</v>
      </c>
      <c r="Q4" s="12">
        <f>'[1]March 28th Release'!M3</f>
        <v>0</v>
      </c>
      <c r="R4" s="12">
        <f>'[1]March 28th Release'!N3</f>
        <v>1</v>
      </c>
      <c r="S4" s="13"/>
      <c r="T4" s="14"/>
      <c r="U4" s="14"/>
      <c r="V4" s="14"/>
      <c r="W4" s="14"/>
    </row>
    <row r="5" spans="1:23" s="1" customFormat="1" ht="14.5" x14ac:dyDescent="0.3">
      <c r="A5" s="1">
        <v>4317244</v>
      </c>
      <c r="B5" s="26"/>
      <c r="C5" s="1" t="s">
        <v>29</v>
      </c>
      <c r="D5" s="9" t="s">
        <v>30</v>
      </c>
      <c r="E5" s="10" t="s">
        <v>31</v>
      </c>
      <c r="F5" s="11" t="str">
        <f t="shared" si="0"/>
        <v>Completed</v>
      </c>
      <c r="G5" s="1">
        <f>'[1]March 28th Release'!R4</f>
        <v>24</v>
      </c>
      <c r="H5" s="1">
        <f>'[1]March 28th Release'!S4</f>
        <v>24</v>
      </c>
      <c r="I5" s="1">
        <f>'[1]March 28th Release'!T4</f>
        <v>0</v>
      </c>
      <c r="J5" s="1">
        <f>'[1]March 28th Release'!F4</f>
        <v>120</v>
      </c>
      <c r="K5" s="1">
        <f>'[1]March 28th Release'!G4</f>
        <v>120</v>
      </c>
      <c r="L5" s="1">
        <f>'[1]March 28th Release'!H4</f>
        <v>120</v>
      </c>
      <c r="M5" s="1">
        <f>'[1]March 28th Release'!I4</f>
        <v>0</v>
      </c>
      <c r="N5" s="1">
        <f>'[1]March 28th Release'!J4</f>
        <v>0</v>
      </c>
      <c r="O5" s="12">
        <f>'[1]March 28th Release'!K4</f>
        <v>1</v>
      </c>
      <c r="P5" s="12">
        <f>'[1]March 28th Release'!L4</f>
        <v>0</v>
      </c>
      <c r="Q5" s="12">
        <f>'[1]March 28th Release'!M4</f>
        <v>0</v>
      </c>
      <c r="R5" s="12">
        <f>'[1]March 28th Release'!N4</f>
        <v>1</v>
      </c>
      <c r="S5" s="13"/>
      <c r="T5" s="14"/>
      <c r="U5" s="14"/>
      <c r="V5" s="14"/>
      <c r="W5" s="14"/>
    </row>
    <row r="6" spans="1:23" s="1" customFormat="1" ht="14.5" x14ac:dyDescent="0.3">
      <c r="A6" s="1">
        <v>4371748</v>
      </c>
      <c r="B6" s="26"/>
      <c r="C6" s="26" t="s">
        <v>32</v>
      </c>
      <c r="D6" s="27" t="s">
        <v>32</v>
      </c>
      <c r="E6" s="10" t="s">
        <v>33</v>
      </c>
      <c r="F6" s="11" t="str">
        <f t="shared" si="0"/>
        <v>Completed</v>
      </c>
      <c r="G6" s="1">
        <f>'[1]March 28th Release'!R5</f>
        <v>1</v>
      </c>
      <c r="H6" s="1">
        <f>'[1]March 28th Release'!S5</f>
        <v>1</v>
      </c>
      <c r="I6" s="1">
        <f>'[1]March 28th Release'!T5</f>
        <v>0</v>
      </c>
      <c r="J6" s="1">
        <f>'[1]March 28th Release'!F5</f>
        <v>4</v>
      </c>
      <c r="K6" s="1">
        <f>'[1]March 28th Release'!G5</f>
        <v>4</v>
      </c>
      <c r="L6" s="1">
        <f>'[1]March 28th Release'!H5</f>
        <v>4</v>
      </c>
      <c r="M6" s="1">
        <f>'[1]March 28th Release'!I5</f>
        <v>0</v>
      </c>
      <c r="N6" s="1">
        <f>'[1]March 28th Release'!J5</f>
        <v>0</v>
      </c>
      <c r="O6" s="12">
        <f>'[1]March 28th Release'!K5</f>
        <v>1</v>
      </c>
      <c r="P6" s="12">
        <f>'[1]March 28th Release'!L5</f>
        <v>0</v>
      </c>
      <c r="Q6" s="12">
        <f>'[1]March 28th Release'!M5</f>
        <v>0</v>
      </c>
      <c r="R6" s="12">
        <f>'[1]March 28th Release'!N5</f>
        <v>1</v>
      </c>
      <c r="S6" s="13"/>
      <c r="T6" s="14"/>
      <c r="U6" s="14"/>
      <c r="V6" s="14"/>
      <c r="W6" s="14"/>
    </row>
    <row r="7" spans="1:23" s="1" customFormat="1" ht="14.5" x14ac:dyDescent="0.3">
      <c r="A7" s="1">
        <v>4384974</v>
      </c>
      <c r="B7" s="26"/>
      <c r="C7" s="26"/>
      <c r="D7" s="27"/>
      <c r="E7" s="10" t="s">
        <v>34</v>
      </c>
      <c r="F7" s="11" t="str">
        <f t="shared" si="0"/>
        <v>Completed</v>
      </c>
      <c r="G7" s="1">
        <f>'[1]March 28th Release'!R6</f>
        <v>1</v>
      </c>
      <c r="H7" s="1">
        <f>'[1]March 28th Release'!S6</f>
        <v>1</v>
      </c>
      <c r="I7" s="1">
        <f>'[1]March 28th Release'!T6</f>
        <v>0</v>
      </c>
      <c r="J7" s="1">
        <f>'[1]March 28th Release'!F6</f>
        <v>2</v>
      </c>
      <c r="K7" s="1">
        <f>'[1]March 28th Release'!G6</f>
        <v>2</v>
      </c>
      <c r="L7" s="1">
        <f>'[1]March 28th Release'!H6</f>
        <v>2</v>
      </c>
      <c r="M7" s="1">
        <f>'[1]March 28th Release'!I6</f>
        <v>0</v>
      </c>
      <c r="N7" s="1">
        <f>'[1]March 28th Release'!J6</f>
        <v>0</v>
      </c>
      <c r="O7" s="12">
        <f>'[1]March 28th Release'!K6</f>
        <v>1</v>
      </c>
      <c r="P7" s="12">
        <f>'[1]March 28th Release'!L6</f>
        <v>0</v>
      </c>
      <c r="Q7" s="12">
        <f>'[1]March 28th Release'!M6</f>
        <v>0</v>
      </c>
      <c r="R7" s="12">
        <f>'[1]March 28th Release'!N6</f>
        <v>1</v>
      </c>
      <c r="S7" s="13"/>
      <c r="T7" s="14"/>
      <c r="U7" s="14"/>
      <c r="V7" s="14"/>
      <c r="W7" s="14"/>
    </row>
    <row r="8" spans="1:23" s="1" customFormat="1" ht="14.5" x14ac:dyDescent="0.3">
      <c r="A8" s="1">
        <v>4384974</v>
      </c>
      <c r="B8" s="26"/>
      <c r="C8" s="26"/>
      <c r="D8" s="9" t="s">
        <v>35</v>
      </c>
      <c r="E8" s="10" t="s">
        <v>36</v>
      </c>
      <c r="F8" s="11" t="str">
        <f t="shared" si="0"/>
        <v>Completed</v>
      </c>
      <c r="G8" s="1">
        <f>'[1]March 28th Release'!R7</f>
        <v>1</v>
      </c>
      <c r="H8" s="1">
        <f>'[1]March 28th Release'!S7</f>
        <v>1</v>
      </c>
      <c r="I8" s="1">
        <f>'[1]March 28th Release'!T7</f>
        <v>0</v>
      </c>
      <c r="J8" s="1">
        <f>'[1]March 28th Release'!F7</f>
        <v>7</v>
      </c>
      <c r="K8" s="1">
        <f>'[1]March 28th Release'!G7</f>
        <v>7</v>
      </c>
      <c r="L8" s="1">
        <f>'[1]March 28th Release'!H7</f>
        <v>7</v>
      </c>
      <c r="M8" s="1">
        <f>'[1]March 28th Release'!I7</f>
        <v>0</v>
      </c>
      <c r="N8" s="1">
        <f>'[1]March 28th Release'!J7</f>
        <v>0</v>
      </c>
      <c r="O8" s="12">
        <f>'[1]March 28th Release'!K7</f>
        <v>1</v>
      </c>
      <c r="P8" s="12">
        <f>'[1]March 28th Release'!L7</f>
        <v>0</v>
      </c>
      <c r="Q8" s="12">
        <f>'[1]March 28th Release'!M7</f>
        <v>0</v>
      </c>
      <c r="R8" s="12">
        <f>'[1]March 28th Release'!N7</f>
        <v>1</v>
      </c>
      <c r="S8" s="13"/>
      <c r="T8" s="13"/>
      <c r="U8" s="13"/>
      <c r="V8" s="13"/>
      <c r="W8" s="13"/>
    </row>
    <row r="9" spans="1:23" s="1" customFormat="1" ht="14.5" x14ac:dyDescent="0.3">
      <c r="A9" s="1">
        <v>4371748</v>
      </c>
      <c r="B9" s="26"/>
      <c r="C9" s="26"/>
      <c r="D9" s="27" t="s">
        <v>37</v>
      </c>
      <c r="E9" s="10" t="s">
        <v>38</v>
      </c>
      <c r="F9" s="11" t="str">
        <f t="shared" si="0"/>
        <v>Completed</v>
      </c>
      <c r="G9" s="1">
        <f>'[1]March 28th Release'!R8</f>
        <v>1</v>
      </c>
      <c r="H9" s="1">
        <f>'[1]March 28th Release'!S8</f>
        <v>1</v>
      </c>
      <c r="I9" s="1">
        <f>'[1]March 28th Release'!T8</f>
        <v>0</v>
      </c>
      <c r="J9" s="1">
        <f>'[1]March 28th Release'!F8</f>
        <v>9</v>
      </c>
      <c r="K9" s="1">
        <f>'[1]March 28th Release'!G8</f>
        <v>9</v>
      </c>
      <c r="L9" s="1">
        <f>'[1]March 28th Release'!H8</f>
        <v>9</v>
      </c>
      <c r="M9" s="1">
        <f>'[1]March 28th Release'!I8</f>
        <v>0</v>
      </c>
      <c r="N9" s="1">
        <f>'[1]March 28th Release'!J8</f>
        <v>0</v>
      </c>
      <c r="O9" s="12">
        <f>'[1]March 28th Release'!K8</f>
        <v>1</v>
      </c>
      <c r="P9" s="12">
        <f>'[1]March 28th Release'!L8</f>
        <v>0</v>
      </c>
      <c r="Q9" s="12">
        <f>'[1]March 28th Release'!M8</f>
        <v>0</v>
      </c>
      <c r="R9" s="12">
        <f>'[1]March 28th Release'!N8</f>
        <v>1</v>
      </c>
      <c r="S9" s="13"/>
      <c r="T9" s="13"/>
      <c r="U9" s="13"/>
      <c r="V9" s="13"/>
      <c r="W9" s="13"/>
    </row>
    <row r="10" spans="1:23" s="1" customFormat="1" ht="14.5" x14ac:dyDescent="0.3">
      <c r="A10" s="1">
        <v>4384974</v>
      </c>
      <c r="B10" s="26"/>
      <c r="C10" s="26"/>
      <c r="D10" s="27"/>
      <c r="E10" s="10" t="s">
        <v>39</v>
      </c>
      <c r="F10" s="11" t="str">
        <f t="shared" si="0"/>
        <v>Awaiting bug fix</v>
      </c>
      <c r="G10" s="1">
        <f>'[1]March 28th Release'!R9</f>
        <v>1</v>
      </c>
      <c r="H10" s="1">
        <f>'[1]March 28th Release'!S9</f>
        <v>1</v>
      </c>
      <c r="I10" s="1">
        <f>'[1]March 28th Release'!T9</f>
        <v>0</v>
      </c>
      <c r="J10" s="1">
        <f>'[1]March 28th Release'!F9</f>
        <v>21</v>
      </c>
      <c r="K10" s="1">
        <f>'[1]March 28th Release'!G9</f>
        <v>21</v>
      </c>
      <c r="L10" s="1">
        <f>'[1]March 28th Release'!H9</f>
        <v>19</v>
      </c>
      <c r="M10" s="1">
        <f>'[1]March 28th Release'!I9</f>
        <v>2</v>
      </c>
      <c r="N10" s="1">
        <f>'[1]March 28th Release'!J9</f>
        <v>0</v>
      </c>
      <c r="O10" s="12">
        <f>'[1]March 28th Release'!K9</f>
        <v>0.90476190476190477</v>
      </c>
      <c r="P10" s="12">
        <f>'[1]March 28th Release'!L9</f>
        <v>9.5238095238095233E-2</v>
      </c>
      <c r="Q10" s="12">
        <f>'[1]March 28th Release'!M9</f>
        <v>0</v>
      </c>
      <c r="R10" s="12">
        <f>'[1]March 28th Release'!N9</f>
        <v>1</v>
      </c>
      <c r="S10" s="13">
        <v>1</v>
      </c>
      <c r="T10" s="14"/>
      <c r="U10" s="14"/>
      <c r="V10" s="14">
        <v>1</v>
      </c>
      <c r="W10" s="14"/>
    </row>
    <row r="11" spans="1:23" ht="14.5" x14ac:dyDescent="0.3">
      <c r="A11" s="1">
        <v>4371748</v>
      </c>
      <c r="B11" s="26"/>
      <c r="C11" s="26"/>
      <c r="D11" s="9" t="s">
        <v>40</v>
      </c>
      <c r="E11" s="10" t="s">
        <v>41</v>
      </c>
      <c r="F11" s="11" t="str">
        <f t="shared" si="0"/>
        <v>Completed</v>
      </c>
      <c r="G11" s="1">
        <f>'[1]March 28th Release'!R10</f>
        <v>1</v>
      </c>
      <c r="H11" s="1">
        <f>'[1]March 28th Release'!S10</f>
        <v>1</v>
      </c>
      <c r="I11" s="1">
        <f>'[1]March 28th Release'!T10</f>
        <v>0</v>
      </c>
      <c r="J11" s="1">
        <f>'[1]March 28th Release'!F10</f>
        <v>18</v>
      </c>
      <c r="K11" s="1">
        <f>'[1]March 28th Release'!G10</f>
        <v>18</v>
      </c>
      <c r="L11" s="1">
        <f>'[1]March 28th Release'!H10</f>
        <v>18</v>
      </c>
      <c r="M11" s="1">
        <f>'[1]March 28th Release'!I10</f>
        <v>0</v>
      </c>
      <c r="N11" s="1">
        <f>'[1]March 28th Release'!J10</f>
        <v>0</v>
      </c>
      <c r="O11" s="12">
        <f>'[1]March 28th Release'!K10</f>
        <v>1</v>
      </c>
      <c r="P11" s="12">
        <f>'[1]March 28th Release'!L10</f>
        <v>0</v>
      </c>
      <c r="Q11" s="12">
        <f>'[1]March 28th Release'!M10</f>
        <v>0</v>
      </c>
      <c r="R11" s="12">
        <f>'[1]March 28th Release'!N10</f>
        <v>1</v>
      </c>
      <c r="S11" s="13"/>
      <c r="T11" s="13"/>
      <c r="U11" s="13"/>
      <c r="V11" s="13"/>
      <c r="W11" s="13"/>
    </row>
    <row r="12" spans="1:23" ht="14.5" x14ac:dyDescent="0.3">
      <c r="A12" s="15">
        <v>4373652</v>
      </c>
      <c r="B12" s="26"/>
      <c r="C12" s="31" t="s">
        <v>42</v>
      </c>
      <c r="D12" s="9" t="s">
        <v>43</v>
      </c>
      <c r="E12" s="10" t="s">
        <v>44</v>
      </c>
      <c r="F12" s="11" t="str">
        <f t="shared" si="0"/>
        <v>Awaiting bug fix</v>
      </c>
      <c r="G12" s="1">
        <f>'[1]March 28th Release'!R11</f>
        <v>1</v>
      </c>
      <c r="H12" s="1">
        <f>'[1]March 28th Release'!S11</f>
        <v>1</v>
      </c>
      <c r="I12" s="1">
        <f>'[1]March 28th Release'!T11</f>
        <v>0</v>
      </c>
      <c r="J12" s="1">
        <f>'[1]March 28th Release'!F11</f>
        <v>2</v>
      </c>
      <c r="K12" s="1">
        <f>'[1]March 28th Release'!G11</f>
        <v>2</v>
      </c>
      <c r="L12" s="1">
        <f>'[1]March 28th Release'!H11</f>
        <v>0</v>
      </c>
      <c r="M12" s="1">
        <f>'[1]March 28th Release'!I11</f>
        <v>2</v>
      </c>
      <c r="N12" s="1">
        <f>'[1]March 28th Release'!J11</f>
        <v>0</v>
      </c>
      <c r="O12" s="12">
        <f>'[1]March 28th Release'!K11</f>
        <v>0</v>
      </c>
      <c r="P12" s="12">
        <f>'[1]March 28th Release'!L11</f>
        <v>1</v>
      </c>
      <c r="Q12" s="12">
        <f>'[1]March 28th Release'!M11</f>
        <v>0</v>
      </c>
      <c r="R12" s="12">
        <f>'[1]March 28th Release'!N11</f>
        <v>1</v>
      </c>
      <c r="S12" s="13"/>
      <c r="T12" s="13"/>
      <c r="U12" s="13"/>
      <c r="V12" s="13"/>
      <c r="W12" s="13"/>
    </row>
    <row r="13" spans="1:23" ht="14.5" x14ac:dyDescent="0.3">
      <c r="A13" s="1">
        <v>4364390</v>
      </c>
      <c r="B13" s="26"/>
      <c r="C13" s="32"/>
      <c r="D13" s="31" t="s">
        <v>42</v>
      </c>
      <c r="E13" s="10" t="s">
        <v>45</v>
      </c>
      <c r="F13" s="11" t="str">
        <f t="shared" si="0"/>
        <v>In Progress</v>
      </c>
      <c r="G13" s="1">
        <f>'[1]March 28th Release'!R12</f>
        <v>2</v>
      </c>
      <c r="H13" s="1">
        <f>'[1]March 28th Release'!S12</f>
        <v>2</v>
      </c>
      <c r="I13" s="1">
        <f>'[1]March 28th Release'!T12</f>
        <v>0</v>
      </c>
      <c r="J13" s="1">
        <f>'[1]March 28th Release'!F12</f>
        <v>6</v>
      </c>
      <c r="K13" s="1">
        <f>'[1]March 28th Release'!G12</f>
        <v>4</v>
      </c>
      <c r="L13" s="1">
        <f>'[1]March 28th Release'!H12</f>
        <v>2</v>
      </c>
      <c r="M13" s="1">
        <f>'[1]March 28th Release'!I12</f>
        <v>2</v>
      </c>
      <c r="N13" s="1">
        <f>'[1]March 28th Release'!J12</f>
        <v>2</v>
      </c>
      <c r="O13" s="12">
        <f>'[1]March 28th Release'!K12</f>
        <v>0.5</v>
      </c>
      <c r="P13" s="12">
        <f>'[1]March 28th Release'!L12</f>
        <v>0.5</v>
      </c>
      <c r="Q13" s="12">
        <f>'[1]March 28th Release'!M12</f>
        <v>0.33333333333333331</v>
      </c>
      <c r="R13" s="12">
        <f>'[1]March 28th Release'!N12</f>
        <v>0.66666666666666663</v>
      </c>
      <c r="S13" s="13">
        <v>1</v>
      </c>
      <c r="T13" s="14"/>
      <c r="U13" s="14"/>
      <c r="V13" s="14">
        <v>1</v>
      </c>
      <c r="W13" s="14"/>
    </row>
    <row r="14" spans="1:23" ht="14.5" x14ac:dyDescent="0.3">
      <c r="A14" s="1">
        <v>4373652</v>
      </c>
      <c r="B14" s="26"/>
      <c r="C14" s="32"/>
      <c r="D14" s="32"/>
      <c r="E14" s="10" t="s">
        <v>46</v>
      </c>
      <c r="F14" s="11" t="str">
        <f t="shared" si="0"/>
        <v>In Progress</v>
      </c>
      <c r="G14" s="1">
        <f>'[1]March 28th Release'!R13</f>
        <v>16</v>
      </c>
      <c r="H14" s="1">
        <f>'[1]March 28th Release'!S13</f>
        <v>16</v>
      </c>
      <c r="I14" s="1">
        <f>'[1]March 28th Release'!T13</f>
        <v>0</v>
      </c>
      <c r="J14" s="1">
        <f>'[1]March 28th Release'!F13</f>
        <v>43</v>
      </c>
      <c r="K14" s="1">
        <f>'[1]March 28th Release'!G13</f>
        <v>34</v>
      </c>
      <c r="L14" s="1">
        <f>'[1]March 28th Release'!H13</f>
        <v>31</v>
      </c>
      <c r="M14" s="1">
        <f>'[1]March 28th Release'!I13</f>
        <v>3</v>
      </c>
      <c r="N14" s="1">
        <f>'[1]March 28th Release'!J13</f>
        <v>9</v>
      </c>
      <c r="O14" s="12">
        <f>'[1]March 28th Release'!K13</f>
        <v>0.91176470588235292</v>
      </c>
      <c r="P14" s="12">
        <f>'[1]March 28th Release'!L13</f>
        <v>8.8235294117647065E-2</v>
      </c>
      <c r="Q14" s="12">
        <f>'[1]March 28th Release'!M13</f>
        <v>0.20930232558139536</v>
      </c>
      <c r="R14" s="12">
        <f>'[1]March 28th Release'!N13</f>
        <v>0.79069767441860461</v>
      </c>
      <c r="S14" s="13"/>
      <c r="T14" s="13"/>
      <c r="U14" s="13"/>
      <c r="V14" s="13"/>
      <c r="W14" s="13"/>
    </row>
    <row r="15" spans="1:23" ht="14.5" x14ac:dyDescent="0.3">
      <c r="A15" s="1">
        <v>4395058</v>
      </c>
      <c r="B15" s="26"/>
      <c r="C15" s="32"/>
      <c r="D15" s="32"/>
      <c r="E15" s="10" t="s">
        <v>47</v>
      </c>
      <c r="F15" s="11" t="str">
        <f t="shared" si="0"/>
        <v>In Progress</v>
      </c>
      <c r="G15" s="1">
        <f>'[1]March 28th Release'!R14</f>
        <v>4</v>
      </c>
      <c r="H15" s="1">
        <f>'[1]March 28th Release'!S14</f>
        <v>4</v>
      </c>
      <c r="I15" s="1">
        <f>'[1]March 28th Release'!T14</f>
        <v>0</v>
      </c>
      <c r="J15" s="1">
        <f>'[1]March 28th Release'!F14</f>
        <v>12</v>
      </c>
      <c r="K15" s="1">
        <f>'[1]March 28th Release'!G14</f>
        <v>9</v>
      </c>
      <c r="L15" s="1">
        <f>'[1]March 28th Release'!H14</f>
        <v>7</v>
      </c>
      <c r="M15" s="1">
        <f>'[1]March 28th Release'!I14</f>
        <v>2</v>
      </c>
      <c r="N15" s="1">
        <f>'[1]March 28th Release'!J14</f>
        <v>3</v>
      </c>
      <c r="O15" s="12">
        <f>'[1]March 28th Release'!K14</f>
        <v>0.77777777777777779</v>
      </c>
      <c r="P15" s="12">
        <f>'[1]March 28th Release'!L14</f>
        <v>0.22222222222222221</v>
      </c>
      <c r="Q15" s="12">
        <f>'[1]March 28th Release'!M14</f>
        <v>0.25</v>
      </c>
      <c r="R15" s="12">
        <f>'[1]March 28th Release'!N14</f>
        <v>0.75</v>
      </c>
      <c r="S15" s="13"/>
      <c r="T15" s="13"/>
      <c r="U15" s="13"/>
      <c r="V15" s="13"/>
      <c r="W15" s="13"/>
    </row>
    <row r="16" spans="1:23" ht="14.5" x14ac:dyDescent="0.3">
      <c r="A16" s="1">
        <v>4390197</v>
      </c>
      <c r="B16" s="26"/>
      <c r="C16" s="33"/>
      <c r="D16" s="33"/>
      <c r="E16" s="16" t="s">
        <v>48</v>
      </c>
      <c r="F16" s="11" t="str">
        <f t="shared" si="0"/>
        <v>In Progress</v>
      </c>
      <c r="G16" s="1">
        <f>'[1]March 28th Release'!R15</f>
        <v>1</v>
      </c>
      <c r="H16" s="1">
        <f>'[1]March 28th Release'!S15</f>
        <v>1</v>
      </c>
      <c r="I16" s="1">
        <f>'[1]March 28th Release'!T15</f>
        <v>0</v>
      </c>
      <c r="J16" s="1">
        <f>'[1]March 28th Release'!F15</f>
        <v>3</v>
      </c>
      <c r="K16" s="1">
        <f>'[1]March 28th Release'!G15</f>
        <v>2</v>
      </c>
      <c r="L16" s="1">
        <f>'[1]March 28th Release'!H15</f>
        <v>0</v>
      </c>
      <c r="M16" s="1">
        <f>'[1]March 28th Release'!I15</f>
        <v>2</v>
      </c>
      <c r="N16" s="1">
        <f>'[1]March 28th Release'!J15</f>
        <v>1</v>
      </c>
      <c r="O16" s="12">
        <f>'[1]March 28th Release'!K15</f>
        <v>0</v>
      </c>
      <c r="P16" s="12">
        <f>'[1]March 28th Release'!L15</f>
        <v>1</v>
      </c>
      <c r="Q16" s="12">
        <f>'[1]March 28th Release'!M15</f>
        <v>0.33333333333333331</v>
      </c>
      <c r="R16" s="12">
        <f>'[1]March 28th Release'!N15</f>
        <v>0.66666666666666663</v>
      </c>
      <c r="S16" s="13">
        <v>1</v>
      </c>
      <c r="T16" s="14"/>
      <c r="U16" s="14"/>
      <c r="V16" s="14">
        <v>1</v>
      </c>
      <c r="W16" s="14"/>
    </row>
    <row r="17" spans="1:23" ht="14.5" x14ac:dyDescent="0.3">
      <c r="A17" s="1">
        <v>4368954</v>
      </c>
      <c r="B17" s="26"/>
      <c r="C17" s="26" t="s">
        <v>49</v>
      </c>
      <c r="D17" s="9" t="s">
        <v>50</v>
      </c>
      <c r="E17" s="10" t="s">
        <v>51</v>
      </c>
      <c r="F17" s="11" t="str">
        <f t="shared" si="0"/>
        <v>Awaiting bug fix</v>
      </c>
      <c r="G17" s="1">
        <f>'[1]March 28th Release'!R16</f>
        <v>7</v>
      </c>
      <c r="H17" s="1">
        <f>'[1]March 28th Release'!S16</f>
        <v>7</v>
      </c>
      <c r="I17" s="1">
        <f>'[1]March 28th Release'!T16</f>
        <v>0</v>
      </c>
      <c r="J17" s="1">
        <f>'[1]March 28th Release'!F16</f>
        <v>32</v>
      </c>
      <c r="K17" s="1">
        <f>'[1]March 28th Release'!G16</f>
        <v>32</v>
      </c>
      <c r="L17" s="1">
        <f>'[1]March 28th Release'!H16</f>
        <v>30</v>
      </c>
      <c r="M17" s="1">
        <f>'[1]March 28th Release'!I16</f>
        <v>2</v>
      </c>
      <c r="N17" s="1">
        <f>'[1]March 28th Release'!J16</f>
        <v>0</v>
      </c>
      <c r="O17" s="12">
        <f>'[1]March 28th Release'!K16</f>
        <v>0.9375</v>
      </c>
      <c r="P17" s="12">
        <f>'[1]March 28th Release'!L16</f>
        <v>6.25E-2</v>
      </c>
      <c r="Q17" s="12">
        <f>'[1]March 28th Release'!M16</f>
        <v>0</v>
      </c>
      <c r="R17" s="12">
        <f>'[1]March 28th Release'!N16</f>
        <v>1</v>
      </c>
      <c r="S17" s="13"/>
      <c r="T17" s="13"/>
      <c r="U17" s="13"/>
      <c r="V17" s="13"/>
      <c r="W17" s="13"/>
    </row>
    <row r="18" spans="1:23" ht="14.5" x14ac:dyDescent="0.3">
      <c r="A18" s="1">
        <v>4223629</v>
      </c>
      <c r="B18" s="26"/>
      <c r="C18" s="26"/>
      <c r="D18" s="31" t="s">
        <v>52</v>
      </c>
      <c r="E18" s="10" t="s">
        <v>53</v>
      </c>
      <c r="F18" s="11" t="str">
        <f t="shared" si="0"/>
        <v>In Progress</v>
      </c>
      <c r="G18" s="1">
        <f>'[1]March 28th Release'!R17</f>
        <v>43</v>
      </c>
      <c r="H18" s="1">
        <f>'[1]March 28th Release'!S17</f>
        <v>43</v>
      </c>
      <c r="I18" s="1">
        <f>'[1]March 28th Release'!T17</f>
        <v>0</v>
      </c>
      <c r="J18" s="1">
        <f>'[1]March 28th Release'!F17</f>
        <v>106</v>
      </c>
      <c r="K18" s="1">
        <f>'[1]March 28th Release'!G17</f>
        <v>100</v>
      </c>
      <c r="L18" s="1">
        <f>'[1]March 28th Release'!H17</f>
        <v>87</v>
      </c>
      <c r="M18" s="1">
        <f>'[1]March 28th Release'!I17</f>
        <v>13</v>
      </c>
      <c r="N18" s="1">
        <f>'[1]March 28th Release'!J17</f>
        <v>6</v>
      </c>
      <c r="O18" s="12">
        <f>'[1]March 28th Release'!K17</f>
        <v>0.87</v>
      </c>
      <c r="P18" s="12">
        <f>'[1]March 28th Release'!L17</f>
        <v>0.13</v>
      </c>
      <c r="Q18" s="12">
        <f>'[1]March 28th Release'!M17</f>
        <v>5.6603773584905662E-2</v>
      </c>
      <c r="R18" s="12">
        <f>'[1]March 28th Release'!N17</f>
        <v>0.94339622641509435</v>
      </c>
      <c r="S18" s="13">
        <v>7</v>
      </c>
      <c r="T18" s="14"/>
      <c r="U18" s="14">
        <v>1</v>
      </c>
      <c r="V18" s="14">
        <v>6</v>
      </c>
      <c r="W18" s="14"/>
    </row>
    <row r="19" spans="1:23" ht="14.5" x14ac:dyDescent="0.3">
      <c r="A19" s="1">
        <v>4260380</v>
      </c>
      <c r="B19" s="26"/>
      <c r="C19" s="26"/>
      <c r="D19" s="32"/>
      <c r="E19" s="10" t="s">
        <v>54</v>
      </c>
      <c r="F19" s="11" t="str">
        <f t="shared" si="0"/>
        <v>In Progress</v>
      </c>
      <c r="G19" s="1">
        <f>'[1]March 28th Release'!R18</f>
        <v>12</v>
      </c>
      <c r="H19" s="1">
        <f>'[1]March 28th Release'!S18</f>
        <v>12</v>
      </c>
      <c r="I19" s="1">
        <f>'[1]March 28th Release'!T18</f>
        <v>0</v>
      </c>
      <c r="J19" s="1">
        <f>'[1]March 28th Release'!F18</f>
        <v>26</v>
      </c>
      <c r="K19" s="1">
        <f>'[1]March 28th Release'!G18</f>
        <v>22</v>
      </c>
      <c r="L19" s="1">
        <f>'[1]March 28th Release'!H18</f>
        <v>20</v>
      </c>
      <c r="M19" s="1">
        <f>'[1]March 28th Release'!I18</f>
        <v>2</v>
      </c>
      <c r="N19" s="1">
        <f>'[1]March 28th Release'!J18</f>
        <v>4</v>
      </c>
      <c r="O19" s="12">
        <f>'[1]March 28th Release'!K18</f>
        <v>0.90909090909090906</v>
      </c>
      <c r="P19" s="12">
        <f>'[1]March 28th Release'!L18</f>
        <v>9.0909090909090912E-2</v>
      </c>
      <c r="Q19" s="12">
        <f>'[1]March 28th Release'!M18</f>
        <v>0.15384615384615385</v>
      </c>
      <c r="R19" s="12">
        <f>'[1]March 28th Release'!N18</f>
        <v>0.84615384615384615</v>
      </c>
      <c r="S19" s="13">
        <v>5</v>
      </c>
      <c r="T19" s="14"/>
      <c r="U19" s="14">
        <v>1</v>
      </c>
      <c r="V19" s="14">
        <v>2</v>
      </c>
      <c r="W19" s="14">
        <v>2</v>
      </c>
    </row>
    <row r="20" spans="1:23" ht="14.5" x14ac:dyDescent="0.3">
      <c r="A20" s="1">
        <v>4317766</v>
      </c>
      <c r="B20" s="26"/>
      <c r="C20" s="26"/>
      <c r="D20" s="32"/>
      <c r="E20" s="10" t="s">
        <v>55</v>
      </c>
      <c r="F20" s="11" t="str">
        <f t="shared" si="0"/>
        <v>In Progress</v>
      </c>
      <c r="G20" s="1">
        <f>'[1]March 28th Release'!R19</f>
        <v>4</v>
      </c>
      <c r="H20" s="1">
        <f>'[1]March 28th Release'!S19</f>
        <v>4</v>
      </c>
      <c r="I20" s="1">
        <f>'[1]March 28th Release'!T19</f>
        <v>0</v>
      </c>
      <c r="J20" s="1">
        <f>'[1]March 28th Release'!F19</f>
        <v>10</v>
      </c>
      <c r="K20" s="1">
        <f>'[1]March 28th Release'!G19</f>
        <v>6</v>
      </c>
      <c r="L20" s="1">
        <f>'[1]March 28th Release'!H19</f>
        <v>6</v>
      </c>
      <c r="M20" s="1">
        <f>'[1]March 28th Release'!I19</f>
        <v>0</v>
      </c>
      <c r="N20" s="1">
        <f>'[1]March 28th Release'!J19</f>
        <v>4</v>
      </c>
      <c r="O20" s="12">
        <f>'[1]March 28th Release'!K19</f>
        <v>1</v>
      </c>
      <c r="P20" s="12">
        <f>'[1]March 28th Release'!L19</f>
        <v>0</v>
      </c>
      <c r="Q20" s="12">
        <f>'[1]March 28th Release'!M19</f>
        <v>0.4</v>
      </c>
      <c r="R20" s="12">
        <f>'[1]March 28th Release'!N19</f>
        <v>0.6</v>
      </c>
      <c r="S20" s="13"/>
      <c r="T20" s="13"/>
      <c r="U20" s="13"/>
      <c r="V20" s="13"/>
      <c r="W20" s="13"/>
    </row>
    <row r="21" spans="1:23" ht="14.5" x14ac:dyDescent="0.3">
      <c r="A21" s="1">
        <v>4319556</v>
      </c>
      <c r="B21" s="26"/>
      <c r="C21" s="26"/>
      <c r="D21" s="32"/>
      <c r="E21" s="10" t="s">
        <v>56</v>
      </c>
      <c r="F21" s="11" t="str">
        <f t="shared" si="0"/>
        <v>Completed</v>
      </c>
      <c r="G21" s="1">
        <f>'[1]March 28th Release'!R20</f>
        <v>1</v>
      </c>
      <c r="H21" s="1">
        <f>'[1]March 28th Release'!S20</f>
        <v>1</v>
      </c>
      <c r="I21" s="1">
        <f>'[1]March 28th Release'!T20</f>
        <v>0</v>
      </c>
      <c r="J21" s="1">
        <f>'[1]March 28th Release'!F20</f>
        <v>2</v>
      </c>
      <c r="K21" s="1">
        <f>'[1]March 28th Release'!G20</f>
        <v>2</v>
      </c>
      <c r="L21" s="1">
        <f>'[1]March 28th Release'!H20</f>
        <v>2</v>
      </c>
      <c r="M21" s="1">
        <f>'[1]March 28th Release'!I20</f>
        <v>0</v>
      </c>
      <c r="N21" s="1">
        <f>'[1]March 28th Release'!J20</f>
        <v>0</v>
      </c>
      <c r="O21" s="12">
        <f>'[1]March 28th Release'!K20</f>
        <v>1</v>
      </c>
      <c r="P21" s="12">
        <f>'[1]March 28th Release'!L20</f>
        <v>0</v>
      </c>
      <c r="Q21" s="12">
        <f>'[1]March 28th Release'!M20</f>
        <v>0</v>
      </c>
      <c r="R21" s="12">
        <f>'[1]March 28th Release'!N20</f>
        <v>1</v>
      </c>
      <c r="S21" s="13"/>
      <c r="T21" s="13"/>
      <c r="U21" s="13"/>
      <c r="V21" s="13"/>
      <c r="W21" s="13"/>
    </row>
    <row r="22" spans="1:23" ht="14.5" x14ac:dyDescent="0.3">
      <c r="A22" s="1">
        <v>4319932</v>
      </c>
      <c r="B22" s="26"/>
      <c r="C22" s="26"/>
      <c r="D22" s="32"/>
      <c r="E22" s="10" t="s">
        <v>57</v>
      </c>
      <c r="F22" s="11" t="str">
        <f t="shared" si="0"/>
        <v>Awaiting bug fix</v>
      </c>
      <c r="G22" s="1">
        <f>'[1]March 28th Release'!R21</f>
        <v>5</v>
      </c>
      <c r="H22" s="1">
        <f>'[1]March 28th Release'!S21</f>
        <v>5</v>
      </c>
      <c r="I22" s="1">
        <f>'[1]March 28th Release'!T21</f>
        <v>0</v>
      </c>
      <c r="J22" s="1">
        <f>'[1]March 28th Release'!F21</f>
        <v>15</v>
      </c>
      <c r="K22" s="1">
        <f>'[1]March 28th Release'!G21</f>
        <v>15</v>
      </c>
      <c r="L22" s="1">
        <f>'[1]March 28th Release'!H21</f>
        <v>11</v>
      </c>
      <c r="M22" s="1">
        <f>'[1]March 28th Release'!I21</f>
        <v>4</v>
      </c>
      <c r="N22" s="1">
        <f>'[1]March 28th Release'!J21</f>
        <v>0</v>
      </c>
      <c r="O22" s="12">
        <f>'[1]March 28th Release'!K21</f>
        <v>0.73333333333333328</v>
      </c>
      <c r="P22" s="12">
        <f>'[1]March 28th Release'!L21</f>
        <v>0.26666666666666666</v>
      </c>
      <c r="Q22" s="12">
        <f>'[1]March 28th Release'!M21</f>
        <v>0</v>
      </c>
      <c r="R22" s="12">
        <f>'[1]March 28th Release'!N21</f>
        <v>1</v>
      </c>
      <c r="S22" s="13">
        <v>1</v>
      </c>
      <c r="T22" s="14"/>
      <c r="U22" s="14"/>
      <c r="V22" s="14">
        <v>1</v>
      </c>
      <c r="W22" s="14"/>
    </row>
    <row r="23" spans="1:23" ht="14.5" x14ac:dyDescent="0.3">
      <c r="A23" s="1">
        <v>4319934</v>
      </c>
      <c r="B23" s="26"/>
      <c r="C23" s="26"/>
      <c r="D23" s="32"/>
      <c r="E23" s="10" t="s">
        <v>58</v>
      </c>
      <c r="F23" s="11" t="str">
        <f t="shared" si="0"/>
        <v>Completed</v>
      </c>
      <c r="G23" s="1">
        <f>'[1]March 28th Release'!R22</f>
        <v>1</v>
      </c>
      <c r="H23" s="1">
        <f>'[1]March 28th Release'!S22</f>
        <v>1</v>
      </c>
      <c r="I23" s="1">
        <f>'[1]March 28th Release'!T22</f>
        <v>0</v>
      </c>
      <c r="J23" s="1">
        <f>'[1]March 28th Release'!F22</f>
        <v>2</v>
      </c>
      <c r="K23" s="1">
        <f>'[1]March 28th Release'!G22</f>
        <v>2</v>
      </c>
      <c r="L23" s="1">
        <f>'[1]March 28th Release'!H22</f>
        <v>2</v>
      </c>
      <c r="M23" s="1">
        <f>'[1]March 28th Release'!I22</f>
        <v>0</v>
      </c>
      <c r="N23" s="1">
        <f>'[1]March 28th Release'!J22</f>
        <v>0</v>
      </c>
      <c r="O23" s="12">
        <f>'[1]March 28th Release'!K22</f>
        <v>1</v>
      </c>
      <c r="P23" s="12">
        <f>'[1]March 28th Release'!L22</f>
        <v>0</v>
      </c>
      <c r="Q23" s="12">
        <f>'[1]March 28th Release'!M22</f>
        <v>0</v>
      </c>
      <c r="R23" s="12">
        <f>'[1]March 28th Release'!N22</f>
        <v>1</v>
      </c>
      <c r="S23" s="13"/>
      <c r="T23" s="13"/>
      <c r="U23" s="13"/>
      <c r="V23" s="13"/>
      <c r="W23" s="13"/>
    </row>
    <row r="24" spans="1:23" ht="14.5" x14ac:dyDescent="0.3">
      <c r="A24" s="1">
        <v>4369453</v>
      </c>
      <c r="B24" s="26"/>
      <c r="C24" s="26"/>
      <c r="D24" s="32"/>
      <c r="E24" s="10" t="s">
        <v>59</v>
      </c>
      <c r="F24" s="11" t="str">
        <f t="shared" si="0"/>
        <v>Awaiting bug fix</v>
      </c>
      <c r="G24" s="1">
        <f>'[1]March 28th Release'!R23</f>
        <v>4</v>
      </c>
      <c r="H24" s="1">
        <f>'[1]March 28th Release'!S23</f>
        <v>4</v>
      </c>
      <c r="I24" s="1">
        <f>'[1]March 28th Release'!T23</f>
        <v>0</v>
      </c>
      <c r="J24" s="1">
        <f>'[1]March 28th Release'!F23</f>
        <v>12</v>
      </c>
      <c r="K24" s="1">
        <f>'[1]March 28th Release'!G23</f>
        <v>12</v>
      </c>
      <c r="L24" s="1">
        <f>'[1]March 28th Release'!H23</f>
        <v>8</v>
      </c>
      <c r="M24" s="1">
        <f>'[1]March 28th Release'!I23</f>
        <v>4</v>
      </c>
      <c r="N24" s="1">
        <f>'[1]March 28th Release'!J23</f>
        <v>0</v>
      </c>
      <c r="O24" s="12">
        <f>'[1]March 28th Release'!K23</f>
        <v>0.66666666666666663</v>
      </c>
      <c r="P24" s="12">
        <f>'[1]March 28th Release'!L23</f>
        <v>0.33333333333333331</v>
      </c>
      <c r="Q24" s="12">
        <f>'[1]March 28th Release'!M23</f>
        <v>0</v>
      </c>
      <c r="R24" s="12">
        <f>'[1]March 28th Release'!N23</f>
        <v>1</v>
      </c>
      <c r="S24" s="13">
        <v>1</v>
      </c>
      <c r="T24" s="14"/>
      <c r="U24" s="14"/>
      <c r="V24" s="14">
        <v>1</v>
      </c>
      <c r="W24" s="14"/>
    </row>
    <row r="25" spans="1:23" ht="14.5" x14ac:dyDescent="0.3">
      <c r="A25" s="1">
        <v>4373561</v>
      </c>
      <c r="B25" s="26"/>
      <c r="C25" s="26"/>
      <c r="D25" s="32"/>
      <c r="E25" s="10" t="s">
        <v>60</v>
      </c>
      <c r="F25" s="11" t="str">
        <f t="shared" si="0"/>
        <v>Awaiting bug fix</v>
      </c>
      <c r="G25" s="1">
        <f>'[1]March 28th Release'!R24</f>
        <v>9</v>
      </c>
      <c r="H25" s="1">
        <f>'[1]March 28th Release'!S24</f>
        <v>9</v>
      </c>
      <c r="I25" s="1">
        <f>'[1]March 28th Release'!T24</f>
        <v>0</v>
      </c>
      <c r="J25" s="1">
        <f>'[1]March 28th Release'!F24</f>
        <v>107</v>
      </c>
      <c r="K25" s="1">
        <f>'[1]March 28th Release'!G24</f>
        <v>107</v>
      </c>
      <c r="L25" s="1">
        <f>'[1]March 28th Release'!H24</f>
        <v>105</v>
      </c>
      <c r="M25" s="1">
        <f>'[1]March 28th Release'!I24</f>
        <v>2</v>
      </c>
      <c r="N25" s="1">
        <f>'[1]March 28th Release'!J24</f>
        <v>0</v>
      </c>
      <c r="O25" s="12">
        <f>'[1]March 28th Release'!K24</f>
        <v>0.98130841121495327</v>
      </c>
      <c r="P25" s="12">
        <f>'[1]March 28th Release'!L24</f>
        <v>1.8691588785046728E-2</v>
      </c>
      <c r="Q25" s="12">
        <f>'[1]March 28th Release'!M24</f>
        <v>0</v>
      </c>
      <c r="R25" s="12">
        <f>'[1]March 28th Release'!N24</f>
        <v>1</v>
      </c>
      <c r="S25" s="13"/>
      <c r="T25" s="13"/>
      <c r="U25" s="13"/>
      <c r="V25" s="13"/>
      <c r="W25" s="13"/>
    </row>
    <row r="26" spans="1:23" ht="14.5" x14ac:dyDescent="0.3">
      <c r="A26" s="1">
        <v>4373741</v>
      </c>
      <c r="B26" s="26"/>
      <c r="C26" s="26"/>
      <c r="D26" s="32"/>
      <c r="E26" s="10" t="s">
        <v>61</v>
      </c>
      <c r="F26" s="11" t="str">
        <f t="shared" si="0"/>
        <v>In Progress</v>
      </c>
      <c r="G26" s="1">
        <f>'[1]March 28th Release'!R26</f>
        <v>5</v>
      </c>
      <c r="H26" s="1">
        <f>'[1]March 28th Release'!S26</f>
        <v>5</v>
      </c>
      <c r="I26" s="1">
        <f>'[1]March 28th Release'!T26</f>
        <v>0</v>
      </c>
      <c r="J26" s="1">
        <f>'[1]March 28th Release'!F26</f>
        <v>12</v>
      </c>
      <c r="K26" s="1">
        <f>'[1]March 28th Release'!G26</f>
        <v>11</v>
      </c>
      <c r="L26" s="1">
        <f>'[1]March 28th Release'!H26</f>
        <v>11</v>
      </c>
      <c r="M26" s="1">
        <f>'[1]March 28th Release'!I26</f>
        <v>0</v>
      </c>
      <c r="N26" s="1">
        <f>'[1]March 28th Release'!J26</f>
        <v>1</v>
      </c>
      <c r="O26" s="12">
        <f>'[1]March 28th Release'!K26</f>
        <v>1</v>
      </c>
      <c r="P26" s="12">
        <f>'[1]March 28th Release'!L26</f>
        <v>0</v>
      </c>
      <c r="Q26" s="12">
        <f>'[1]March 28th Release'!M26</f>
        <v>8.3333333333333329E-2</v>
      </c>
      <c r="R26" s="12">
        <f>'[1]March 28th Release'!N26</f>
        <v>0.91666666666666663</v>
      </c>
      <c r="S26" s="13">
        <v>2</v>
      </c>
      <c r="T26" s="14"/>
      <c r="U26" s="14">
        <v>1</v>
      </c>
      <c r="V26" s="14">
        <v>1</v>
      </c>
      <c r="W26" s="14"/>
    </row>
    <row r="27" spans="1:23" ht="14.5" x14ac:dyDescent="0.3">
      <c r="A27" s="1">
        <v>4387681</v>
      </c>
      <c r="B27" s="26"/>
      <c r="C27" s="26"/>
      <c r="D27" s="32"/>
      <c r="E27" s="10" t="s">
        <v>62</v>
      </c>
      <c r="F27" s="11" t="str">
        <f t="shared" si="0"/>
        <v>Completed</v>
      </c>
      <c r="G27" s="1">
        <f>'[1]March 28th Release'!R27</f>
        <v>4</v>
      </c>
      <c r="H27" s="1">
        <f>'[1]March 28th Release'!S27</f>
        <v>4</v>
      </c>
      <c r="I27" s="1">
        <f>'[1]March 28th Release'!T27</f>
        <v>0</v>
      </c>
      <c r="J27" s="1">
        <f>'[1]March 28th Release'!F27</f>
        <v>7</v>
      </c>
      <c r="K27" s="1">
        <f>'[1]March 28th Release'!G27</f>
        <v>7</v>
      </c>
      <c r="L27" s="1">
        <f>'[1]March 28th Release'!H27</f>
        <v>7</v>
      </c>
      <c r="M27" s="1">
        <f>'[1]March 28th Release'!I27</f>
        <v>0</v>
      </c>
      <c r="N27" s="1">
        <f>'[1]March 28th Release'!J27</f>
        <v>0</v>
      </c>
      <c r="O27" s="12">
        <f>'[1]March 28th Release'!K27</f>
        <v>1</v>
      </c>
      <c r="P27" s="12">
        <f>'[1]March 28th Release'!L27</f>
        <v>0</v>
      </c>
      <c r="Q27" s="12">
        <f>'[1]March 28th Release'!M27</f>
        <v>0</v>
      </c>
      <c r="R27" s="12">
        <f>'[1]March 28th Release'!N27</f>
        <v>1</v>
      </c>
      <c r="S27" s="13"/>
      <c r="T27" s="13"/>
      <c r="U27" s="13"/>
      <c r="V27" s="13"/>
      <c r="W27" s="13"/>
    </row>
    <row r="28" spans="1:23" ht="14.5" x14ac:dyDescent="0.3">
      <c r="A28" s="1">
        <v>4390945</v>
      </c>
      <c r="B28" s="26"/>
      <c r="C28" s="26"/>
      <c r="D28" s="32"/>
      <c r="E28" s="10" t="s">
        <v>63</v>
      </c>
      <c r="F28" s="11" t="str">
        <f t="shared" si="0"/>
        <v>Completed</v>
      </c>
      <c r="G28" s="1">
        <f>'[1]March 28th Release'!R28</f>
        <v>1</v>
      </c>
      <c r="H28" s="1">
        <f>'[1]March 28th Release'!S28</f>
        <v>1</v>
      </c>
      <c r="I28" s="1">
        <f>'[1]March 28th Release'!T28</f>
        <v>0</v>
      </c>
      <c r="J28" s="1">
        <f>'[1]March 28th Release'!F28</f>
        <v>2</v>
      </c>
      <c r="K28" s="1">
        <f>'[1]March 28th Release'!G28</f>
        <v>2</v>
      </c>
      <c r="L28" s="1">
        <f>'[1]March 28th Release'!H28</f>
        <v>2</v>
      </c>
      <c r="M28" s="1">
        <f>'[1]March 28th Release'!I28</f>
        <v>0</v>
      </c>
      <c r="N28" s="1">
        <f>'[1]March 28th Release'!J28</f>
        <v>0</v>
      </c>
      <c r="O28" s="12">
        <f>'[1]March 28th Release'!K28</f>
        <v>1</v>
      </c>
      <c r="P28" s="12">
        <f>'[1]March 28th Release'!L28</f>
        <v>0</v>
      </c>
      <c r="Q28" s="12">
        <f>'[1]March 28th Release'!M28</f>
        <v>0</v>
      </c>
      <c r="R28" s="12">
        <f>'[1]March 28th Release'!N28</f>
        <v>1</v>
      </c>
      <c r="S28" s="13"/>
      <c r="T28" s="13"/>
      <c r="U28" s="13"/>
      <c r="V28" s="13"/>
      <c r="W28" s="13"/>
    </row>
    <row r="29" spans="1:23" ht="14.5" x14ac:dyDescent="0.3">
      <c r="A29" s="1">
        <v>4393292</v>
      </c>
      <c r="B29" s="26"/>
      <c r="C29" s="26"/>
      <c r="D29" s="32"/>
      <c r="E29" s="10" t="s">
        <v>64</v>
      </c>
      <c r="F29" s="11" t="str">
        <f t="shared" si="0"/>
        <v>In Progress</v>
      </c>
      <c r="G29" s="1">
        <f>'[1]March 28th Release'!R29</f>
        <v>5</v>
      </c>
      <c r="H29" s="1">
        <f>'[1]March 28th Release'!S29</f>
        <v>5</v>
      </c>
      <c r="I29" s="1">
        <f>'[1]March 28th Release'!T29</f>
        <v>0</v>
      </c>
      <c r="J29" s="1">
        <f>'[1]March 28th Release'!F29</f>
        <v>19</v>
      </c>
      <c r="K29" s="1">
        <f>'[1]March 28th Release'!G29</f>
        <v>15</v>
      </c>
      <c r="L29" s="1">
        <f>'[1]March 28th Release'!H29</f>
        <v>10</v>
      </c>
      <c r="M29" s="1">
        <f>'[1]March 28th Release'!I29</f>
        <v>5</v>
      </c>
      <c r="N29" s="1">
        <f>'[1]March 28th Release'!J29</f>
        <v>4</v>
      </c>
      <c r="O29" s="12">
        <f>'[1]March 28th Release'!K29</f>
        <v>0.66666666666666663</v>
      </c>
      <c r="P29" s="12">
        <f>'[1]March 28th Release'!L29</f>
        <v>0.33333333333333331</v>
      </c>
      <c r="Q29" s="12">
        <f>'[1]March 28th Release'!M29</f>
        <v>0.21052631578947367</v>
      </c>
      <c r="R29" s="12">
        <f>'[1]March 28th Release'!N29</f>
        <v>0.78947368421052633</v>
      </c>
      <c r="S29" s="13">
        <v>2</v>
      </c>
      <c r="T29" s="14"/>
      <c r="U29" s="14">
        <v>1</v>
      </c>
      <c r="V29" s="14">
        <v>1</v>
      </c>
      <c r="W29" s="14"/>
    </row>
    <row r="30" spans="1:23" ht="14.5" x14ac:dyDescent="0.3">
      <c r="A30" s="1">
        <v>4372101</v>
      </c>
      <c r="B30" s="26"/>
      <c r="C30" s="26"/>
      <c r="D30" s="32"/>
      <c r="E30" s="10" t="s">
        <v>65</v>
      </c>
      <c r="F30" s="11" t="str">
        <f t="shared" si="0"/>
        <v>Completed</v>
      </c>
      <c r="G30" s="1">
        <f>'[1]March 28th Release'!R30</f>
        <v>1</v>
      </c>
      <c r="H30" s="1">
        <f>'[1]March 28th Release'!S30</f>
        <v>1</v>
      </c>
      <c r="I30" s="1">
        <f>'[1]March 28th Release'!T30</f>
        <v>0</v>
      </c>
      <c r="J30" s="1">
        <f>'[1]March 28th Release'!F30</f>
        <v>2</v>
      </c>
      <c r="K30" s="1">
        <f>'[1]March 28th Release'!G30</f>
        <v>2</v>
      </c>
      <c r="L30" s="1">
        <f>'[1]March 28th Release'!H30</f>
        <v>2</v>
      </c>
      <c r="M30" s="1">
        <f>'[1]March 28th Release'!I30</f>
        <v>0</v>
      </c>
      <c r="N30" s="1">
        <f>'[1]March 28th Release'!J30</f>
        <v>0</v>
      </c>
      <c r="O30" s="12">
        <f>'[1]March 28th Release'!K30</f>
        <v>1</v>
      </c>
      <c r="P30" s="12">
        <f>'[1]March 28th Release'!L30</f>
        <v>0</v>
      </c>
      <c r="Q30" s="12">
        <f>'[1]March 28th Release'!M30</f>
        <v>0</v>
      </c>
      <c r="R30" s="12">
        <f>'[1]March 28th Release'!N30</f>
        <v>1</v>
      </c>
      <c r="S30" s="13"/>
      <c r="T30" s="13"/>
      <c r="U30" s="13"/>
      <c r="V30" s="13"/>
      <c r="W30" s="13"/>
    </row>
    <row r="31" spans="1:23" ht="14.5" x14ac:dyDescent="0.3">
      <c r="A31" s="1">
        <v>4369470</v>
      </c>
      <c r="B31" s="26"/>
      <c r="C31" s="26"/>
      <c r="D31" s="27" t="s">
        <v>66</v>
      </c>
      <c r="E31" s="10" t="s">
        <v>67</v>
      </c>
      <c r="F31" s="11" t="str">
        <f t="shared" si="0"/>
        <v>In Progress</v>
      </c>
      <c r="G31" s="1">
        <f>'[1]March 28th Release'!R31</f>
        <v>3</v>
      </c>
      <c r="H31" s="1">
        <f>'[1]March 28th Release'!S31</f>
        <v>3</v>
      </c>
      <c r="I31" s="1">
        <f>'[1]March 28th Release'!T31</f>
        <v>0</v>
      </c>
      <c r="J31" s="1">
        <f>'[1]March 28th Release'!F31</f>
        <v>6</v>
      </c>
      <c r="K31" s="1">
        <f>'[1]March 28th Release'!G31</f>
        <v>5</v>
      </c>
      <c r="L31" s="1">
        <f>'[1]March 28th Release'!H31</f>
        <v>5</v>
      </c>
      <c r="M31" s="1">
        <f>'[1]March 28th Release'!I31</f>
        <v>0</v>
      </c>
      <c r="N31" s="1">
        <f>'[1]March 28th Release'!J31</f>
        <v>1</v>
      </c>
      <c r="O31" s="12">
        <f>'[1]March 28th Release'!K31</f>
        <v>1</v>
      </c>
      <c r="P31" s="12">
        <f>'[1]March 28th Release'!L31</f>
        <v>0</v>
      </c>
      <c r="Q31" s="12">
        <f>'[1]March 28th Release'!M31</f>
        <v>0.16666666666666666</v>
      </c>
      <c r="R31" s="12">
        <f>'[1]March 28th Release'!N31</f>
        <v>0.83333333333333337</v>
      </c>
      <c r="S31" s="13"/>
      <c r="T31" s="13"/>
      <c r="U31" s="13"/>
      <c r="V31" s="13"/>
      <c r="W31" s="13"/>
    </row>
    <row r="32" spans="1:23" ht="14.5" x14ac:dyDescent="0.3">
      <c r="A32" s="1">
        <v>4392680</v>
      </c>
      <c r="B32" s="26"/>
      <c r="C32" s="26"/>
      <c r="D32" s="27"/>
      <c r="E32" s="10" t="s">
        <v>68</v>
      </c>
      <c r="F32" s="11" t="str">
        <f t="shared" si="0"/>
        <v>Awaiting bug fix</v>
      </c>
      <c r="G32" s="1">
        <f>'[1]March 28th Release'!R32</f>
        <v>3</v>
      </c>
      <c r="H32" s="1">
        <f>'[1]March 28th Release'!S32</f>
        <v>3</v>
      </c>
      <c r="I32" s="1">
        <f>'[1]March 28th Release'!T32</f>
        <v>0</v>
      </c>
      <c r="J32" s="1">
        <f>'[1]March 28th Release'!F32</f>
        <v>6</v>
      </c>
      <c r="K32" s="1">
        <f>'[1]March 28th Release'!G32</f>
        <v>6</v>
      </c>
      <c r="L32" s="1">
        <f>'[1]March 28th Release'!H32</f>
        <v>5</v>
      </c>
      <c r="M32" s="1">
        <f>'[1]March 28th Release'!I32</f>
        <v>1</v>
      </c>
      <c r="N32" s="1">
        <f>'[1]March 28th Release'!J32</f>
        <v>0</v>
      </c>
      <c r="O32" s="12">
        <f>'[1]March 28th Release'!K32</f>
        <v>0.83333333333333337</v>
      </c>
      <c r="P32" s="12">
        <f>'[1]March 28th Release'!L32</f>
        <v>0.16666666666666666</v>
      </c>
      <c r="Q32" s="12">
        <f>'[1]March 28th Release'!M32</f>
        <v>0</v>
      </c>
      <c r="R32" s="12">
        <f>'[1]March 28th Release'!N32</f>
        <v>1</v>
      </c>
      <c r="S32" s="13">
        <v>1</v>
      </c>
      <c r="T32" s="14"/>
      <c r="U32" s="14"/>
      <c r="V32" s="14">
        <v>1</v>
      </c>
      <c r="W32" s="14"/>
    </row>
    <row r="33" spans="1:23" ht="14.5" x14ac:dyDescent="0.3">
      <c r="A33" s="1">
        <v>4393835</v>
      </c>
      <c r="B33" s="26"/>
      <c r="C33" s="26"/>
      <c r="D33" s="27"/>
      <c r="E33" s="10" t="s">
        <v>69</v>
      </c>
      <c r="F33" s="11" t="str">
        <f t="shared" si="0"/>
        <v>Awaiting bug fix</v>
      </c>
      <c r="G33" s="1">
        <f>'[1]March 28th Release'!R33</f>
        <v>3</v>
      </c>
      <c r="H33" s="1">
        <f>'[1]March 28th Release'!S33</f>
        <v>3</v>
      </c>
      <c r="I33" s="1">
        <f>'[1]March 28th Release'!T33</f>
        <v>0</v>
      </c>
      <c r="J33" s="1">
        <f>'[1]March 28th Release'!F33</f>
        <v>10</v>
      </c>
      <c r="K33" s="1">
        <f>'[1]March 28th Release'!G33</f>
        <v>10</v>
      </c>
      <c r="L33" s="1">
        <f>'[1]March 28th Release'!H33</f>
        <v>8</v>
      </c>
      <c r="M33" s="1">
        <f>'[1]March 28th Release'!I33</f>
        <v>2</v>
      </c>
      <c r="N33" s="1">
        <f>'[1]March 28th Release'!J33</f>
        <v>0</v>
      </c>
      <c r="O33" s="12">
        <f>'[1]March 28th Release'!K33</f>
        <v>0.8</v>
      </c>
      <c r="P33" s="12">
        <f>'[1]March 28th Release'!L33</f>
        <v>0.2</v>
      </c>
      <c r="Q33" s="12">
        <f>'[1]March 28th Release'!M33</f>
        <v>0</v>
      </c>
      <c r="R33" s="12">
        <f>'[1]March 28th Release'!N33</f>
        <v>1</v>
      </c>
      <c r="S33" s="13">
        <v>2</v>
      </c>
      <c r="T33" s="14"/>
      <c r="U33" s="14"/>
      <c r="V33" s="14">
        <v>2</v>
      </c>
      <c r="W33" s="14"/>
    </row>
    <row r="34" spans="1:23" ht="14.5" x14ac:dyDescent="0.3">
      <c r="A34" s="1">
        <v>4393838</v>
      </c>
      <c r="B34" s="26"/>
      <c r="C34" s="26"/>
      <c r="D34" s="27"/>
      <c r="E34" s="10" t="s">
        <v>70</v>
      </c>
      <c r="F34" s="11" t="str">
        <f t="shared" si="0"/>
        <v>Awaiting bug fix</v>
      </c>
      <c r="G34" s="1">
        <f>'[1]March 28th Release'!R34</f>
        <v>2</v>
      </c>
      <c r="H34" s="1">
        <f>'[1]March 28th Release'!S34</f>
        <v>2</v>
      </c>
      <c r="I34" s="1">
        <f>'[1]March 28th Release'!T34</f>
        <v>0</v>
      </c>
      <c r="J34" s="1">
        <f>'[1]March 28th Release'!F34</f>
        <v>4</v>
      </c>
      <c r="K34" s="1">
        <f>'[1]March 28th Release'!G34</f>
        <v>4</v>
      </c>
      <c r="L34" s="1">
        <f>'[1]March 28th Release'!H34</f>
        <v>2</v>
      </c>
      <c r="M34" s="1">
        <f>'[1]March 28th Release'!I34</f>
        <v>2</v>
      </c>
      <c r="N34" s="1">
        <f>'[1]March 28th Release'!J34</f>
        <v>0</v>
      </c>
      <c r="O34" s="12">
        <f>'[1]March 28th Release'!K34</f>
        <v>0.5</v>
      </c>
      <c r="P34" s="12">
        <f>'[1]March 28th Release'!L34</f>
        <v>0.5</v>
      </c>
      <c r="Q34" s="12">
        <f>'[1]March 28th Release'!M34</f>
        <v>0</v>
      </c>
      <c r="R34" s="12">
        <f>'[1]March 28th Release'!N34</f>
        <v>1</v>
      </c>
      <c r="S34" s="13"/>
      <c r="T34" s="13"/>
      <c r="U34" s="13"/>
      <c r="V34" s="13"/>
      <c r="W34" s="13"/>
    </row>
    <row r="35" spans="1:23" ht="14.5" x14ac:dyDescent="0.3">
      <c r="A35" s="1">
        <v>4330816</v>
      </c>
      <c r="B35" s="26"/>
      <c r="C35" s="26"/>
      <c r="D35" s="27" t="s">
        <v>71</v>
      </c>
      <c r="E35" s="10" t="s">
        <v>72</v>
      </c>
      <c r="F35" s="11" t="str">
        <f t="shared" si="0"/>
        <v>In Progress</v>
      </c>
      <c r="G35" s="1">
        <f>'[1]March 28th Release'!R35</f>
        <v>4</v>
      </c>
      <c r="H35" s="1">
        <f>'[1]March 28th Release'!S35</f>
        <v>4</v>
      </c>
      <c r="I35" s="1">
        <f>'[1]March 28th Release'!T35</f>
        <v>0</v>
      </c>
      <c r="J35" s="1">
        <f>'[1]March 28th Release'!F35</f>
        <v>7</v>
      </c>
      <c r="K35" s="1">
        <f>'[1]March 28th Release'!G35</f>
        <v>6</v>
      </c>
      <c r="L35" s="1">
        <f>'[1]March 28th Release'!H35</f>
        <v>5</v>
      </c>
      <c r="M35" s="1">
        <f>'[1]March 28th Release'!I35</f>
        <v>1</v>
      </c>
      <c r="N35" s="1">
        <f>'[1]March 28th Release'!J35</f>
        <v>1</v>
      </c>
      <c r="O35" s="12">
        <f>'[1]March 28th Release'!K35</f>
        <v>0.83333333333333337</v>
      </c>
      <c r="P35" s="12">
        <f>'[1]March 28th Release'!L35</f>
        <v>0.16666666666666666</v>
      </c>
      <c r="Q35" s="12">
        <f>'[1]March 28th Release'!M35</f>
        <v>0.14285714285714285</v>
      </c>
      <c r="R35" s="12">
        <f>'[1]March 28th Release'!N35</f>
        <v>0.8571428571428571</v>
      </c>
      <c r="S35" s="13"/>
      <c r="T35" s="13"/>
      <c r="U35" s="13"/>
      <c r="V35" s="13"/>
      <c r="W35" s="13"/>
    </row>
    <row r="36" spans="1:23" ht="14.5" x14ac:dyDescent="0.3">
      <c r="A36" s="1">
        <v>4357664</v>
      </c>
      <c r="B36" s="26"/>
      <c r="C36" s="26"/>
      <c r="D36" s="27"/>
      <c r="E36" s="10" t="s">
        <v>73</v>
      </c>
      <c r="F36" s="11" t="str">
        <f t="shared" si="0"/>
        <v>Awaiting bug fix</v>
      </c>
      <c r="G36" s="1">
        <f>'[1]March 28th Release'!R36</f>
        <v>3</v>
      </c>
      <c r="H36" s="1">
        <f>'[1]March 28th Release'!S36</f>
        <v>3</v>
      </c>
      <c r="I36" s="1">
        <f>'[1]March 28th Release'!T36</f>
        <v>0</v>
      </c>
      <c r="J36" s="1">
        <f>'[1]March 28th Release'!F36</f>
        <v>7</v>
      </c>
      <c r="K36" s="1">
        <f>'[1]March 28th Release'!G36</f>
        <v>7</v>
      </c>
      <c r="L36" s="1">
        <f>'[1]March 28th Release'!H36</f>
        <v>6</v>
      </c>
      <c r="M36" s="1">
        <f>'[1]March 28th Release'!I36</f>
        <v>1</v>
      </c>
      <c r="N36" s="1">
        <f>'[1]March 28th Release'!J36</f>
        <v>0</v>
      </c>
      <c r="O36" s="12">
        <f>'[1]March 28th Release'!K36</f>
        <v>0.8571428571428571</v>
      </c>
      <c r="P36" s="12">
        <f>'[1]March 28th Release'!L36</f>
        <v>0.14285714285714285</v>
      </c>
      <c r="Q36" s="12">
        <f>'[1]March 28th Release'!M36</f>
        <v>0</v>
      </c>
      <c r="R36" s="12">
        <f>'[1]March 28th Release'!N36</f>
        <v>1</v>
      </c>
      <c r="S36" s="13"/>
      <c r="T36" s="13"/>
      <c r="U36" s="13"/>
      <c r="V36" s="13"/>
      <c r="W36" s="13"/>
    </row>
    <row r="37" spans="1:23" ht="14.5" x14ac:dyDescent="0.3">
      <c r="A37" s="1">
        <v>4361786</v>
      </c>
      <c r="B37" s="26"/>
      <c r="C37" s="26"/>
      <c r="D37" s="27"/>
      <c r="E37" s="10" t="s">
        <v>74</v>
      </c>
      <c r="F37" s="11" t="str">
        <f t="shared" si="0"/>
        <v>Completed</v>
      </c>
      <c r="G37" s="1">
        <f>'[1]March 28th Release'!R37</f>
        <v>1</v>
      </c>
      <c r="H37" s="1">
        <f>'[1]March 28th Release'!S37</f>
        <v>1</v>
      </c>
      <c r="I37" s="1">
        <f>'[1]March 28th Release'!T37</f>
        <v>0</v>
      </c>
      <c r="J37" s="1">
        <f>'[1]March 28th Release'!F37</f>
        <v>10</v>
      </c>
      <c r="K37" s="1">
        <f>'[1]March 28th Release'!G37</f>
        <v>10</v>
      </c>
      <c r="L37" s="1">
        <f>'[1]March 28th Release'!H37</f>
        <v>10</v>
      </c>
      <c r="M37" s="1">
        <f>'[1]March 28th Release'!I37</f>
        <v>0</v>
      </c>
      <c r="N37" s="1">
        <f>'[1]March 28th Release'!J37</f>
        <v>0</v>
      </c>
      <c r="O37" s="12">
        <f>'[1]March 28th Release'!K37</f>
        <v>1</v>
      </c>
      <c r="P37" s="12">
        <f>'[1]March 28th Release'!L37</f>
        <v>0</v>
      </c>
      <c r="Q37" s="12">
        <f>'[1]March 28th Release'!M37</f>
        <v>0</v>
      </c>
      <c r="R37" s="12">
        <f>'[1]March 28th Release'!N37</f>
        <v>1</v>
      </c>
      <c r="S37" s="13"/>
      <c r="T37" s="13"/>
      <c r="U37" s="13"/>
      <c r="V37" s="13"/>
      <c r="W37" s="13"/>
    </row>
    <row r="38" spans="1:23" ht="14.5" x14ac:dyDescent="0.3">
      <c r="A38" s="1">
        <v>4368560</v>
      </c>
      <c r="B38" s="26"/>
      <c r="C38" s="26"/>
      <c r="D38" s="27"/>
      <c r="E38" s="10" t="s">
        <v>75</v>
      </c>
      <c r="F38" s="11" t="str">
        <f t="shared" si="0"/>
        <v>Awaiting bug fix</v>
      </c>
      <c r="G38" s="1">
        <f>'[1]March 28th Release'!R38</f>
        <v>3</v>
      </c>
      <c r="H38" s="1">
        <f>'[1]March 28th Release'!S38</f>
        <v>3</v>
      </c>
      <c r="I38" s="1">
        <f>'[1]March 28th Release'!T38</f>
        <v>0</v>
      </c>
      <c r="J38" s="1">
        <f>'[1]March 28th Release'!F38</f>
        <v>10</v>
      </c>
      <c r="K38" s="1">
        <f>'[1]March 28th Release'!G38</f>
        <v>10</v>
      </c>
      <c r="L38" s="1">
        <f>'[1]March 28th Release'!H38</f>
        <v>7</v>
      </c>
      <c r="M38" s="1">
        <f>'[1]March 28th Release'!I38</f>
        <v>3</v>
      </c>
      <c r="N38" s="1">
        <f>'[1]March 28th Release'!J38</f>
        <v>0</v>
      </c>
      <c r="O38" s="12">
        <f>'[1]March 28th Release'!K38</f>
        <v>0.7</v>
      </c>
      <c r="P38" s="12">
        <f>'[1]March 28th Release'!L38</f>
        <v>0.3</v>
      </c>
      <c r="Q38" s="12">
        <f>'[1]March 28th Release'!M38</f>
        <v>0</v>
      </c>
      <c r="R38" s="12">
        <f>'[1]March 28th Release'!N38</f>
        <v>1</v>
      </c>
      <c r="S38" s="13"/>
      <c r="T38" s="13"/>
      <c r="U38" s="13"/>
      <c r="V38" s="13"/>
      <c r="W38" s="13"/>
    </row>
    <row r="39" spans="1:23" ht="14.5" x14ac:dyDescent="0.3">
      <c r="A39" s="1">
        <v>4369453</v>
      </c>
      <c r="B39" s="26"/>
      <c r="C39" s="26"/>
      <c r="D39" s="27"/>
      <c r="E39" s="10" t="s">
        <v>76</v>
      </c>
      <c r="F39" s="11" t="str">
        <f t="shared" si="0"/>
        <v>Completed</v>
      </c>
      <c r="G39" s="1">
        <f>'[1]March 28th Release'!R39</f>
        <v>1</v>
      </c>
      <c r="H39" s="1">
        <f>'[1]March 28th Release'!S39</f>
        <v>1</v>
      </c>
      <c r="I39" s="1">
        <f>'[1]March 28th Release'!T39</f>
        <v>0</v>
      </c>
      <c r="J39" s="1">
        <f>'[1]March 28th Release'!F39</f>
        <v>4</v>
      </c>
      <c r="K39" s="1">
        <f>'[1]March 28th Release'!G39</f>
        <v>4</v>
      </c>
      <c r="L39" s="1">
        <f>'[1]March 28th Release'!H39</f>
        <v>4</v>
      </c>
      <c r="M39" s="1">
        <f>'[1]March 28th Release'!I39</f>
        <v>0</v>
      </c>
      <c r="N39" s="1">
        <f>'[1]March 28th Release'!J39</f>
        <v>0</v>
      </c>
      <c r="O39" s="12">
        <f>'[1]March 28th Release'!K39</f>
        <v>1</v>
      </c>
      <c r="P39" s="12">
        <f>'[1]March 28th Release'!L39</f>
        <v>0</v>
      </c>
      <c r="Q39" s="12">
        <f>'[1]March 28th Release'!M39</f>
        <v>0</v>
      </c>
      <c r="R39" s="12">
        <f>'[1]March 28th Release'!N39</f>
        <v>1</v>
      </c>
      <c r="S39" s="13"/>
      <c r="T39" s="13"/>
      <c r="U39" s="13"/>
      <c r="V39" s="13"/>
      <c r="W39" s="13"/>
    </row>
    <row r="40" spans="1:23" ht="14.5" x14ac:dyDescent="0.3">
      <c r="A40" s="1">
        <v>4372101</v>
      </c>
      <c r="B40" s="26"/>
      <c r="C40" s="26"/>
      <c r="D40" s="27"/>
      <c r="E40" s="10" t="s">
        <v>77</v>
      </c>
      <c r="F40" s="11" t="str">
        <f t="shared" si="0"/>
        <v>Completed</v>
      </c>
      <c r="G40" s="1">
        <f>'[1]March 28th Release'!R40</f>
        <v>1</v>
      </c>
      <c r="H40" s="1">
        <f>'[1]March 28th Release'!S40</f>
        <v>1</v>
      </c>
      <c r="I40" s="1">
        <f>'[1]March 28th Release'!T40</f>
        <v>0</v>
      </c>
      <c r="J40" s="1">
        <f>'[1]March 28th Release'!F40</f>
        <v>3</v>
      </c>
      <c r="K40" s="1">
        <f>'[1]March 28th Release'!G40</f>
        <v>3</v>
      </c>
      <c r="L40" s="1">
        <f>'[1]March 28th Release'!H40</f>
        <v>3</v>
      </c>
      <c r="M40" s="1">
        <f>'[1]March 28th Release'!I40</f>
        <v>0</v>
      </c>
      <c r="N40" s="1">
        <f>'[1]March 28th Release'!J40</f>
        <v>0</v>
      </c>
      <c r="O40" s="12">
        <f>'[1]March 28th Release'!K40</f>
        <v>1</v>
      </c>
      <c r="P40" s="12">
        <f>'[1]March 28th Release'!L40</f>
        <v>0</v>
      </c>
      <c r="Q40" s="12">
        <f>'[1]March 28th Release'!M40</f>
        <v>0</v>
      </c>
      <c r="R40" s="12">
        <f>'[1]March 28th Release'!N40</f>
        <v>1</v>
      </c>
      <c r="S40" s="13"/>
      <c r="T40" s="13"/>
      <c r="U40" s="13"/>
      <c r="V40" s="13"/>
      <c r="W40" s="13"/>
    </row>
    <row r="41" spans="1:23" ht="14.5" x14ac:dyDescent="0.3">
      <c r="A41" s="1">
        <v>4392680</v>
      </c>
      <c r="B41" s="26"/>
      <c r="C41" s="26"/>
      <c r="D41" s="27"/>
      <c r="E41" s="10" t="s">
        <v>78</v>
      </c>
      <c r="F41" s="11" t="str">
        <f t="shared" si="0"/>
        <v>Awaiting bug fix</v>
      </c>
      <c r="G41" s="1">
        <f>'[1]March 28th Release'!R41</f>
        <v>1</v>
      </c>
      <c r="H41" s="1">
        <f>'[1]March 28th Release'!S41</f>
        <v>1</v>
      </c>
      <c r="I41" s="1">
        <f>'[1]March 28th Release'!T41</f>
        <v>0</v>
      </c>
      <c r="J41" s="1">
        <f>'[1]March 28th Release'!F41</f>
        <v>3</v>
      </c>
      <c r="K41" s="1">
        <f>'[1]March 28th Release'!G41</f>
        <v>3</v>
      </c>
      <c r="L41" s="1">
        <f>'[1]March 28th Release'!H41</f>
        <v>2</v>
      </c>
      <c r="M41" s="1">
        <f>'[1]March 28th Release'!I41</f>
        <v>1</v>
      </c>
      <c r="N41" s="1">
        <f>'[1]March 28th Release'!J41</f>
        <v>0</v>
      </c>
      <c r="O41" s="12">
        <f>'[1]March 28th Release'!K41</f>
        <v>0.66666666666666663</v>
      </c>
      <c r="P41" s="12">
        <f>'[1]March 28th Release'!L41</f>
        <v>0.33333333333333331</v>
      </c>
      <c r="Q41" s="12">
        <f>'[1]March 28th Release'!M41</f>
        <v>0</v>
      </c>
      <c r="R41" s="12">
        <f>'[1]March 28th Release'!N41</f>
        <v>1</v>
      </c>
      <c r="S41" s="13"/>
      <c r="T41" s="13"/>
      <c r="U41" s="13"/>
      <c r="V41" s="13"/>
      <c r="W41" s="13"/>
    </row>
    <row r="42" spans="1:23" ht="14.5" x14ac:dyDescent="0.3">
      <c r="A42" s="1">
        <v>4278081</v>
      </c>
      <c r="B42" s="26"/>
      <c r="C42" s="1" t="s">
        <v>79</v>
      </c>
      <c r="D42" s="9" t="s">
        <v>80</v>
      </c>
      <c r="E42" s="10" t="s">
        <v>81</v>
      </c>
      <c r="F42" s="11" t="str">
        <f t="shared" si="0"/>
        <v>Completed</v>
      </c>
      <c r="G42" s="1">
        <f>'[1]March 28th Release'!R42</f>
        <v>2</v>
      </c>
      <c r="H42" s="1">
        <f>'[1]March 28th Release'!S42</f>
        <v>2</v>
      </c>
      <c r="I42" s="1">
        <f>'[1]March 28th Release'!T42</f>
        <v>0</v>
      </c>
      <c r="J42" s="1">
        <f>'[1]March 28th Release'!F42</f>
        <v>10</v>
      </c>
      <c r="K42" s="1">
        <f>'[1]March 28th Release'!G42</f>
        <v>10</v>
      </c>
      <c r="L42" s="1">
        <f>'[1]March 28th Release'!H42</f>
        <v>10</v>
      </c>
      <c r="M42" s="1">
        <f>'[1]March 28th Release'!I42</f>
        <v>0</v>
      </c>
      <c r="N42" s="1">
        <f>'[1]March 28th Release'!J42</f>
        <v>0</v>
      </c>
      <c r="O42" s="12">
        <f>'[1]March 28th Release'!K42</f>
        <v>1</v>
      </c>
      <c r="P42" s="12">
        <f>'[1]March 28th Release'!L42</f>
        <v>0</v>
      </c>
      <c r="Q42" s="12">
        <f>'[1]March 28th Release'!M42</f>
        <v>0</v>
      </c>
      <c r="R42" s="12">
        <f>'[1]March 28th Release'!N42</f>
        <v>1</v>
      </c>
      <c r="S42" s="13"/>
      <c r="T42" s="13"/>
      <c r="U42" s="13"/>
      <c r="V42" s="13"/>
      <c r="W42" s="13"/>
    </row>
    <row r="43" spans="1:23" ht="14.5" x14ac:dyDescent="0.3">
      <c r="A43" s="1">
        <v>4356899</v>
      </c>
      <c r="B43" s="26"/>
      <c r="C43" s="26" t="s">
        <v>82</v>
      </c>
      <c r="D43" s="27" t="s">
        <v>83</v>
      </c>
      <c r="E43" s="10" t="s">
        <v>84</v>
      </c>
      <c r="F43" s="11" t="str">
        <f t="shared" si="0"/>
        <v>Awaiting bug fix</v>
      </c>
      <c r="G43" s="1">
        <f>'[1]March 28th Release'!R43</f>
        <v>6</v>
      </c>
      <c r="H43" s="1">
        <f>'[1]March 28th Release'!S43</f>
        <v>6</v>
      </c>
      <c r="I43" s="1">
        <f>'[1]March 28th Release'!T43</f>
        <v>0</v>
      </c>
      <c r="J43" s="1">
        <f>'[1]March 28th Release'!F43</f>
        <v>30</v>
      </c>
      <c r="K43" s="1">
        <f>'[1]March 28th Release'!G43</f>
        <v>30</v>
      </c>
      <c r="L43" s="1">
        <f>'[1]March 28th Release'!H43</f>
        <v>15</v>
      </c>
      <c r="M43" s="1">
        <f>'[1]March 28th Release'!I43</f>
        <v>15</v>
      </c>
      <c r="N43" s="1">
        <f>'[1]March 28th Release'!J43</f>
        <v>0</v>
      </c>
      <c r="O43" s="12">
        <f>'[1]March 28th Release'!K43</f>
        <v>0.5</v>
      </c>
      <c r="P43" s="12">
        <f>'[1]March 28th Release'!L43</f>
        <v>0.5</v>
      </c>
      <c r="Q43" s="12">
        <f>'[1]March 28th Release'!M43</f>
        <v>0</v>
      </c>
      <c r="R43" s="12">
        <f>'[1]March 28th Release'!N43</f>
        <v>1</v>
      </c>
      <c r="S43" s="13"/>
      <c r="T43" s="13"/>
      <c r="U43" s="13"/>
      <c r="V43" s="13"/>
      <c r="W43" s="13"/>
    </row>
    <row r="44" spans="1:23" ht="14.5" x14ac:dyDescent="0.3">
      <c r="A44" s="1">
        <v>4368157</v>
      </c>
      <c r="B44" s="26"/>
      <c r="C44" s="26"/>
      <c r="D44" s="27"/>
      <c r="E44" s="10" t="s">
        <v>85</v>
      </c>
      <c r="F44" s="11" t="str">
        <f t="shared" si="0"/>
        <v>Awaiting bug fix</v>
      </c>
      <c r="G44" s="1">
        <f>'[1]March 28th Release'!R44</f>
        <v>4</v>
      </c>
      <c r="H44" s="1">
        <f>'[1]March 28th Release'!S44</f>
        <v>4</v>
      </c>
      <c r="I44" s="1">
        <f>'[1]March 28th Release'!T44</f>
        <v>0</v>
      </c>
      <c r="J44" s="1">
        <f>'[1]March 28th Release'!F44</f>
        <v>12</v>
      </c>
      <c r="K44" s="1">
        <f>'[1]March 28th Release'!G44</f>
        <v>12</v>
      </c>
      <c r="L44" s="1">
        <f>'[1]March 28th Release'!H44</f>
        <v>10</v>
      </c>
      <c r="M44" s="1">
        <f>'[1]March 28th Release'!I44</f>
        <v>2</v>
      </c>
      <c r="N44" s="1">
        <f>'[1]March 28th Release'!J44</f>
        <v>0</v>
      </c>
      <c r="O44" s="12">
        <f>'[1]March 28th Release'!K44</f>
        <v>0.83333333333333337</v>
      </c>
      <c r="P44" s="12">
        <f>'[1]March 28th Release'!L44</f>
        <v>0.16666666666666666</v>
      </c>
      <c r="Q44" s="12">
        <f>'[1]March 28th Release'!M44</f>
        <v>0</v>
      </c>
      <c r="R44" s="12">
        <f>'[1]March 28th Release'!N44</f>
        <v>1</v>
      </c>
      <c r="S44" s="13"/>
      <c r="T44" s="13"/>
      <c r="U44" s="13"/>
      <c r="V44" s="13"/>
      <c r="W44" s="13"/>
    </row>
    <row r="45" spans="1:23" ht="14.5" x14ac:dyDescent="0.3">
      <c r="A45" s="1">
        <v>4368212</v>
      </c>
      <c r="B45" s="26"/>
      <c r="C45" s="26"/>
      <c r="D45" s="27"/>
      <c r="E45" s="10" t="s">
        <v>86</v>
      </c>
      <c r="F45" s="11" t="str">
        <f t="shared" si="0"/>
        <v>Awaiting bug fix</v>
      </c>
      <c r="G45" s="1">
        <f>'[1]March 28th Release'!R45</f>
        <v>3</v>
      </c>
      <c r="H45" s="1">
        <f>'[1]March 28th Release'!S45</f>
        <v>3</v>
      </c>
      <c r="I45" s="1">
        <f>'[1]March 28th Release'!T45</f>
        <v>0</v>
      </c>
      <c r="J45" s="1">
        <f>'[1]March 28th Release'!F45</f>
        <v>10</v>
      </c>
      <c r="K45" s="1">
        <f>'[1]March 28th Release'!G45</f>
        <v>10</v>
      </c>
      <c r="L45" s="1">
        <f>'[1]March 28th Release'!H45</f>
        <v>9</v>
      </c>
      <c r="M45" s="1">
        <f>'[1]March 28th Release'!I45</f>
        <v>1</v>
      </c>
      <c r="N45" s="1">
        <f>'[1]March 28th Release'!J45</f>
        <v>0</v>
      </c>
      <c r="O45" s="12">
        <f>'[1]March 28th Release'!K45</f>
        <v>0.9</v>
      </c>
      <c r="P45" s="12">
        <f>'[1]March 28th Release'!L45</f>
        <v>0.1</v>
      </c>
      <c r="Q45" s="12">
        <f>'[1]March 28th Release'!M45</f>
        <v>0</v>
      </c>
      <c r="R45" s="12">
        <f>'[1]March 28th Release'!N45</f>
        <v>1</v>
      </c>
      <c r="S45" s="13"/>
      <c r="T45" s="13"/>
      <c r="U45" s="13"/>
      <c r="V45" s="13"/>
      <c r="W45" s="13"/>
    </row>
    <row r="46" spans="1:23" ht="14.5" x14ac:dyDescent="0.3">
      <c r="A46" s="1">
        <v>4390100</v>
      </c>
      <c r="B46" s="26"/>
      <c r="C46" s="26"/>
      <c r="D46" s="27"/>
      <c r="E46" s="10" t="s">
        <v>87</v>
      </c>
      <c r="F46" s="11" t="str">
        <f t="shared" si="0"/>
        <v>Completed</v>
      </c>
      <c r="G46" s="1">
        <f>'[1]March 28th Release'!R46</f>
        <v>1</v>
      </c>
      <c r="H46" s="1">
        <f>'[1]March 28th Release'!S46</f>
        <v>1</v>
      </c>
      <c r="I46" s="1">
        <f>'[1]March 28th Release'!T46</f>
        <v>0</v>
      </c>
      <c r="J46" s="1">
        <f>'[1]March 28th Release'!F46</f>
        <v>4</v>
      </c>
      <c r="K46" s="1">
        <f>'[1]March 28th Release'!G46</f>
        <v>4</v>
      </c>
      <c r="L46" s="1">
        <f>'[1]March 28th Release'!H46</f>
        <v>4</v>
      </c>
      <c r="M46" s="1">
        <f>'[1]March 28th Release'!I46</f>
        <v>0</v>
      </c>
      <c r="N46" s="1">
        <f>'[1]March 28th Release'!J46</f>
        <v>0</v>
      </c>
      <c r="O46" s="12">
        <f>'[1]March 28th Release'!K46</f>
        <v>1</v>
      </c>
      <c r="P46" s="12">
        <f>'[1]March 28th Release'!L46</f>
        <v>0</v>
      </c>
      <c r="Q46" s="12">
        <f>'[1]March 28th Release'!M46</f>
        <v>0</v>
      </c>
      <c r="R46" s="12">
        <f>'[1]March 28th Release'!N46</f>
        <v>1</v>
      </c>
      <c r="S46" s="13"/>
      <c r="T46" s="13"/>
      <c r="U46" s="13"/>
      <c r="V46" s="13"/>
      <c r="W46" s="13"/>
    </row>
    <row r="47" spans="1:23" ht="14.5" x14ac:dyDescent="0.3">
      <c r="A47" s="1">
        <v>4316934</v>
      </c>
      <c r="B47" s="26"/>
      <c r="C47" s="26" t="s">
        <v>88</v>
      </c>
      <c r="D47" s="27" t="s">
        <v>89</v>
      </c>
      <c r="E47" s="10" t="s">
        <v>90</v>
      </c>
      <c r="F47" s="11" t="str">
        <f t="shared" si="0"/>
        <v>Completed</v>
      </c>
      <c r="G47" s="1">
        <f>'[1]March 28th Release'!R47</f>
        <v>3</v>
      </c>
      <c r="H47" s="1">
        <f>'[1]March 28th Release'!S47</f>
        <v>3</v>
      </c>
      <c r="I47" s="1">
        <f>'[1]March 28th Release'!T47</f>
        <v>0</v>
      </c>
      <c r="J47" s="1">
        <f>'[1]March 28th Release'!F47</f>
        <v>11</v>
      </c>
      <c r="K47" s="1">
        <f>'[1]March 28th Release'!G47</f>
        <v>11</v>
      </c>
      <c r="L47" s="1">
        <f>'[1]March 28th Release'!H47</f>
        <v>11</v>
      </c>
      <c r="M47" s="1">
        <f>'[1]March 28th Release'!I47</f>
        <v>0</v>
      </c>
      <c r="N47" s="1">
        <f>'[1]March 28th Release'!J47</f>
        <v>0</v>
      </c>
      <c r="O47" s="12">
        <f>'[1]March 28th Release'!K47</f>
        <v>1</v>
      </c>
      <c r="P47" s="12">
        <f>'[1]March 28th Release'!L47</f>
        <v>0</v>
      </c>
      <c r="Q47" s="12">
        <f>'[1]March 28th Release'!M47</f>
        <v>0</v>
      </c>
      <c r="R47" s="12">
        <f>'[1]March 28th Release'!N47</f>
        <v>1</v>
      </c>
      <c r="S47" s="13"/>
      <c r="T47" s="13"/>
      <c r="U47" s="13"/>
      <c r="V47" s="13"/>
      <c r="W47" s="13"/>
    </row>
    <row r="48" spans="1:23" ht="14.5" x14ac:dyDescent="0.3">
      <c r="A48" s="1">
        <v>4316945</v>
      </c>
      <c r="B48" s="26"/>
      <c r="C48" s="26"/>
      <c r="D48" s="27"/>
      <c r="E48" s="10" t="s">
        <v>91</v>
      </c>
      <c r="F48" s="11" t="str">
        <f t="shared" si="0"/>
        <v>Completed</v>
      </c>
      <c r="G48" s="1">
        <f>'[1]March 28th Release'!R48</f>
        <v>2</v>
      </c>
      <c r="H48" s="1">
        <f>'[1]March 28th Release'!S48</f>
        <v>2</v>
      </c>
      <c r="I48" s="1">
        <f>'[1]March 28th Release'!T48</f>
        <v>0</v>
      </c>
      <c r="J48" s="1">
        <f>'[1]March 28th Release'!F48</f>
        <v>8</v>
      </c>
      <c r="K48" s="1">
        <f>'[1]March 28th Release'!G48</f>
        <v>8</v>
      </c>
      <c r="L48" s="1">
        <f>'[1]March 28th Release'!H48</f>
        <v>8</v>
      </c>
      <c r="M48" s="1">
        <f>'[1]March 28th Release'!I48</f>
        <v>0</v>
      </c>
      <c r="N48" s="1">
        <f>'[1]March 28th Release'!J48</f>
        <v>0</v>
      </c>
      <c r="O48" s="12">
        <f>'[1]March 28th Release'!K48</f>
        <v>1</v>
      </c>
      <c r="P48" s="12">
        <f>'[1]March 28th Release'!L48</f>
        <v>0</v>
      </c>
      <c r="Q48" s="12">
        <f>'[1]March 28th Release'!M48</f>
        <v>0</v>
      </c>
      <c r="R48" s="12">
        <f>'[1]March 28th Release'!N48</f>
        <v>1</v>
      </c>
      <c r="S48" s="13"/>
      <c r="T48" s="13"/>
      <c r="U48" s="13"/>
      <c r="V48" s="13"/>
      <c r="W48" s="13"/>
    </row>
    <row r="49" spans="1:23" ht="14.5" x14ac:dyDescent="0.3">
      <c r="A49" s="1">
        <v>4317373</v>
      </c>
      <c r="B49" s="26"/>
      <c r="C49" s="26"/>
      <c r="D49" s="27"/>
      <c r="E49" s="10" t="s">
        <v>92</v>
      </c>
      <c r="F49" s="11" t="str">
        <f t="shared" si="0"/>
        <v>Completed</v>
      </c>
      <c r="G49" s="1">
        <f>'[1]March 28th Release'!R49</f>
        <v>1</v>
      </c>
      <c r="H49" s="1">
        <f>'[1]March 28th Release'!S49</f>
        <v>1</v>
      </c>
      <c r="I49" s="1">
        <f>'[1]March 28th Release'!T49</f>
        <v>0</v>
      </c>
      <c r="J49" s="1">
        <f>'[1]March 28th Release'!F49</f>
        <v>3</v>
      </c>
      <c r="K49" s="1">
        <f>'[1]March 28th Release'!G49</f>
        <v>3</v>
      </c>
      <c r="L49" s="1">
        <f>'[1]March 28th Release'!H49</f>
        <v>3</v>
      </c>
      <c r="M49" s="1">
        <f>'[1]March 28th Release'!I49</f>
        <v>0</v>
      </c>
      <c r="N49" s="1">
        <f>'[1]March 28th Release'!J49</f>
        <v>0</v>
      </c>
      <c r="O49" s="12">
        <f>'[1]March 28th Release'!K49</f>
        <v>1</v>
      </c>
      <c r="P49" s="12">
        <f>'[1]March 28th Release'!L49</f>
        <v>0</v>
      </c>
      <c r="Q49" s="12">
        <f>'[1]March 28th Release'!M49</f>
        <v>0</v>
      </c>
      <c r="R49" s="12">
        <f>'[1]March 28th Release'!N49</f>
        <v>1</v>
      </c>
      <c r="S49" s="13"/>
      <c r="T49" s="13"/>
      <c r="U49" s="13"/>
      <c r="V49" s="13"/>
      <c r="W49" s="13"/>
    </row>
    <row r="50" spans="1:23" ht="14.5" x14ac:dyDescent="0.3">
      <c r="A50" s="1">
        <v>4368357</v>
      </c>
      <c r="B50" s="26"/>
      <c r="C50" s="26"/>
      <c r="D50" s="27"/>
      <c r="E50" s="10" t="s">
        <v>93</v>
      </c>
      <c r="F50" s="11" t="str">
        <f t="shared" si="0"/>
        <v>Completed</v>
      </c>
      <c r="G50" s="1">
        <f>'[1]March 28th Release'!R50</f>
        <v>1</v>
      </c>
      <c r="H50" s="1">
        <f>'[1]March 28th Release'!S50</f>
        <v>1</v>
      </c>
      <c r="I50" s="1">
        <f>'[1]March 28th Release'!T50</f>
        <v>0</v>
      </c>
      <c r="J50" s="1">
        <f>'[1]March 28th Release'!F50</f>
        <v>3</v>
      </c>
      <c r="K50" s="1">
        <f>'[1]March 28th Release'!G50</f>
        <v>3</v>
      </c>
      <c r="L50" s="1">
        <f>'[1]March 28th Release'!H50</f>
        <v>3</v>
      </c>
      <c r="M50" s="1">
        <f>'[1]March 28th Release'!I50</f>
        <v>0</v>
      </c>
      <c r="N50" s="1">
        <f>'[1]March 28th Release'!J50</f>
        <v>0</v>
      </c>
      <c r="O50" s="12">
        <f>'[1]March 28th Release'!K50</f>
        <v>1</v>
      </c>
      <c r="P50" s="12">
        <f>'[1]March 28th Release'!L50</f>
        <v>0</v>
      </c>
      <c r="Q50" s="12">
        <f>'[1]March 28th Release'!M50</f>
        <v>0</v>
      </c>
      <c r="R50" s="12">
        <f>'[1]March 28th Release'!N50</f>
        <v>1</v>
      </c>
      <c r="S50" s="13"/>
      <c r="T50" s="13"/>
      <c r="U50" s="13"/>
      <c r="V50" s="13"/>
      <c r="W50" s="13"/>
    </row>
    <row r="51" spans="1:23" ht="14.5" x14ac:dyDescent="0.3">
      <c r="A51" s="1">
        <v>4368359</v>
      </c>
      <c r="B51" s="26"/>
      <c r="C51" s="26"/>
      <c r="D51" s="27"/>
      <c r="E51" s="10" t="s">
        <v>94</v>
      </c>
      <c r="F51" s="11" t="str">
        <f t="shared" si="0"/>
        <v>Completed</v>
      </c>
      <c r="G51" s="1">
        <f>'[1]March 28th Release'!R51</f>
        <v>1</v>
      </c>
      <c r="H51" s="1">
        <f>'[1]March 28th Release'!S51</f>
        <v>1</v>
      </c>
      <c r="I51" s="1">
        <f>'[1]March 28th Release'!T51</f>
        <v>0</v>
      </c>
      <c r="J51" s="1">
        <f>'[1]March 28th Release'!F51</f>
        <v>5</v>
      </c>
      <c r="K51" s="1">
        <f>'[1]March 28th Release'!G51</f>
        <v>5</v>
      </c>
      <c r="L51" s="1">
        <f>'[1]March 28th Release'!H51</f>
        <v>5</v>
      </c>
      <c r="M51" s="1">
        <f>'[1]March 28th Release'!I51</f>
        <v>0</v>
      </c>
      <c r="N51" s="1">
        <f>'[1]March 28th Release'!J51</f>
        <v>0</v>
      </c>
      <c r="O51" s="12">
        <f>'[1]March 28th Release'!K51</f>
        <v>1</v>
      </c>
      <c r="P51" s="12">
        <f>'[1]March 28th Release'!L51</f>
        <v>0</v>
      </c>
      <c r="Q51" s="12">
        <f>'[1]March 28th Release'!M51</f>
        <v>0</v>
      </c>
      <c r="R51" s="12">
        <f>'[1]March 28th Release'!N51</f>
        <v>1</v>
      </c>
      <c r="S51" s="13"/>
      <c r="T51" s="13"/>
      <c r="U51" s="13"/>
      <c r="V51" s="13"/>
      <c r="W51" s="13"/>
    </row>
    <row r="52" spans="1:23" ht="14.5" x14ac:dyDescent="0.3">
      <c r="A52" s="1">
        <v>4368361</v>
      </c>
      <c r="B52" s="26"/>
      <c r="C52" s="26"/>
      <c r="D52" s="27"/>
      <c r="E52" s="10" t="s">
        <v>95</v>
      </c>
      <c r="F52" s="11" t="str">
        <f t="shared" si="0"/>
        <v>Completed</v>
      </c>
      <c r="G52" s="1">
        <f>'[1]March 28th Release'!R52</f>
        <v>1</v>
      </c>
      <c r="H52" s="1">
        <f>'[1]March 28th Release'!S52</f>
        <v>1</v>
      </c>
      <c r="I52" s="1">
        <f>'[1]March 28th Release'!T52</f>
        <v>0</v>
      </c>
      <c r="J52" s="1">
        <f>'[1]March 28th Release'!F52</f>
        <v>3</v>
      </c>
      <c r="K52" s="1">
        <f>'[1]March 28th Release'!G52</f>
        <v>3</v>
      </c>
      <c r="L52" s="1">
        <f>'[1]March 28th Release'!H52</f>
        <v>3</v>
      </c>
      <c r="M52" s="1">
        <f>'[1]March 28th Release'!I52</f>
        <v>0</v>
      </c>
      <c r="N52" s="1">
        <f>'[1]March 28th Release'!J52</f>
        <v>0</v>
      </c>
      <c r="O52" s="12">
        <f>'[1]March 28th Release'!K52</f>
        <v>1</v>
      </c>
      <c r="P52" s="12">
        <f>'[1]March 28th Release'!L52</f>
        <v>0</v>
      </c>
      <c r="Q52" s="12">
        <f>'[1]March 28th Release'!M52</f>
        <v>0</v>
      </c>
      <c r="R52" s="12">
        <f>'[1]March 28th Release'!N52</f>
        <v>1</v>
      </c>
      <c r="S52" s="13"/>
      <c r="T52" s="13"/>
      <c r="U52" s="13"/>
      <c r="V52" s="13"/>
      <c r="W52" s="13"/>
    </row>
    <row r="53" spans="1:23" ht="14.5" x14ac:dyDescent="0.3">
      <c r="A53" s="1">
        <v>4371834</v>
      </c>
      <c r="B53" s="26"/>
      <c r="C53" s="26"/>
      <c r="D53" s="27"/>
      <c r="E53" s="10" t="s">
        <v>96</v>
      </c>
      <c r="F53" s="11" t="str">
        <f t="shared" si="0"/>
        <v>Completed</v>
      </c>
      <c r="G53" s="1">
        <f>'[1]March 28th Release'!R53</f>
        <v>1</v>
      </c>
      <c r="H53" s="1">
        <f>'[1]March 28th Release'!S53</f>
        <v>1</v>
      </c>
      <c r="I53" s="1">
        <f>'[1]March 28th Release'!T53</f>
        <v>0</v>
      </c>
      <c r="J53" s="1">
        <f>'[1]March 28th Release'!F53</f>
        <v>3</v>
      </c>
      <c r="K53" s="1">
        <f>'[1]March 28th Release'!G53</f>
        <v>3</v>
      </c>
      <c r="L53" s="1">
        <f>'[1]March 28th Release'!H53</f>
        <v>3</v>
      </c>
      <c r="M53" s="1">
        <f>'[1]March 28th Release'!I53</f>
        <v>0</v>
      </c>
      <c r="N53" s="1">
        <f>'[1]March 28th Release'!J53</f>
        <v>0</v>
      </c>
      <c r="O53" s="12">
        <f>'[1]March 28th Release'!K53</f>
        <v>1</v>
      </c>
      <c r="P53" s="12">
        <f>'[1]March 28th Release'!L53</f>
        <v>0</v>
      </c>
      <c r="Q53" s="12">
        <f>'[1]March 28th Release'!M53</f>
        <v>0</v>
      </c>
      <c r="R53" s="12">
        <f>'[1]March 28th Release'!N53</f>
        <v>1</v>
      </c>
      <c r="S53" s="13"/>
      <c r="T53" s="13"/>
      <c r="U53" s="13"/>
      <c r="V53" s="13"/>
      <c r="W53" s="13"/>
    </row>
    <row r="54" spans="1:23" ht="14.5" x14ac:dyDescent="0.3">
      <c r="A54" s="1">
        <v>4371836</v>
      </c>
      <c r="B54" s="26"/>
      <c r="C54" s="26"/>
      <c r="D54" s="27"/>
      <c r="E54" s="10" t="s">
        <v>97</v>
      </c>
      <c r="F54" s="11" t="str">
        <f t="shared" si="0"/>
        <v>Completed</v>
      </c>
      <c r="G54" s="1">
        <f>'[1]March 28th Release'!R54</f>
        <v>1</v>
      </c>
      <c r="H54" s="1">
        <f>'[1]March 28th Release'!S54</f>
        <v>1</v>
      </c>
      <c r="I54" s="1">
        <f>'[1]March 28th Release'!T54</f>
        <v>0</v>
      </c>
      <c r="J54" s="1">
        <f>'[1]March 28th Release'!F54</f>
        <v>2</v>
      </c>
      <c r="K54" s="1">
        <f>'[1]March 28th Release'!G54</f>
        <v>2</v>
      </c>
      <c r="L54" s="1">
        <f>'[1]March 28th Release'!H54</f>
        <v>2</v>
      </c>
      <c r="M54" s="1">
        <f>'[1]March 28th Release'!I54</f>
        <v>0</v>
      </c>
      <c r="N54" s="1">
        <f>'[1]March 28th Release'!J54</f>
        <v>0</v>
      </c>
      <c r="O54" s="12">
        <f>'[1]March 28th Release'!K54</f>
        <v>1</v>
      </c>
      <c r="P54" s="12">
        <f>'[1]March 28th Release'!L54</f>
        <v>0</v>
      </c>
      <c r="Q54" s="12">
        <f>'[1]March 28th Release'!M54</f>
        <v>0</v>
      </c>
      <c r="R54" s="12">
        <f>'[1]March 28th Release'!N54</f>
        <v>1</v>
      </c>
      <c r="S54" s="13"/>
      <c r="T54" s="13"/>
      <c r="U54" s="13"/>
      <c r="V54" s="13"/>
      <c r="W54" s="13"/>
    </row>
    <row r="55" spans="1:23" ht="14.5" x14ac:dyDescent="0.3">
      <c r="A55" s="1">
        <v>4371914</v>
      </c>
      <c r="B55" s="26"/>
      <c r="C55" s="26"/>
      <c r="D55" s="27"/>
      <c r="E55" s="10" t="s">
        <v>98</v>
      </c>
      <c r="F55" s="11" t="str">
        <f t="shared" si="0"/>
        <v>Completed</v>
      </c>
      <c r="G55" s="1">
        <f>'[1]March 28th Release'!R55</f>
        <v>2</v>
      </c>
      <c r="H55" s="1">
        <f>'[1]March 28th Release'!S55</f>
        <v>2</v>
      </c>
      <c r="I55" s="1">
        <f>'[1]March 28th Release'!T55</f>
        <v>0</v>
      </c>
      <c r="J55" s="1">
        <f>'[1]March 28th Release'!F55</f>
        <v>2</v>
      </c>
      <c r="K55" s="1">
        <f>'[1]March 28th Release'!G55</f>
        <v>2</v>
      </c>
      <c r="L55" s="1">
        <f>'[1]March 28th Release'!H55</f>
        <v>2</v>
      </c>
      <c r="M55" s="1">
        <f>'[1]March 28th Release'!I55</f>
        <v>0</v>
      </c>
      <c r="N55" s="1">
        <f>'[1]March 28th Release'!J55</f>
        <v>0</v>
      </c>
      <c r="O55" s="12">
        <f>'[1]March 28th Release'!K55</f>
        <v>1</v>
      </c>
      <c r="P55" s="12">
        <f>'[1]March 28th Release'!L55</f>
        <v>0</v>
      </c>
      <c r="Q55" s="12">
        <f>'[1]March 28th Release'!M55</f>
        <v>0</v>
      </c>
      <c r="R55" s="12">
        <f>'[1]March 28th Release'!N55</f>
        <v>1</v>
      </c>
      <c r="S55" s="13"/>
      <c r="T55" s="13"/>
      <c r="U55" s="13"/>
      <c r="V55" s="13"/>
      <c r="W55" s="13"/>
    </row>
    <row r="56" spans="1:23" ht="14.5" x14ac:dyDescent="0.3">
      <c r="A56" s="1">
        <v>4378908</v>
      </c>
      <c r="B56" s="26"/>
      <c r="C56" s="26"/>
      <c r="D56" s="27"/>
      <c r="E56" s="10" t="s">
        <v>99</v>
      </c>
      <c r="F56" s="11" t="str">
        <f t="shared" si="0"/>
        <v>Completed</v>
      </c>
      <c r="G56" s="1">
        <f>'[1]March 28th Release'!R56</f>
        <v>9</v>
      </c>
      <c r="H56" s="1">
        <f>'[1]March 28th Release'!S56</f>
        <v>9</v>
      </c>
      <c r="I56" s="1">
        <f>'[1]March 28th Release'!T56</f>
        <v>0</v>
      </c>
      <c r="J56" s="1">
        <f>'[1]March 28th Release'!F56</f>
        <v>33</v>
      </c>
      <c r="K56" s="1">
        <f>'[1]March 28th Release'!G56</f>
        <v>33</v>
      </c>
      <c r="L56" s="1">
        <f>'[1]March 28th Release'!H56</f>
        <v>33</v>
      </c>
      <c r="M56" s="1">
        <f>'[1]March 28th Release'!I56</f>
        <v>0</v>
      </c>
      <c r="N56" s="1">
        <f>'[1]March 28th Release'!J56</f>
        <v>0</v>
      </c>
      <c r="O56" s="12">
        <f>'[1]March 28th Release'!K56</f>
        <v>1</v>
      </c>
      <c r="P56" s="12">
        <f>'[1]March 28th Release'!L56</f>
        <v>0</v>
      </c>
      <c r="Q56" s="12">
        <f>'[1]March 28th Release'!M56</f>
        <v>0</v>
      </c>
      <c r="R56" s="12">
        <f>'[1]March 28th Release'!N56</f>
        <v>1</v>
      </c>
      <c r="S56" s="13"/>
      <c r="T56" s="13"/>
      <c r="U56" s="13"/>
      <c r="V56" s="13"/>
      <c r="W56" s="13"/>
    </row>
    <row r="57" spans="1:23" ht="14.5" x14ac:dyDescent="0.3">
      <c r="A57" s="1">
        <v>4385939</v>
      </c>
      <c r="B57" s="26"/>
      <c r="C57" s="26"/>
      <c r="D57" s="27"/>
      <c r="E57" s="10" t="s">
        <v>100</v>
      </c>
      <c r="F57" s="11" t="str">
        <f t="shared" si="0"/>
        <v>Completed</v>
      </c>
      <c r="G57" s="1">
        <f>'[1]March 28th Release'!R57</f>
        <v>1</v>
      </c>
      <c r="H57" s="1">
        <f>'[1]March 28th Release'!S57</f>
        <v>1</v>
      </c>
      <c r="I57" s="1">
        <f>'[1]March 28th Release'!T57</f>
        <v>0</v>
      </c>
      <c r="J57" s="1">
        <f>'[1]March 28th Release'!F57</f>
        <v>4</v>
      </c>
      <c r="K57" s="1">
        <f>'[1]March 28th Release'!G57</f>
        <v>4</v>
      </c>
      <c r="L57" s="1">
        <f>'[1]March 28th Release'!H57</f>
        <v>4</v>
      </c>
      <c r="M57" s="1">
        <f>'[1]March 28th Release'!I57</f>
        <v>0</v>
      </c>
      <c r="N57" s="1">
        <f>'[1]March 28th Release'!J57</f>
        <v>0</v>
      </c>
      <c r="O57" s="12">
        <f>'[1]March 28th Release'!K57</f>
        <v>1</v>
      </c>
      <c r="P57" s="12">
        <f>'[1]March 28th Release'!L57</f>
        <v>0</v>
      </c>
      <c r="Q57" s="12">
        <f>'[1]March 28th Release'!M57</f>
        <v>0</v>
      </c>
      <c r="R57" s="12">
        <f>'[1]March 28th Release'!N57</f>
        <v>1</v>
      </c>
      <c r="S57" s="13"/>
      <c r="T57" s="13"/>
      <c r="U57" s="13"/>
      <c r="V57" s="13"/>
      <c r="W57" s="13"/>
    </row>
    <row r="58" spans="1:23" ht="14.5" x14ac:dyDescent="0.3">
      <c r="A58" s="1">
        <v>4385941</v>
      </c>
      <c r="B58" s="26"/>
      <c r="C58" s="26"/>
      <c r="D58" s="27"/>
      <c r="E58" s="10" t="s">
        <v>101</v>
      </c>
      <c r="F58" s="11" t="str">
        <f t="shared" si="0"/>
        <v>Completed</v>
      </c>
      <c r="G58" s="1">
        <f>'[1]March 28th Release'!R58</f>
        <v>1</v>
      </c>
      <c r="H58" s="1">
        <f>'[1]March 28th Release'!S58</f>
        <v>1</v>
      </c>
      <c r="I58" s="1">
        <f>'[1]March 28th Release'!T58</f>
        <v>0</v>
      </c>
      <c r="J58" s="1">
        <f>'[1]March 28th Release'!F58</f>
        <v>1</v>
      </c>
      <c r="K58" s="1">
        <f>'[1]March 28th Release'!G58</f>
        <v>1</v>
      </c>
      <c r="L58" s="1">
        <f>'[1]March 28th Release'!H58</f>
        <v>1</v>
      </c>
      <c r="M58" s="1">
        <f>'[1]March 28th Release'!I58</f>
        <v>0</v>
      </c>
      <c r="N58" s="1">
        <f>'[1]March 28th Release'!J58</f>
        <v>0</v>
      </c>
      <c r="O58" s="12">
        <f>'[1]March 28th Release'!K58</f>
        <v>1</v>
      </c>
      <c r="P58" s="12">
        <f>'[1]March 28th Release'!L58</f>
        <v>0</v>
      </c>
      <c r="Q58" s="12">
        <f>'[1]March 28th Release'!M58</f>
        <v>0</v>
      </c>
      <c r="R58" s="12">
        <f>'[1]March 28th Release'!N58</f>
        <v>1</v>
      </c>
      <c r="S58" s="13"/>
      <c r="T58" s="13"/>
      <c r="U58" s="13"/>
      <c r="V58" s="13"/>
      <c r="W58" s="13"/>
    </row>
    <row r="59" spans="1:23" ht="14.5" x14ac:dyDescent="0.3">
      <c r="A59" s="1">
        <v>4387610</v>
      </c>
      <c r="B59" s="26"/>
      <c r="C59" s="26"/>
      <c r="D59" s="27"/>
      <c r="E59" s="10" t="s">
        <v>102</v>
      </c>
      <c r="F59" s="11" t="str">
        <f t="shared" si="0"/>
        <v>Completed</v>
      </c>
      <c r="G59" s="1">
        <f>'[1]March 28th Release'!R59</f>
        <v>1</v>
      </c>
      <c r="H59" s="1">
        <f>'[1]March 28th Release'!S59</f>
        <v>1</v>
      </c>
      <c r="I59" s="1">
        <f>'[1]March 28th Release'!T59</f>
        <v>0</v>
      </c>
      <c r="J59" s="1">
        <f>'[1]March 28th Release'!F59</f>
        <v>3</v>
      </c>
      <c r="K59" s="1">
        <f>'[1]March 28th Release'!G59</f>
        <v>3</v>
      </c>
      <c r="L59" s="1">
        <f>'[1]March 28th Release'!H59</f>
        <v>3</v>
      </c>
      <c r="M59" s="1">
        <f>'[1]March 28th Release'!I59</f>
        <v>0</v>
      </c>
      <c r="N59" s="1">
        <f>'[1]March 28th Release'!J59</f>
        <v>0</v>
      </c>
      <c r="O59" s="12">
        <f>'[1]March 28th Release'!K59</f>
        <v>1</v>
      </c>
      <c r="P59" s="12">
        <f>'[1]March 28th Release'!L59</f>
        <v>0</v>
      </c>
      <c r="Q59" s="12">
        <f>'[1]March 28th Release'!M59</f>
        <v>0</v>
      </c>
      <c r="R59" s="12">
        <f>'[1]March 28th Release'!N59</f>
        <v>1</v>
      </c>
      <c r="S59" s="13"/>
      <c r="T59" s="13"/>
      <c r="U59" s="13"/>
      <c r="V59" s="13"/>
      <c r="W59" s="13"/>
    </row>
    <row r="60" spans="1:23" ht="14.5" x14ac:dyDescent="0.3">
      <c r="A60" s="1">
        <v>4387613</v>
      </c>
      <c r="B60" s="26"/>
      <c r="C60" s="26"/>
      <c r="D60" s="27"/>
      <c r="E60" s="10" t="s">
        <v>103</v>
      </c>
      <c r="F60" s="11" t="str">
        <f t="shared" si="0"/>
        <v>Completed</v>
      </c>
      <c r="G60" s="1">
        <f>'[1]March 28th Release'!R60</f>
        <v>1</v>
      </c>
      <c r="H60" s="1">
        <f>'[1]March 28th Release'!S60</f>
        <v>1</v>
      </c>
      <c r="I60" s="1">
        <f>'[1]March 28th Release'!T60</f>
        <v>0</v>
      </c>
      <c r="J60" s="1">
        <f>'[1]March 28th Release'!F60</f>
        <v>4</v>
      </c>
      <c r="K60" s="1">
        <f>'[1]March 28th Release'!G60</f>
        <v>4</v>
      </c>
      <c r="L60" s="1">
        <f>'[1]March 28th Release'!H60</f>
        <v>4</v>
      </c>
      <c r="M60" s="1">
        <f>'[1]March 28th Release'!I60</f>
        <v>0</v>
      </c>
      <c r="N60" s="1">
        <f>'[1]March 28th Release'!J60</f>
        <v>0</v>
      </c>
      <c r="O60" s="12">
        <f>'[1]March 28th Release'!K60</f>
        <v>1</v>
      </c>
      <c r="P60" s="12">
        <f>'[1]March 28th Release'!L60</f>
        <v>0</v>
      </c>
      <c r="Q60" s="12">
        <f>'[1]March 28th Release'!M60</f>
        <v>0</v>
      </c>
      <c r="R60" s="12">
        <f>'[1]March 28th Release'!N60</f>
        <v>1</v>
      </c>
      <c r="S60" s="13"/>
      <c r="T60" s="13"/>
      <c r="U60" s="13"/>
      <c r="V60" s="13"/>
      <c r="W60" s="13"/>
    </row>
    <row r="61" spans="1:23" ht="14.5" x14ac:dyDescent="0.3">
      <c r="A61" s="1">
        <v>4387615</v>
      </c>
      <c r="B61" s="26"/>
      <c r="C61" s="26"/>
      <c r="D61" s="27"/>
      <c r="E61" s="10" t="s">
        <v>104</v>
      </c>
      <c r="F61" s="11" t="str">
        <f t="shared" si="0"/>
        <v>Completed</v>
      </c>
      <c r="G61" s="1">
        <f>'[1]March 28th Release'!R61</f>
        <v>1</v>
      </c>
      <c r="H61" s="1">
        <f>'[1]March 28th Release'!S61</f>
        <v>1</v>
      </c>
      <c r="I61" s="1">
        <f>'[1]March 28th Release'!T61</f>
        <v>0</v>
      </c>
      <c r="J61" s="1">
        <f>'[1]March 28th Release'!F61</f>
        <v>3</v>
      </c>
      <c r="K61" s="1">
        <f>'[1]March 28th Release'!G61</f>
        <v>3</v>
      </c>
      <c r="L61" s="1">
        <f>'[1]March 28th Release'!H61</f>
        <v>3</v>
      </c>
      <c r="M61" s="1">
        <f>'[1]March 28th Release'!I61</f>
        <v>0</v>
      </c>
      <c r="N61" s="1">
        <f>'[1]March 28th Release'!J61</f>
        <v>0</v>
      </c>
      <c r="O61" s="12">
        <f>'[1]March 28th Release'!K61</f>
        <v>1</v>
      </c>
      <c r="P61" s="12">
        <f>'[1]March 28th Release'!L61</f>
        <v>0</v>
      </c>
      <c r="Q61" s="12">
        <f>'[1]March 28th Release'!M61</f>
        <v>0</v>
      </c>
      <c r="R61" s="12">
        <f>'[1]March 28th Release'!N61</f>
        <v>1</v>
      </c>
      <c r="S61" s="13"/>
      <c r="T61" s="13"/>
      <c r="U61" s="13"/>
      <c r="V61" s="13"/>
      <c r="W61" s="13"/>
    </row>
    <row r="62" spans="1:23" ht="14.5" x14ac:dyDescent="0.3">
      <c r="A62" s="1">
        <v>4386527</v>
      </c>
      <c r="B62" s="26"/>
      <c r="C62" s="26" t="s">
        <v>105</v>
      </c>
      <c r="D62" s="9" t="s">
        <v>106</v>
      </c>
      <c r="E62" s="10" t="s">
        <v>107</v>
      </c>
      <c r="F62" s="11" t="str">
        <f t="shared" si="0"/>
        <v>Completed</v>
      </c>
      <c r="G62" s="1">
        <f>'[1]March 28th Release'!R62</f>
        <v>6</v>
      </c>
      <c r="H62" s="1">
        <f>'[1]March 28th Release'!S62</f>
        <v>6</v>
      </c>
      <c r="I62" s="1">
        <f>'[1]March 28th Release'!T62</f>
        <v>0</v>
      </c>
      <c r="J62" s="1">
        <f>'[1]March 28th Release'!F62</f>
        <v>35</v>
      </c>
      <c r="K62" s="1">
        <f>'[1]March 28th Release'!G62</f>
        <v>35</v>
      </c>
      <c r="L62" s="1">
        <f>'[1]March 28th Release'!H62</f>
        <v>35</v>
      </c>
      <c r="M62" s="1">
        <f>'[1]March 28th Release'!I62</f>
        <v>0</v>
      </c>
      <c r="N62" s="1">
        <f>'[1]March 28th Release'!J62</f>
        <v>0</v>
      </c>
      <c r="O62" s="12">
        <f>'[1]March 28th Release'!K62</f>
        <v>1</v>
      </c>
      <c r="P62" s="12">
        <f>'[1]March 28th Release'!L62</f>
        <v>0</v>
      </c>
      <c r="Q62" s="12">
        <f>'[1]March 28th Release'!M62</f>
        <v>0</v>
      </c>
      <c r="R62" s="12">
        <f>'[1]March 28th Release'!N62</f>
        <v>1</v>
      </c>
      <c r="S62" s="13"/>
      <c r="T62" s="13"/>
      <c r="U62" s="13"/>
      <c r="V62" s="13"/>
      <c r="W62" s="13"/>
    </row>
    <row r="63" spans="1:23" ht="14.5" x14ac:dyDescent="0.35">
      <c r="A63" s="1">
        <v>4386527</v>
      </c>
      <c r="B63" s="26"/>
      <c r="C63" s="26"/>
      <c r="D63" s="9" t="s">
        <v>108</v>
      </c>
      <c r="E63" s="10" t="s">
        <v>109</v>
      </c>
      <c r="F63" s="11" t="str">
        <f t="shared" si="0"/>
        <v>Awaiting bug fix</v>
      </c>
      <c r="G63" s="1">
        <f>'[1]March 28th Release'!R63</f>
        <v>14</v>
      </c>
      <c r="H63" s="1">
        <f>'[1]March 28th Release'!S63</f>
        <v>14</v>
      </c>
      <c r="I63" s="1">
        <f>'[1]March 28th Release'!T63</f>
        <v>0</v>
      </c>
      <c r="J63" s="1">
        <f>'[1]March 28th Release'!F63</f>
        <v>66</v>
      </c>
      <c r="K63" s="1">
        <f>'[1]March 28th Release'!G63</f>
        <v>66</v>
      </c>
      <c r="L63" s="1">
        <f>'[1]March 28th Release'!H63</f>
        <v>65</v>
      </c>
      <c r="M63" s="1">
        <f>'[1]March 28th Release'!I63</f>
        <v>1</v>
      </c>
      <c r="N63" s="1">
        <f>'[1]March 28th Release'!J63</f>
        <v>0</v>
      </c>
      <c r="O63" s="12">
        <f>'[1]March 28th Release'!K63</f>
        <v>0.98484848484848486</v>
      </c>
      <c r="P63" s="12">
        <f>'[1]March 28th Release'!L63</f>
        <v>1.5151515151515152E-2</v>
      </c>
      <c r="Q63" s="12">
        <f>'[1]March 28th Release'!M63</f>
        <v>0</v>
      </c>
      <c r="R63" s="12">
        <f>'[1]March 28th Release'!N63</f>
        <v>1</v>
      </c>
      <c r="S63" s="13"/>
      <c r="T63" s="13"/>
      <c r="U63" s="13"/>
      <c r="V63" s="13"/>
      <c r="W63" s="13"/>
    </row>
    <row r="64" spans="1:23" ht="14.5" x14ac:dyDescent="0.3">
      <c r="A64" s="1">
        <v>4366466</v>
      </c>
      <c r="B64" s="26"/>
      <c r="C64" s="26"/>
      <c r="D64" s="9" t="s">
        <v>110</v>
      </c>
      <c r="E64" s="10" t="s">
        <v>111</v>
      </c>
      <c r="F64" s="11" t="str">
        <f t="shared" si="0"/>
        <v>Completed</v>
      </c>
      <c r="G64" s="1">
        <f>'[1]March 28th Release'!R64</f>
        <v>1</v>
      </c>
      <c r="H64" s="1">
        <f>'[1]March 28th Release'!S64</f>
        <v>1</v>
      </c>
      <c r="I64" s="1">
        <f>'[1]March 28th Release'!T64</f>
        <v>0</v>
      </c>
      <c r="J64" s="1">
        <f>'[1]March 28th Release'!F64</f>
        <v>7</v>
      </c>
      <c r="K64" s="1">
        <f>'[1]March 28th Release'!G64</f>
        <v>7</v>
      </c>
      <c r="L64" s="1">
        <f>'[1]March 28th Release'!H64</f>
        <v>7</v>
      </c>
      <c r="M64" s="1">
        <f>'[1]March 28th Release'!I64</f>
        <v>0</v>
      </c>
      <c r="N64" s="1">
        <f>'[1]March 28th Release'!J64</f>
        <v>0</v>
      </c>
      <c r="O64" s="12">
        <f>'[1]March 28th Release'!K64</f>
        <v>1</v>
      </c>
      <c r="P64" s="12">
        <f>'[1]March 28th Release'!L64</f>
        <v>0</v>
      </c>
      <c r="Q64" s="12">
        <f>'[1]March 28th Release'!M64</f>
        <v>0</v>
      </c>
      <c r="R64" s="12">
        <f>'[1]March 28th Release'!N64</f>
        <v>1</v>
      </c>
      <c r="S64" s="13"/>
      <c r="T64" s="13"/>
      <c r="U64" s="13"/>
      <c r="V64" s="13"/>
      <c r="W64" s="13"/>
    </row>
    <row r="65" spans="1:23" ht="14.5" x14ac:dyDescent="0.3">
      <c r="A65" s="1">
        <v>4365879</v>
      </c>
      <c r="B65" s="26"/>
      <c r="C65" s="26"/>
      <c r="D65" s="9" t="s">
        <v>26</v>
      </c>
      <c r="E65" s="10" t="s">
        <v>112</v>
      </c>
      <c r="F65" s="11" t="str">
        <f t="shared" si="0"/>
        <v>Completed</v>
      </c>
      <c r="G65" s="1">
        <f>'[1]March 28th Release'!R65</f>
        <v>1</v>
      </c>
      <c r="H65" s="1">
        <f>'[1]March 28th Release'!S65</f>
        <v>1</v>
      </c>
      <c r="I65" s="1">
        <f>'[1]March 28th Release'!T65</f>
        <v>0</v>
      </c>
      <c r="J65" s="1">
        <f>'[1]March 28th Release'!F65</f>
        <v>2</v>
      </c>
      <c r="K65" s="1">
        <f>'[1]March 28th Release'!G65</f>
        <v>2</v>
      </c>
      <c r="L65" s="1">
        <f>'[1]March 28th Release'!H65</f>
        <v>2</v>
      </c>
      <c r="M65" s="1">
        <f>'[1]March 28th Release'!I65</f>
        <v>0</v>
      </c>
      <c r="N65" s="1">
        <f>'[1]March 28th Release'!J65</f>
        <v>0</v>
      </c>
      <c r="O65" s="12">
        <f>'[1]March 28th Release'!K65</f>
        <v>1</v>
      </c>
      <c r="P65" s="12">
        <f>'[1]March 28th Release'!L65</f>
        <v>0</v>
      </c>
      <c r="Q65" s="12">
        <f>'[1]March 28th Release'!M65</f>
        <v>0</v>
      </c>
      <c r="R65" s="12">
        <f>'[1]March 28th Release'!N65</f>
        <v>1</v>
      </c>
      <c r="S65" s="13"/>
      <c r="T65" s="13"/>
      <c r="U65" s="13"/>
      <c r="V65" s="13"/>
      <c r="W65" s="13"/>
    </row>
    <row r="66" spans="1:23" ht="14.5" x14ac:dyDescent="0.3">
      <c r="A66" s="1">
        <v>4275996</v>
      </c>
      <c r="B66" s="26"/>
      <c r="C66" s="26"/>
      <c r="D66" s="9" t="s">
        <v>89</v>
      </c>
      <c r="E66" s="10" t="s">
        <v>113</v>
      </c>
      <c r="F66" s="11" t="str">
        <f t="shared" si="0"/>
        <v>Completed</v>
      </c>
      <c r="G66" s="1">
        <f>'[1]March 28th Release'!R66</f>
        <v>2</v>
      </c>
      <c r="H66" s="1">
        <f>'[1]March 28th Release'!S66</f>
        <v>2</v>
      </c>
      <c r="I66" s="1">
        <f>'[1]March 28th Release'!T66</f>
        <v>0</v>
      </c>
      <c r="J66" s="1">
        <f>'[1]March 28th Release'!F66</f>
        <v>8</v>
      </c>
      <c r="K66" s="1">
        <f>'[1]March 28th Release'!G66</f>
        <v>8</v>
      </c>
      <c r="L66" s="1">
        <f>'[1]March 28th Release'!H66</f>
        <v>8</v>
      </c>
      <c r="M66" s="1">
        <f>'[1]March 28th Release'!I66</f>
        <v>0</v>
      </c>
      <c r="N66" s="1">
        <f>'[1]March 28th Release'!J66</f>
        <v>0</v>
      </c>
      <c r="O66" s="12">
        <f>'[1]March 28th Release'!K66</f>
        <v>1</v>
      </c>
      <c r="P66" s="12">
        <f>'[1]March 28th Release'!L66</f>
        <v>0</v>
      </c>
      <c r="Q66" s="12">
        <f>'[1]March 28th Release'!M66</f>
        <v>0</v>
      </c>
      <c r="R66" s="12">
        <f>'[1]March 28th Release'!N66</f>
        <v>1</v>
      </c>
      <c r="S66" s="13"/>
      <c r="T66" s="13"/>
      <c r="U66" s="13"/>
      <c r="V66" s="13"/>
      <c r="W66" s="13"/>
    </row>
    <row r="67" spans="1:23" ht="14.5" x14ac:dyDescent="0.3">
      <c r="A67" s="1">
        <v>4387609</v>
      </c>
      <c r="B67" s="26"/>
      <c r="C67" s="26"/>
      <c r="D67" s="9" t="s">
        <v>114</v>
      </c>
      <c r="E67" s="10" t="s">
        <v>115</v>
      </c>
      <c r="F67" s="11" t="str">
        <f t="shared" si="0"/>
        <v>Completed</v>
      </c>
      <c r="G67" s="1">
        <f>'[1]March 28th Release'!R67</f>
        <v>1</v>
      </c>
      <c r="H67" s="1">
        <f>'[1]March 28th Release'!S67</f>
        <v>1</v>
      </c>
      <c r="I67" s="1">
        <f>'[1]March 28th Release'!T67</f>
        <v>0</v>
      </c>
      <c r="J67" s="1">
        <f>'[1]March 28th Release'!F67</f>
        <v>7</v>
      </c>
      <c r="K67" s="1">
        <f>'[1]March 28th Release'!G67</f>
        <v>7</v>
      </c>
      <c r="L67" s="1">
        <f>'[1]March 28th Release'!H67</f>
        <v>7</v>
      </c>
      <c r="M67" s="1">
        <f>'[1]March 28th Release'!I67</f>
        <v>0</v>
      </c>
      <c r="N67" s="1">
        <f>'[1]March 28th Release'!J67</f>
        <v>0</v>
      </c>
      <c r="O67" s="12">
        <f>'[1]March 28th Release'!K67</f>
        <v>1</v>
      </c>
      <c r="P67" s="12">
        <f>'[1]March 28th Release'!L67</f>
        <v>0</v>
      </c>
      <c r="Q67" s="12">
        <f>'[1]March 28th Release'!M67</f>
        <v>0</v>
      </c>
      <c r="R67" s="12">
        <f>'[1]March 28th Release'!N67</f>
        <v>1</v>
      </c>
      <c r="S67" s="13"/>
      <c r="T67" s="13"/>
      <c r="U67" s="13"/>
      <c r="V67" s="13"/>
      <c r="W67" s="13"/>
    </row>
    <row r="68" spans="1:23" ht="14.5" x14ac:dyDescent="0.3">
      <c r="A68" s="1">
        <v>4344500</v>
      </c>
      <c r="B68" s="26"/>
      <c r="C68" s="26"/>
      <c r="D68" s="9" t="s">
        <v>116</v>
      </c>
      <c r="E68" s="10" t="s">
        <v>117</v>
      </c>
      <c r="F68" s="11" t="str">
        <f t="shared" ref="F68:F105" si="1">IF(AND(H68-I68=G68,O68&lt;&gt;1,R68=1),"Awaiting bug fix",IF(AND(H68-I68=G68,O68=1,R68=1),"Completed",IF(H68=0,"Not Delivered","In Progress")))</f>
        <v>Completed</v>
      </c>
      <c r="G68" s="1">
        <f>'[1]March 28th Release'!R68</f>
        <v>1</v>
      </c>
      <c r="H68" s="1">
        <f>'[1]March 28th Release'!S68</f>
        <v>1</v>
      </c>
      <c r="I68" s="1">
        <f>'[1]March 28th Release'!T68</f>
        <v>0</v>
      </c>
      <c r="J68" s="1">
        <f>'[1]March 28th Release'!F68</f>
        <v>7</v>
      </c>
      <c r="K68" s="1">
        <f>'[1]March 28th Release'!G68</f>
        <v>7</v>
      </c>
      <c r="L68" s="1">
        <f>'[1]March 28th Release'!H68</f>
        <v>7</v>
      </c>
      <c r="M68" s="1">
        <f>'[1]March 28th Release'!I68</f>
        <v>0</v>
      </c>
      <c r="N68" s="1">
        <f>'[1]March 28th Release'!J68</f>
        <v>0</v>
      </c>
      <c r="O68" s="12">
        <f>'[1]March 28th Release'!K68</f>
        <v>1</v>
      </c>
      <c r="P68" s="12">
        <f>'[1]March 28th Release'!L68</f>
        <v>0</v>
      </c>
      <c r="Q68" s="12">
        <f>'[1]March 28th Release'!M68</f>
        <v>0</v>
      </c>
      <c r="R68" s="12">
        <f>'[1]March 28th Release'!N68</f>
        <v>1</v>
      </c>
      <c r="S68" s="13"/>
      <c r="T68" s="13"/>
      <c r="U68" s="13"/>
      <c r="V68" s="13"/>
      <c r="W68" s="13"/>
    </row>
    <row r="69" spans="1:23" ht="14.5" x14ac:dyDescent="0.3">
      <c r="A69" s="1">
        <v>4278081</v>
      </c>
      <c r="B69" s="26"/>
      <c r="C69" s="26"/>
      <c r="D69" s="9" t="s">
        <v>80</v>
      </c>
      <c r="E69" s="10" t="s">
        <v>118</v>
      </c>
      <c r="F69" s="11" t="str">
        <f t="shared" si="1"/>
        <v>Awaiting bug fix</v>
      </c>
      <c r="G69" s="1">
        <f>'[1]March 28th Release'!R69</f>
        <v>21</v>
      </c>
      <c r="H69" s="1">
        <f>'[1]March 28th Release'!S69</f>
        <v>21</v>
      </c>
      <c r="I69" s="1">
        <f>'[1]March 28th Release'!T69</f>
        <v>0</v>
      </c>
      <c r="J69" s="1">
        <f>'[1]March 28th Release'!F69</f>
        <v>86</v>
      </c>
      <c r="K69" s="1">
        <f>'[1]March 28th Release'!G69</f>
        <v>86</v>
      </c>
      <c r="L69" s="1">
        <f>'[1]March 28th Release'!H69</f>
        <v>65</v>
      </c>
      <c r="M69" s="1">
        <f>'[1]March 28th Release'!I69</f>
        <v>21</v>
      </c>
      <c r="N69" s="1">
        <f>'[1]March 28th Release'!J69</f>
        <v>0</v>
      </c>
      <c r="O69" s="12">
        <f>'[1]March 28th Release'!K69</f>
        <v>0.7558139534883721</v>
      </c>
      <c r="P69" s="12">
        <f>'[1]March 28th Release'!L69</f>
        <v>0.2441860465116279</v>
      </c>
      <c r="Q69" s="12">
        <f>'[1]March 28th Release'!M69</f>
        <v>0</v>
      </c>
      <c r="R69" s="12">
        <f>'[1]March 28th Release'!N69</f>
        <v>1</v>
      </c>
      <c r="S69" s="13"/>
      <c r="T69" s="13"/>
      <c r="U69" s="13"/>
      <c r="V69" s="13"/>
      <c r="W69" s="13"/>
    </row>
    <row r="70" spans="1:23" ht="14.5" x14ac:dyDescent="0.3">
      <c r="A70" s="1">
        <v>4365826</v>
      </c>
      <c r="B70" s="26"/>
      <c r="C70" s="26"/>
      <c r="D70" s="9" t="s">
        <v>119</v>
      </c>
      <c r="E70" s="10" t="s">
        <v>120</v>
      </c>
      <c r="F70" s="11" t="str">
        <f t="shared" si="1"/>
        <v>Completed</v>
      </c>
      <c r="G70" s="1">
        <f>'[1]March 28th Release'!R70</f>
        <v>1</v>
      </c>
      <c r="H70" s="1">
        <f>'[1]March 28th Release'!S70</f>
        <v>1</v>
      </c>
      <c r="I70" s="1">
        <f>'[1]March 28th Release'!T70</f>
        <v>0</v>
      </c>
      <c r="J70" s="1">
        <f>'[1]March 28th Release'!F70</f>
        <v>4</v>
      </c>
      <c r="K70" s="1">
        <f>'[1]March 28th Release'!G70</f>
        <v>4</v>
      </c>
      <c r="L70" s="1">
        <f>'[1]March 28th Release'!H70</f>
        <v>4</v>
      </c>
      <c r="M70" s="1">
        <f>'[1]March 28th Release'!I70</f>
        <v>0</v>
      </c>
      <c r="N70" s="1">
        <f>'[1]March 28th Release'!J70</f>
        <v>0</v>
      </c>
      <c r="O70" s="12">
        <f>'[1]March 28th Release'!K70</f>
        <v>1</v>
      </c>
      <c r="P70" s="12">
        <f>'[1]March 28th Release'!L70</f>
        <v>0</v>
      </c>
      <c r="Q70" s="12">
        <f>'[1]March 28th Release'!M70</f>
        <v>0</v>
      </c>
      <c r="R70" s="12">
        <f>'[1]March 28th Release'!N70</f>
        <v>1</v>
      </c>
      <c r="S70" s="13"/>
      <c r="T70" s="13"/>
      <c r="U70" s="13"/>
      <c r="V70" s="13"/>
      <c r="W70" s="13"/>
    </row>
    <row r="71" spans="1:23" ht="14.5" x14ac:dyDescent="0.3">
      <c r="A71" s="1">
        <v>4365826</v>
      </c>
      <c r="B71" s="26"/>
      <c r="C71" s="26"/>
      <c r="D71" s="27" t="s">
        <v>121</v>
      </c>
      <c r="E71" s="10" t="s">
        <v>122</v>
      </c>
      <c r="F71" s="11" t="str">
        <f t="shared" si="1"/>
        <v>Completed</v>
      </c>
      <c r="G71" s="1">
        <f>'[1]March 28th Release'!R71</f>
        <v>2</v>
      </c>
      <c r="H71" s="1">
        <f>'[1]March 28th Release'!S71</f>
        <v>2</v>
      </c>
      <c r="I71" s="1">
        <f>'[1]March 28th Release'!T71</f>
        <v>0</v>
      </c>
      <c r="J71" s="1">
        <f>'[1]March 28th Release'!F71</f>
        <v>13</v>
      </c>
      <c r="K71" s="1">
        <f>'[1]March 28th Release'!G71</f>
        <v>13</v>
      </c>
      <c r="L71" s="1">
        <f>'[1]March 28th Release'!H71</f>
        <v>13</v>
      </c>
      <c r="M71" s="1">
        <f>'[1]March 28th Release'!I71</f>
        <v>0</v>
      </c>
      <c r="N71" s="1">
        <f>'[1]March 28th Release'!J71</f>
        <v>0</v>
      </c>
      <c r="O71" s="12">
        <f>'[1]March 28th Release'!K71</f>
        <v>1</v>
      </c>
      <c r="P71" s="12">
        <f>'[1]March 28th Release'!L71</f>
        <v>0</v>
      </c>
      <c r="Q71" s="12">
        <f>'[1]March 28th Release'!M71</f>
        <v>0</v>
      </c>
      <c r="R71" s="12">
        <f>'[1]March 28th Release'!N71</f>
        <v>1</v>
      </c>
      <c r="S71" s="13"/>
      <c r="T71" s="13"/>
      <c r="U71" s="13"/>
      <c r="V71" s="13"/>
      <c r="W71" s="13"/>
    </row>
    <row r="72" spans="1:23" ht="14.5" x14ac:dyDescent="0.3">
      <c r="A72" s="1">
        <v>4365879</v>
      </c>
      <c r="B72" s="26"/>
      <c r="C72" s="26"/>
      <c r="D72" s="27"/>
      <c r="E72" s="10" t="s">
        <v>123</v>
      </c>
      <c r="F72" s="11" t="str">
        <f t="shared" si="1"/>
        <v>Completed</v>
      </c>
      <c r="G72" s="1">
        <f>'[1]March 28th Release'!R72</f>
        <v>1</v>
      </c>
      <c r="H72" s="1">
        <f>'[1]March 28th Release'!S72</f>
        <v>1</v>
      </c>
      <c r="I72" s="1">
        <f>'[1]March 28th Release'!T72</f>
        <v>0</v>
      </c>
      <c r="J72" s="1">
        <f>'[1]March 28th Release'!F72</f>
        <v>1</v>
      </c>
      <c r="K72" s="1">
        <f>'[1]March 28th Release'!G72</f>
        <v>1</v>
      </c>
      <c r="L72" s="1">
        <f>'[1]March 28th Release'!H72</f>
        <v>1</v>
      </c>
      <c r="M72" s="1">
        <f>'[1]March 28th Release'!I72</f>
        <v>0</v>
      </c>
      <c r="N72" s="1">
        <f>'[1]March 28th Release'!J72</f>
        <v>0</v>
      </c>
      <c r="O72" s="12">
        <f>'[1]March 28th Release'!K72</f>
        <v>1</v>
      </c>
      <c r="P72" s="12">
        <f>'[1]March 28th Release'!L72</f>
        <v>0</v>
      </c>
      <c r="Q72" s="12">
        <f>'[1]March 28th Release'!M72</f>
        <v>0</v>
      </c>
      <c r="R72" s="12">
        <f>'[1]March 28th Release'!N72</f>
        <v>1</v>
      </c>
      <c r="S72" s="13"/>
      <c r="T72" s="13"/>
      <c r="U72" s="13"/>
      <c r="V72" s="13"/>
      <c r="W72" s="13"/>
    </row>
    <row r="73" spans="1:23" ht="14.5" x14ac:dyDescent="0.3">
      <c r="A73" s="1">
        <v>4365826</v>
      </c>
      <c r="B73" s="26"/>
      <c r="C73" s="26"/>
      <c r="D73" s="9" t="s">
        <v>124</v>
      </c>
      <c r="E73" s="10" t="s">
        <v>125</v>
      </c>
      <c r="F73" s="11" t="str">
        <f t="shared" si="1"/>
        <v>Completed</v>
      </c>
      <c r="G73" s="1">
        <f>'[1]March 28th Release'!R73</f>
        <v>1</v>
      </c>
      <c r="H73" s="1">
        <f>'[1]March 28th Release'!S73</f>
        <v>1</v>
      </c>
      <c r="I73" s="1">
        <f>'[1]March 28th Release'!T73</f>
        <v>0</v>
      </c>
      <c r="J73" s="1">
        <f>'[1]March 28th Release'!F73</f>
        <v>2</v>
      </c>
      <c r="K73" s="1">
        <f>'[1]March 28th Release'!G73</f>
        <v>2</v>
      </c>
      <c r="L73" s="1">
        <f>'[1]March 28th Release'!H73</f>
        <v>2</v>
      </c>
      <c r="M73" s="1">
        <f>'[1]March 28th Release'!I73</f>
        <v>0</v>
      </c>
      <c r="N73" s="1">
        <f>'[1]March 28th Release'!J73</f>
        <v>0</v>
      </c>
      <c r="O73" s="12">
        <f>'[1]March 28th Release'!K73</f>
        <v>1</v>
      </c>
      <c r="P73" s="12">
        <f>'[1]March 28th Release'!L73</f>
        <v>0</v>
      </c>
      <c r="Q73" s="12">
        <f>'[1]March 28th Release'!M73</f>
        <v>0</v>
      </c>
      <c r="R73" s="12">
        <f>'[1]March 28th Release'!N73</f>
        <v>1</v>
      </c>
      <c r="S73" s="13"/>
      <c r="T73" s="13"/>
      <c r="U73" s="13"/>
      <c r="V73" s="13"/>
      <c r="W73" s="13"/>
    </row>
    <row r="74" spans="1:23" ht="14.5" x14ac:dyDescent="0.3">
      <c r="A74" s="1">
        <v>4365826</v>
      </c>
      <c r="B74" s="26"/>
      <c r="C74" s="26"/>
      <c r="D74" s="9" t="s">
        <v>126</v>
      </c>
      <c r="E74" s="10" t="s">
        <v>127</v>
      </c>
      <c r="F74" s="11" t="str">
        <f t="shared" si="1"/>
        <v>Completed</v>
      </c>
      <c r="G74" s="1">
        <f>'[1]March 28th Release'!R74</f>
        <v>7</v>
      </c>
      <c r="H74" s="1">
        <f>'[1]March 28th Release'!S74</f>
        <v>7</v>
      </c>
      <c r="I74" s="1">
        <f>'[1]March 28th Release'!T74</f>
        <v>0</v>
      </c>
      <c r="J74" s="1">
        <f>'[1]March 28th Release'!F74</f>
        <v>18</v>
      </c>
      <c r="K74" s="1">
        <f>'[1]March 28th Release'!G74</f>
        <v>18</v>
      </c>
      <c r="L74" s="1">
        <f>'[1]March 28th Release'!H74</f>
        <v>18</v>
      </c>
      <c r="M74" s="1">
        <f>'[1]March 28th Release'!I74</f>
        <v>0</v>
      </c>
      <c r="N74" s="1">
        <f>'[1]March 28th Release'!J74</f>
        <v>0</v>
      </c>
      <c r="O74" s="12">
        <f>'[1]March 28th Release'!K74</f>
        <v>1</v>
      </c>
      <c r="P74" s="12">
        <f>'[1]March 28th Release'!L74</f>
        <v>0</v>
      </c>
      <c r="Q74" s="12">
        <f>'[1]March 28th Release'!M74</f>
        <v>0</v>
      </c>
      <c r="R74" s="12">
        <f>'[1]March 28th Release'!N74</f>
        <v>1</v>
      </c>
      <c r="S74" s="13"/>
      <c r="T74" s="13"/>
      <c r="U74" s="13"/>
      <c r="V74" s="13"/>
      <c r="W74" s="13"/>
    </row>
    <row r="75" spans="1:23" ht="14.5" x14ac:dyDescent="0.3">
      <c r="A75" s="1">
        <v>4365826</v>
      </c>
      <c r="B75" s="26"/>
      <c r="C75" s="26"/>
      <c r="D75" s="9" t="s">
        <v>128</v>
      </c>
      <c r="E75" s="10" t="s">
        <v>129</v>
      </c>
      <c r="F75" s="11" t="str">
        <f t="shared" si="1"/>
        <v>Completed</v>
      </c>
      <c r="G75" s="1">
        <f>'[1]March 28th Release'!R75</f>
        <v>1</v>
      </c>
      <c r="H75" s="1">
        <f>'[1]March 28th Release'!S75</f>
        <v>1</v>
      </c>
      <c r="I75" s="1">
        <f>'[1]March 28th Release'!T75</f>
        <v>0</v>
      </c>
      <c r="J75" s="1">
        <f>'[1]March 28th Release'!F75</f>
        <v>2</v>
      </c>
      <c r="K75" s="1">
        <f>'[1]March 28th Release'!G75</f>
        <v>2</v>
      </c>
      <c r="L75" s="1">
        <f>'[1]March 28th Release'!H75</f>
        <v>2</v>
      </c>
      <c r="M75" s="1">
        <f>'[1]March 28th Release'!I75</f>
        <v>0</v>
      </c>
      <c r="N75" s="1">
        <f>'[1]March 28th Release'!J75</f>
        <v>0</v>
      </c>
      <c r="O75" s="12">
        <f>'[1]March 28th Release'!K75</f>
        <v>1</v>
      </c>
      <c r="P75" s="12">
        <f>'[1]March 28th Release'!L75</f>
        <v>0</v>
      </c>
      <c r="Q75" s="12">
        <f>'[1]March 28th Release'!M75</f>
        <v>0</v>
      </c>
      <c r="R75" s="12">
        <f>'[1]March 28th Release'!N75</f>
        <v>1</v>
      </c>
      <c r="S75" s="13"/>
      <c r="T75" s="13"/>
      <c r="U75" s="13"/>
      <c r="V75" s="13"/>
      <c r="W75" s="13"/>
    </row>
    <row r="76" spans="1:23" ht="14.5" x14ac:dyDescent="0.35">
      <c r="A76" s="1">
        <v>4278081</v>
      </c>
      <c r="B76" s="26"/>
      <c r="C76" s="26"/>
      <c r="D76" s="9" t="s">
        <v>130</v>
      </c>
      <c r="E76" s="10" t="s">
        <v>131</v>
      </c>
      <c r="F76" s="11" t="str">
        <f t="shared" si="1"/>
        <v>In Progress</v>
      </c>
      <c r="G76" s="1">
        <f>'[1]March 28th Release'!R76</f>
        <v>1</v>
      </c>
      <c r="H76" s="1">
        <f>'[1]March 28th Release'!S76</f>
        <v>1</v>
      </c>
      <c r="I76" s="1">
        <f>'[1]March 28th Release'!T76</f>
        <v>0</v>
      </c>
      <c r="J76" s="1">
        <f>'[1]March 28th Release'!F76</f>
        <v>9</v>
      </c>
      <c r="K76" s="1">
        <f>'[1]March 28th Release'!G76</f>
        <v>8</v>
      </c>
      <c r="L76" s="1">
        <f>'[1]March 28th Release'!H76</f>
        <v>6</v>
      </c>
      <c r="M76" s="1">
        <f>'[1]March 28th Release'!I76</f>
        <v>2</v>
      </c>
      <c r="N76" s="1">
        <f>'[1]March 28th Release'!J76</f>
        <v>1</v>
      </c>
      <c r="O76" s="12">
        <f>'[1]March 28th Release'!K76</f>
        <v>0.75</v>
      </c>
      <c r="P76" s="12">
        <f>'[1]March 28th Release'!L76</f>
        <v>0.25</v>
      </c>
      <c r="Q76" s="12">
        <f>'[1]March 28th Release'!M76</f>
        <v>0.1111111111111111</v>
      </c>
      <c r="R76" s="12">
        <f>'[1]March 28th Release'!N76</f>
        <v>0.88888888888888884</v>
      </c>
      <c r="S76" s="13"/>
      <c r="T76" s="13"/>
      <c r="U76" s="13"/>
      <c r="V76" s="13"/>
      <c r="W76" s="13"/>
    </row>
    <row r="77" spans="1:23" ht="14.5" x14ac:dyDescent="0.3">
      <c r="A77" s="1">
        <v>4366466</v>
      </c>
      <c r="B77" s="26"/>
      <c r="C77" s="26"/>
      <c r="D77" s="9" t="s">
        <v>132</v>
      </c>
      <c r="E77" s="10" t="s">
        <v>133</v>
      </c>
      <c r="F77" s="11" t="str">
        <f t="shared" si="1"/>
        <v>Completed</v>
      </c>
      <c r="G77" s="1">
        <f>'[1]March 28th Release'!R77</f>
        <v>1</v>
      </c>
      <c r="H77" s="1">
        <f>'[1]March 28th Release'!S77</f>
        <v>1</v>
      </c>
      <c r="I77" s="1">
        <f>'[1]March 28th Release'!T77</f>
        <v>0</v>
      </c>
      <c r="J77" s="1">
        <f>'[1]March 28th Release'!F77</f>
        <v>7</v>
      </c>
      <c r="K77" s="1">
        <f>'[1]March 28th Release'!G77</f>
        <v>7</v>
      </c>
      <c r="L77" s="1">
        <f>'[1]March 28th Release'!H77</f>
        <v>7</v>
      </c>
      <c r="M77" s="1">
        <f>'[1]March 28th Release'!I77</f>
        <v>0</v>
      </c>
      <c r="N77" s="1">
        <f>'[1]March 28th Release'!J77</f>
        <v>0</v>
      </c>
      <c r="O77" s="12">
        <f>'[1]March 28th Release'!K77</f>
        <v>1</v>
      </c>
      <c r="P77" s="12">
        <f>'[1]March 28th Release'!L77</f>
        <v>0</v>
      </c>
      <c r="Q77" s="12">
        <f>'[1]March 28th Release'!M77</f>
        <v>0</v>
      </c>
      <c r="R77" s="12">
        <f>'[1]March 28th Release'!N77</f>
        <v>1</v>
      </c>
      <c r="S77" s="13"/>
      <c r="T77" s="13"/>
      <c r="U77" s="13"/>
      <c r="V77" s="13"/>
      <c r="W77" s="13"/>
    </row>
    <row r="78" spans="1:23" ht="14.5" x14ac:dyDescent="0.3">
      <c r="A78" s="1">
        <v>4139936</v>
      </c>
      <c r="B78" s="26"/>
      <c r="C78" s="14" t="s">
        <v>134</v>
      </c>
      <c r="D78" s="9" t="s">
        <v>135</v>
      </c>
      <c r="E78" s="10" t="s">
        <v>136</v>
      </c>
      <c r="F78" s="11" t="str">
        <f t="shared" si="1"/>
        <v>Completed</v>
      </c>
      <c r="G78" s="1">
        <f>'[1]March 28th Release'!R78</f>
        <v>1</v>
      </c>
      <c r="H78" s="1">
        <f>'[1]March 28th Release'!S78</f>
        <v>1</v>
      </c>
      <c r="I78" s="1">
        <f>'[1]March 28th Release'!T78</f>
        <v>0</v>
      </c>
      <c r="J78" s="1">
        <f>'[1]March 28th Release'!F78</f>
        <v>5</v>
      </c>
      <c r="K78" s="1">
        <f>'[1]March 28th Release'!G78</f>
        <v>5</v>
      </c>
      <c r="L78" s="1">
        <f>'[1]March 28th Release'!H78</f>
        <v>5</v>
      </c>
      <c r="M78" s="1">
        <f>'[1]March 28th Release'!I78</f>
        <v>0</v>
      </c>
      <c r="N78" s="1">
        <f>'[1]March 28th Release'!J78</f>
        <v>0</v>
      </c>
      <c r="O78" s="12">
        <f>'[1]March 28th Release'!K78</f>
        <v>1</v>
      </c>
      <c r="P78" s="12">
        <f>'[1]March 28th Release'!L78</f>
        <v>0</v>
      </c>
      <c r="Q78" s="12">
        <f>'[1]March 28th Release'!M78</f>
        <v>0</v>
      </c>
      <c r="R78" s="12">
        <f>'[1]March 28th Release'!N78</f>
        <v>1</v>
      </c>
      <c r="S78" s="13"/>
      <c r="T78" s="14"/>
      <c r="U78" s="14"/>
      <c r="V78" s="14"/>
      <c r="W78" s="14"/>
    </row>
    <row r="79" spans="1:23" ht="15" customHeight="1" x14ac:dyDescent="0.3">
      <c r="A79" s="1">
        <v>4318937</v>
      </c>
      <c r="B79" s="26"/>
      <c r="C79" s="25" t="s">
        <v>137</v>
      </c>
      <c r="D79" s="27" t="s">
        <v>137</v>
      </c>
      <c r="E79" s="10" t="s">
        <v>138</v>
      </c>
      <c r="F79" s="11" t="str">
        <f t="shared" si="1"/>
        <v>Awaiting bug fix</v>
      </c>
      <c r="G79" s="1">
        <f>'[1]March 28th Release'!R79</f>
        <v>1</v>
      </c>
      <c r="H79" s="1">
        <f>'[1]March 28th Release'!S79</f>
        <v>1</v>
      </c>
      <c r="I79" s="1">
        <f>'[1]March 28th Release'!T79</f>
        <v>0</v>
      </c>
      <c r="J79" s="1">
        <f>'[1]March 28th Release'!F79</f>
        <v>9</v>
      </c>
      <c r="K79" s="1">
        <f>'[1]March 28th Release'!G79</f>
        <v>9</v>
      </c>
      <c r="L79" s="1">
        <f>'[1]March 28th Release'!H79</f>
        <v>7</v>
      </c>
      <c r="M79" s="1">
        <f>'[1]March 28th Release'!I79</f>
        <v>2</v>
      </c>
      <c r="N79" s="1">
        <f>'[1]March 28th Release'!J79</f>
        <v>0</v>
      </c>
      <c r="O79" s="12">
        <f>'[1]March 28th Release'!K79</f>
        <v>0.77777777777777779</v>
      </c>
      <c r="P79" s="12">
        <f>'[1]March 28th Release'!L79</f>
        <v>0.22222222222222221</v>
      </c>
      <c r="Q79" s="12">
        <f>'[1]March 28th Release'!M79</f>
        <v>0</v>
      </c>
      <c r="R79" s="12">
        <f>'[1]March 28th Release'!N79</f>
        <v>1</v>
      </c>
      <c r="S79" s="13"/>
      <c r="T79" s="13"/>
      <c r="U79" s="13"/>
      <c r="V79" s="13"/>
      <c r="W79" s="13"/>
    </row>
    <row r="80" spans="1:23" ht="15" customHeight="1" x14ac:dyDescent="0.3">
      <c r="A80" s="1">
        <v>4389866</v>
      </c>
      <c r="B80" s="26"/>
      <c r="C80" s="25"/>
      <c r="D80" s="27"/>
      <c r="E80" s="10" t="s">
        <v>139</v>
      </c>
      <c r="F80" s="11" t="str">
        <f t="shared" si="1"/>
        <v>In Progress</v>
      </c>
      <c r="G80" s="1">
        <f>'[1]March 28th Release'!R80</f>
        <v>1</v>
      </c>
      <c r="H80" s="1">
        <f>'[1]March 28th Release'!S80</f>
        <v>1</v>
      </c>
      <c r="I80" s="1">
        <f>'[1]March 28th Release'!T80</f>
        <v>0</v>
      </c>
      <c r="J80" s="1">
        <f>'[1]March 28th Release'!F80</f>
        <v>6</v>
      </c>
      <c r="K80" s="1">
        <f>'[1]March 28th Release'!G80</f>
        <v>3</v>
      </c>
      <c r="L80" s="1">
        <f>'[1]March 28th Release'!H80</f>
        <v>1</v>
      </c>
      <c r="M80" s="1">
        <f>'[1]March 28th Release'!I80</f>
        <v>2</v>
      </c>
      <c r="N80" s="1">
        <f>'[1]March 28th Release'!J80</f>
        <v>3</v>
      </c>
      <c r="O80" s="12">
        <f>'[1]March 28th Release'!K80</f>
        <v>0.33333333333333331</v>
      </c>
      <c r="P80" s="12">
        <f>'[1]March 28th Release'!L80</f>
        <v>0.66666666666666663</v>
      </c>
      <c r="Q80" s="12">
        <f>'[1]March 28th Release'!M80</f>
        <v>0.5</v>
      </c>
      <c r="R80" s="12">
        <f>'[1]March 28th Release'!N80</f>
        <v>0.5</v>
      </c>
      <c r="S80" s="13">
        <v>1</v>
      </c>
      <c r="T80" s="14">
        <v>1</v>
      </c>
      <c r="U80" s="14"/>
      <c r="V80" s="14"/>
      <c r="W80" s="14"/>
    </row>
    <row r="81" spans="1:24" ht="14.5" x14ac:dyDescent="0.3">
      <c r="A81" s="1">
        <v>4359602</v>
      </c>
      <c r="B81" s="26" t="s">
        <v>140</v>
      </c>
      <c r="C81" s="14" t="s">
        <v>26</v>
      </c>
      <c r="D81" s="9" t="s">
        <v>141</v>
      </c>
      <c r="E81" s="10" t="s">
        <v>142</v>
      </c>
      <c r="F81" s="11" t="str">
        <f t="shared" si="1"/>
        <v>Completed</v>
      </c>
      <c r="G81" s="1">
        <f>'[1]March 28th Release'!R81</f>
        <v>1</v>
      </c>
      <c r="H81" s="1">
        <f>'[1]March 28th Release'!S81</f>
        <v>1</v>
      </c>
      <c r="I81" s="1">
        <f>'[1]March 28th Release'!T81</f>
        <v>0</v>
      </c>
      <c r="J81" s="1">
        <f>'[1]March 28th Release'!F81</f>
        <v>1</v>
      </c>
      <c r="K81" s="1">
        <f>'[1]March 28th Release'!G81</f>
        <v>1</v>
      </c>
      <c r="L81" s="1">
        <f>'[1]March 28th Release'!H81</f>
        <v>1</v>
      </c>
      <c r="M81" s="1">
        <f>'[1]March 28th Release'!I81</f>
        <v>0</v>
      </c>
      <c r="N81" s="1">
        <f>'[1]March 28th Release'!J81</f>
        <v>0</v>
      </c>
      <c r="O81" s="12">
        <f>'[1]March 28th Release'!K81</f>
        <v>1</v>
      </c>
      <c r="P81" s="12">
        <f>'[1]March 28th Release'!L81</f>
        <v>0</v>
      </c>
      <c r="Q81" s="12">
        <f>'[1]March 28th Release'!M81</f>
        <v>0</v>
      </c>
      <c r="R81" s="12">
        <f>'[1]March 28th Release'!N81</f>
        <v>1</v>
      </c>
      <c r="S81" s="13"/>
      <c r="T81" s="13"/>
      <c r="U81" s="13"/>
      <c r="V81" s="13"/>
      <c r="W81" s="13"/>
    </row>
    <row r="82" spans="1:24" ht="15" customHeight="1" x14ac:dyDescent="0.3">
      <c r="A82" s="1">
        <v>4373529</v>
      </c>
      <c r="B82" s="26"/>
      <c r="C82" s="25" t="s">
        <v>143</v>
      </c>
      <c r="D82" s="9" t="s">
        <v>144</v>
      </c>
      <c r="E82" s="10" t="s">
        <v>145</v>
      </c>
      <c r="F82" s="11" t="str">
        <f t="shared" si="1"/>
        <v>Awaiting bug fix</v>
      </c>
      <c r="G82" s="1">
        <f>'[1]March 28th Release'!R82</f>
        <v>1</v>
      </c>
      <c r="H82" s="1">
        <f>'[1]March 28th Release'!S82</f>
        <v>1</v>
      </c>
      <c r="I82" s="1">
        <f>'[1]March 28th Release'!T82</f>
        <v>0</v>
      </c>
      <c r="J82" s="1">
        <f>'[1]March 28th Release'!F82</f>
        <v>6</v>
      </c>
      <c r="K82" s="1">
        <f>'[1]March 28th Release'!G82</f>
        <v>6</v>
      </c>
      <c r="L82" s="1">
        <f>'[1]March 28th Release'!H82</f>
        <v>3</v>
      </c>
      <c r="M82" s="1">
        <f>'[1]March 28th Release'!I82</f>
        <v>3</v>
      </c>
      <c r="N82" s="1">
        <f>'[1]March 28th Release'!J82</f>
        <v>0</v>
      </c>
      <c r="O82" s="12">
        <f>'[1]March 28th Release'!K82</f>
        <v>0.5</v>
      </c>
      <c r="P82" s="12">
        <f>'[1]March 28th Release'!L82</f>
        <v>0.5</v>
      </c>
      <c r="Q82" s="12">
        <f>'[1]March 28th Release'!M82</f>
        <v>0</v>
      </c>
      <c r="R82" s="12">
        <f>'[1]March 28th Release'!N82</f>
        <v>1</v>
      </c>
      <c r="S82" s="13"/>
      <c r="T82" s="13"/>
      <c r="U82" s="13"/>
      <c r="V82" s="13"/>
      <c r="W82" s="13"/>
    </row>
    <row r="83" spans="1:24" ht="14.5" x14ac:dyDescent="0.3">
      <c r="A83" s="1">
        <v>4351343</v>
      </c>
      <c r="B83" s="26"/>
      <c r="C83" s="25"/>
      <c r="D83" s="9" t="s">
        <v>146</v>
      </c>
      <c r="E83" s="10" t="s">
        <v>147</v>
      </c>
      <c r="F83" s="11" t="str">
        <f t="shared" si="1"/>
        <v>Awaiting bug fix</v>
      </c>
      <c r="G83" s="1">
        <f>'[1]March 28th Release'!R83</f>
        <v>1</v>
      </c>
      <c r="H83" s="1">
        <f>'[1]March 28th Release'!S83</f>
        <v>1</v>
      </c>
      <c r="I83" s="1">
        <f>'[1]March 28th Release'!T83</f>
        <v>0</v>
      </c>
      <c r="J83" s="1">
        <f>'[1]March 28th Release'!F83</f>
        <v>4</v>
      </c>
      <c r="K83" s="1">
        <f>'[1]March 28th Release'!G83</f>
        <v>4</v>
      </c>
      <c r="L83" s="1">
        <f>'[1]March 28th Release'!H83</f>
        <v>3</v>
      </c>
      <c r="M83" s="1">
        <f>'[1]March 28th Release'!I83</f>
        <v>1</v>
      </c>
      <c r="N83" s="1">
        <f>'[1]March 28th Release'!J83</f>
        <v>0</v>
      </c>
      <c r="O83" s="12">
        <f>'[1]March 28th Release'!K83</f>
        <v>0.75</v>
      </c>
      <c r="P83" s="12">
        <f>'[1]March 28th Release'!L83</f>
        <v>0.25</v>
      </c>
      <c r="Q83" s="12">
        <f>'[1]March 28th Release'!M83</f>
        <v>0</v>
      </c>
      <c r="R83" s="12">
        <f>'[1]March 28th Release'!N83</f>
        <v>1</v>
      </c>
      <c r="S83" s="13"/>
      <c r="T83" s="13"/>
      <c r="U83" s="13"/>
      <c r="V83" s="13"/>
      <c r="W83" s="13"/>
    </row>
    <row r="84" spans="1:24" ht="14.5" x14ac:dyDescent="0.3">
      <c r="A84" s="1">
        <v>4351343</v>
      </c>
      <c r="B84" s="26"/>
      <c r="C84" s="25"/>
      <c r="D84" s="9" t="s">
        <v>148</v>
      </c>
      <c r="E84" s="10" t="s">
        <v>149</v>
      </c>
      <c r="F84" s="11" t="str">
        <f t="shared" si="1"/>
        <v>Completed</v>
      </c>
      <c r="G84" s="1">
        <f>'[1]March 28th Release'!R84</f>
        <v>2</v>
      </c>
      <c r="H84" s="1">
        <f>'[1]March 28th Release'!S84</f>
        <v>2</v>
      </c>
      <c r="I84" s="1">
        <f>'[1]March 28th Release'!T84</f>
        <v>0</v>
      </c>
      <c r="J84" s="1">
        <f>'[1]March 28th Release'!F84</f>
        <v>8</v>
      </c>
      <c r="K84" s="1">
        <f>'[1]March 28th Release'!G84</f>
        <v>8</v>
      </c>
      <c r="L84" s="1">
        <f>'[1]March 28th Release'!H84</f>
        <v>8</v>
      </c>
      <c r="M84" s="1">
        <f>'[1]March 28th Release'!I84</f>
        <v>0</v>
      </c>
      <c r="N84" s="1">
        <f>'[1]March 28th Release'!J84</f>
        <v>0</v>
      </c>
      <c r="O84" s="12">
        <f>'[1]March 28th Release'!K84</f>
        <v>1</v>
      </c>
      <c r="P84" s="12">
        <f>'[1]March 28th Release'!L84</f>
        <v>0</v>
      </c>
      <c r="Q84" s="12">
        <f>'[1]March 28th Release'!M84</f>
        <v>0</v>
      </c>
      <c r="R84" s="12">
        <f>'[1]March 28th Release'!N84</f>
        <v>1</v>
      </c>
      <c r="S84" s="13"/>
      <c r="T84" s="13"/>
      <c r="U84" s="13"/>
      <c r="V84" s="13"/>
      <c r="W84" s="13"/>
    </row>
    <row r="85" spans="1:24" ht="14.5" x14ac:dyDescent="0.3">
      <c r="A85" s="1">
        <v>4371605</v>
      </c>
      <c r="B85" s="26"/>
      <c r="C85" s="25"/>
      <c r="D85" s="27" t="s">
        <v>150</v>
      </c>
      <c r="E85" s="10" t="s">
        <v>151</v>
      </c>
      <c r="F85" s="11" t="str">
        <f t="shared" si="1"/>
        <v>Awaiting bug fix</v>
      </c>
      <c r="G85" s="1">
        <f>'[1]March 28th Release'!R85</f>
        <v>1</v>
      </c>
      <c r="H85" s="1">
        <f>'[1]March 28th Release'!S85</f>
        <v>1</v>
      </c>
      <c r="I85" s="1">
        <f>'[1]March 28th Release'!T85</f>
        <v>0</v>
      </c>
      <c r="J85" s="1">
        <f>'[1]March 28th Release'!F85</f>
        <v>3</v>
      </c>
      <c r="K85" s="1">
        <f>'[1]March 28th Release'!G85</f>
        <v>3</v>
      </c>
      <c r="L85" s="1">
        <f>'[1]March 28th Release'!H85</f>
        <v>2</v>
      </c>
      <c r="M85" s="1">
        <f>'[1]March 28th Release'!I85</f>
        <v>1</v>
      </c>
      <c r="N85" s="1">
        <f>'[1]March 28th Release'!J85</f>
        <v>0</v>
      </c>
      <c r="O85" s="12">
        <f>'[1]March 28th Release'!K85</f>
        <v>0.66666666666666663</v>
      </c>
      <c r="P85" s="12">
        <f>'[1]March 28th Release'!L85</f>
        <v>0.33333333333333331</v>
      </c>
      <c r="Q85" s="12">
        <f>'[1]March 28th Release'!M85</f>
        <v>0</v>
      </c>
      <c r="R85" s="12">
        <f>'[1]March 28th Release'!N85</f>
        <v>1</v>
      </c>
      <c r="S85" s="13"/>
      <c r="T85" s="13"/>
      <c r="U85" s="13"/>
      <c r="V85" s="13"/>
      <c r="W85" s="13"/>
    </row>
    <row r="86" spans="1:24" ht="14.5" x14ac:dyDescent="0.3">
      <c r="A86" s="1">
        <v>4371607</v>
      </c>
      <c r="B86" s="26"/>
      <c r="C86" s="25"/>
      <c r="D86" s="27"/>
      <c r="E86" s="10" t="s">
        <v>152</v>
      </c>
      <c r="F86" s="11" t="str">
        <f t="shared" si="1"/>
        <v>Completed</v>
      </c>
      <c r="G86" s="1">
        <f>'[1]March 28th Release'!R86</f>
        <v>2</v>
      </c>
      <c r="H86" s="1">
        <f>'[1]March 28th Release'!S86</f>
        <v>2</v>
      </c>
      <c r="I86" s="1">
        <f>'[1]March 28th Release'!T86</f>
        <v>0</v>
      </c>
      <c r="J86" s="1">
        <f>'[1]March 28th Release'!F86</f>
        <v>5</v>
      </c>
      <c r="K86" s="1">
        <f>'[1]March 28th Release'!G86</f>
        <v>5</v>
      </c>
      <c r="L86" s="1">
        <f>'[1]March 28th Release'!H86</f>
        <v>5</v>
      </c>
      <c r="M86" s="1">
        <f>'[1]March 28th Release'!I86</f>
        <v>0</v>
      </c>
      <c r="N86" s="1">
        <f>'[1]March 28th Release'!J86</f>
        <v>0</v>
      </c>
      <c r="O86" s="12">
        <f>'[1]March 28th Release'!K86</f>
        <v>1</v>
      </c>
      <c r="P86" s="12">
        <f>'[1]March 28th Release'!L86</f>
        <v>0</v>
      </c>
      <c r="Q86" s="12">
        <f>'[1]March 28th Release'!M86</f>
        <v>0</v>
      </c>
      <c r="R86" s="12">
        <f>'[1]March 28th Release'!N86</f>
        <v>1</v>
      </c>
      <c r="S86" s="13"/>
      <c r="T86" s="13"/>
      <c r="U86" s="13"/>
      <c r="V86" s="13"/>
      <c r="W86" s="13"/>
    </row>
    <row r="87" spans="1:24" ht="14.5" x14ac:dyDescent="0.3">
      <c r="A87" s="1">
        <v>4371610</v>
      </c>
      <c r="B87" s="26"/>
      <c r="C87" s="25"/>
      <c r="D87" s="9" t="s">
        <v>153</v>
      </c>
      <c r="E87" s="10" t="s">
        <v>154</v>
      </c>
      <c r="F87" s="11" t="str">
        <f t="shared" si="1"/>
        <v>Awaiting bug fix</v>
      </c>
      <c r="G87" s="1">
        <f>'[1]March 28th Release'!R87</f>
        <v>1</v>
      </c>
      <c r="H87" s="1">
        <f>'[1]March 28th Release'!S87</f>
        <v>1</v>
      </c>
      <c r="I87" s="1">
        <f>'[1]March 28th Release'!T87</f>
        <v>0</v>
      </c>
      <c r="J87" s="1">
        <f>'[1]March 28th Release'!F87</f>
        <v>6</v>
      </c>
      <c r="K87" s="1">
        <f>'[1]March 28th Release'!G87</f>
        <v>6</v>
      </c>
      <c r="L87" s="1">
        <f>'[1]March 28th Release'!H87</f>
        <v>5</v>
      </c>
      <c r="M87" s="1">
        <f>'[1]March 28th Release'!I87</f>
        <v>1</v>
      </c>
      <c r="N87" s="1">
        <f>'[1]March 28th Release'!J87</f>
        <v>0</v>
      </c>
      <c r="O87" s="12">
        <f>'[1]March 28th Release'!K87</f>
        <v>0.83333333333333337</v>
      </c>
      <c r="P87" s="12">
        <f>'[1]March 28th Release'!L87</f>
        <v>0.16666666666666666</v>
      </c>
      <c r="Q87" s="12">
        <f>'[1]March 28th Release'!M87</f>
        <v>0</v>
      </c>
      <c r="R87" s="12">
        <f>'[1]March 28th Release'!N87</f>
        <v>1</v>
      </c>
      <c r="S87" s="13"/>
      <c r="T87" s="13"/>
      <c r="U87" s="13"/>
      <c r="V87" s="13"/>
      <c r="W87" s="13"/>
    </row>
    <row r="88" spans="1:24" ht="15" customHeight="1" x14ac:dyDescent="0.3">
      <c r="A88" s="1">
        <v>4390112</v>
      </c>
      <c r="B88" s="26"/>
      <c r="C88" s="28" t="s">
        <v>49</v>
      </c>
      <c r="D88" s="9" t="s">
        <v>155</v>
      </c>
      <c r="E88" s="10" t="s">
        <v>156</v>
      </c>
      <c r="F88" s="11" t="str">
        <f t="shared" si="1"/>
        <v>Awaiting bug fix</v>
      </c>
      <c r="G88" s="1">
        <f>'[1]March 28th Release'!R88</f>
        <v>5</v>
      </c>
      <c r="H88" s="1">
        <f>'[1]March 28th Release'!S88</f>
        <v>5</v>
      </c>
      <c r="I88" s="1">
        <f>'[1]March 28th Release'!T88</f>
        <v>0</v>
      </c>
      <c r="J88" s="1">
        <f>'[1]March 28th Release'!F88</f>
        <v>75</v>
      </c>
      <c r="K88" s="1">
        <f>'[1]March 28th Release'!G88</f>
        <v>75</v>
      </c>
      <c r="L88" s="1">
        <f>'[1]March 28th Release'!H88</f>
        <v>70</v>
      </c>
      <c r="M88" s="1">
        <f>'[1]March 28th Release'!I88</f>
        <v>5</v>
      </c>
      <c r="N88" s="1">
        <f>'[1]March 28th Release'!J88</f>
        <v>0</v>
      </c>
      <c r="O88" s="12">
        <f>'[1]March 28th Release'!K88</f>
        <v>0.93333333333333335</v>
      </c>
      <c r="P88" s="12">
        <f>'[1]March 28th Release'!L88</f>
        <v>6.6666666666666666E-2</v>
      </c>
      <c r="Q88" s="12">
        <f>'[1]March 28th Release'!M88</f>
        <v>0</v>
      </c>
      <c r="R88" s="12">
        <f>'[1]March 28th Release'!N88</f>
        <v>1</v>
      </c>
      <c r="S88" s="13">
        <v>4</v>
      </c>
      <c r="T88" s="14"/>
      <c r="U88" s="14">
        <v>3</v>
      </c>
      <c r="V88" s="14">
        <v>1</v>
      </c>
      <c r="W88" s="14"/>
    </row>
    <row r="89" spans="1:24" ht="14.5" x14ac:dyDescent="0.3">
      <c r="A89" s="1">
        <v>4318876</v>
      </c>
      <c r="B89" s="26"/>
      <c r="C89" s="29"/>
      <c r="D89" s="9" t="s">
        <v>157</v>
      </c>
      <c r="E89" s="10" t="s">
        <v>158</v>
      </c>
      <c r="F89" s="11" t="str">
        <f t="shared" si="1"/>
        <v>Awaiting bug fix</v>
      </c>
      <c r="G89" s="1">
        <f>'[1]March 28th Release'!R89</f>
        <v>14</v>
      </c>
      <c r="H89" s="1">
        <f>'[1]March 28th Release'!S89</f>
        <v>14</v>
      </c>
      <c r="I89" s="1">
        <f>'[1]March 28th Release'!T89</f>
        <v>0</v>
      </c>
      <c r="J89" s="1">
        <f>'[1]March 28th Release'!F89</f>
        <v>178</v>
      </c>
      <c r="K89" s="1">
        <f>'[1]March 28th Release'!G89</f>
        <v>178</v>
      </c>
      <c r="L89" s="1">
        <f>'[1]March 28th Release'!H89</f>
        <v>141</v>
      </c>
      <c r="M89" s="1">
        <f>'[1]March 28th Release'!I89</f>
        <v>37</v>
      </c>
      <c r="N89" s="1">
        <f>'[1]March 28th Release'!J89</f>
        <v>0</v>
      </c>
      <c r="O89" s="12">
        <f>'[1]March 28th Release'!K89</f>
        <v>0.7921348314606742</v>
      </c>
      <c r="P89" s="12">
        <f>'[1]March 28th Release'!L89</f>
        <v>0.20786516853932585</v>
      </c>
      <c r="Q89" s="12">
        <f>'[1]March 28th Release'!M89</f>
        <v>0</v>
      </c>
      <c r="R89" s="12">
        <f>'[1]March 28th Release'!N89</f>
        <v>1</v>
      </c>
      <c r="S89" s="13">
        <v>11</v>
      </c>
      <c r="T89" s="14"/>
      <c r="U89" s="14">
        <v>7</v>
      </c>
      <c r="V89" s="14">
        <v>4</v>
      </c>
      <c r="W89" s="14"/>
    </row>
    <row r="90" spans="1:24" ht="15" customHeight="1" x14ac:dyDescent="0.3">
      <c r="A90" s="1">
        <v>4269015</v>
      </c>
      <c r="B90" s="26"/>
      <c r="C90" s="25" t="s">
        <v>105</v>
      </c>
      <c r="D90" s="27" t="s">
        <v>144</v>
      </c>
      <c r="E90" s="10" t="s">
        <v>159</v>
      </c>
      <c r="F90" s="11" t="str">
        <f t="shared" si="1"/>
        <v>Awaiting bug fix</v>
      </c>
      <c r="G90" s="1">
        <f>'[1]March 28th Release'!R90</f>
        <v>1</v>
      </c>
      <c r="H90" s="1">
        <f>'[1]March 28th Release'!S90</f>
        <v>1</v>
      </c>
      <c r="I90" s="1">
        <f>'[1]March 28th Release'!T90</f>
        <v>0</v>
      </c>
      <c r="J90" s="1">
        <f>'[1]March 28th Release'!F90</f>
        <v>6</v>
      </c>
      <c r="K90" s="1">
        <f>'[1]March 28th Release'!G90</f>
        <v>6</v>
      </c>
      <c r="L90" s="1">
        <f>'[1]March 28th Release'!H90</f>
        <v>4</v>
      </c>
      <c r="M90" s="1">
        <f>'[1]March 28th Release'!I90</f>
        <v>2</v>
      </c>
      <c r="N90" s="1">
        <f>'[1]March 28th Release'!J90</f>
        <v>0</v>
      </c>
      <c r="O90" s="12">
        <f>'[1]March 28th Release'!K90</f>
        <v>0.66666666666666663</v>
      </c>
      <c r="P90" s="12">
        <f>'[1]March 28th Release'!L90</f>
        <v>0.33333333333333331</v>
      </c>
      <c r="Q90" s="12">
        <f>'[1]March 28th Release'!M90</f>
        <v>0</v>
      </c>
      <c r="R90" s="12">
        <f>'[1]March 28th Release'!N90</f>
        <v>1</v>
      </c>
      <c r="S90" s="13"/>
      <c r="T90" s="13"/>
      <c r="U90" s="13"/>
      <c r="V90" s="13"/>
      <c r="W90" s="13"/>
    </row>
    <row r="91" spans="1:24" ht="14.5" x14ac:dyDescent="0.3">
      <c r="A91" s="1">
        <v>4317843</v>
      </c>
      <c r="B91" s="26"/>
      <c r="C91" s="25"/>
      <c r="D91" s="27"/>
      <c r="E91" s="10" t="s">
        <v>160</v>
      </c>
      <c r="F91" s="11" t="str">
        <f t="shared" si="1"/>
        <v>Awaiting bug fix</v>
      </c>
      <c r="G91" s="1">
        <f>'[1]March 28th Release'!R91</f>
        <v>1</v>
      </c>
      <c r="H91" s="1">
        <f>'[1]March 28th Release'!S91</f>
        <v>1</v>
      </c>
      <c r="I91" s="1">
        <f>'[1]March 28th Release'!T91</f>
        <v>0</v>
      </c>
      <c r="J91" s="1">
        <f>'[1]March 28th Release'!F91</f>
        <v>4</v>
      </c>
      <c r="K91" s="1">
        <f>'[1]March 28th Release'!G91</f>
        <v>4</v>
      </c>
      <c r="L91" s="1">
        <f>'[1]March 28th Release'!H91</f>
        <v>2</v>
      </c>
      <c r="M91" s="1">
        <f>'[1]March 28th Release'!I91</f>
        <v>2</v>
      </c>
      <c r="N91" s="1">
        <f>'[1]March 28th Release'!J91</f>
        <v>0</v>
      </c>
      <c r="O91" s="12">
        <f>'[1]March 28th Release'!K91</f>
        <v>0.5</v>
      </c>
      <c r="P91" s="12">
        <f>'[1]March 28th Release'!L91</f>
        <v>0.5</v>
      </c>
      <c r="Q91" s="12">
        <f>'[1]March 28th Release'!M91</f>
        <v>0</v>
      </c>
      <c r="R91" s="12">
        <f>'[1]March 28th Release'!N91</f>
        <v>1</v>
      </c>
      <c r="S91" s="13"/>
      <c r="T91" s="13"/>
      <c r="U91" s="13"/>
      <c r="V91" s="13"/>
      <c r="W91" s="13"/>
    </row>
    <row r="92" spans="1:24" ht="14.5" x14ac:dyDescent="0.3">
      <c r="A92" s="1">
        <v>4278081</v>
      </c>
      <c r="B92" s="26"/>
      <c r="C92" s="25"/>
      <c r="D92" s="9" t="s">
        <v>80</v>
      </c>
      <c r="E92" s="10" t="s">
        <v>161</v>
      </c>
      <c r="F92" s="11" t="str">
        <f t="shared" si="1"/>
        <v>Awaiting bug fix</v>
      </c>
      <c r="G92" s="1">
        <f>'[1]March 28th Release'!R92</f>
        <v>6</v>
      </c>
      <c r="H92" s="1">
        <f>'[1]March 28th Release'!S92</f>
        <v>6</v>
      </c>
      <c r="I92" s="1">
        <f>'[1]March 28th Release'!T92</f>
        <v>0</v>
      </c>
      <c r="J92" s="1">
        <f>'[1]March 28th Release'!F92</f>
        <v>20</v>
      </c>
      <c r="K92" s="1">
        <f>'[1]March 28th Release'!G92</f>
        <v>20</v>
      </c>
      <c r="L92" s="1">
        <f>'[1]March 28th Release'!H92</f>
        <v>11</v>
      </c>
      <c r="M92" s="1">
        <f>'[1]March 28th Release'!I92</f>
        <v>9</v>
      </c>
      <c r="N92" s="1">
        <f>'[1]March 28th Release'!J92</f>
        <v>0</v>
      </c>
      <c r="O92" s="12">
        <f>'[1]March 28th Release'!K92</f>
        <v>0.55000000000000004</v>
      </c>
      <c r="P92" s="12">
        <f>'[1]March 28th Release'!L92</f>
        <v>0.45</v>
      </c>
      <c r="Q92" s="12">
        <f>'[1]March 28th Release'!M92</f>
        <v>0</v>
      </c>
      <c r="R92" s="12">
        <f>'[1]March 28th Release'!N92</f>
        <v>1</v>
      </c>
      <c r="S92" s="13">
        <v>4</v>
      </c>
      <c r="T92" s="14"/>
      <c r="U92" s="14">
        <v>2</v>
      </c>
      <c r="V92" s="14">
        <v>1</v>
      </c>
      <c r="W92" s="14">
        <v>1</v>
      </c>
    </row>
    <row r="93" spans="1:24" s="1" customFormat="1" ht="14.5" x14ac:dyDescent="0.3">
      <c r="A93" s="1">
        <v>4275381</v>
      </c>
      <c r="B93" s="26"/>
      <c r="C93" s="14" t="s">
        <v>134</v>
      </c>
      <c r="D93" s="9" t="s">
        <v>80</v>
      </c>
      <c r="E93" s="10" t="s">
        <v>162</v>
      </c>
      <c r="F93" s="11" t="str">
        <f t="shared" si="1"/>
        <v>Completed</v>
      </c>
      <c r="G93" s="1">
        <f>'[1]March 28th Release'!R93</f>
        <v>1</v>
      </c>
      <c r="H93" s="1">
        <f>'[1]March 28th Release'!S93</f>
        <v>1</v>
      </c>
      <c r="I93" s="1">
        <f>'[1]March 28th Release'!T93</f>
        <v>0</v>
      </c>
      <c r="J93" s="1">
        <f>'[1]March 28th Release'!F93</f>
        <v>6</v>
      </c>
      <c r="K93" s="1">
        <f>'[1]March 28th Release'!G93</f>
        <v>6</v>
      </c>
      <c r="L93" s="1">
        <f>'[1]March 28th Release'!H93</f>
        <v>6</v>
      </c>
      <c r="M93" s="1">
        <f>'[1]March 28th Release'!I93</f>
        <v>0</v>
      </c>
      <c r="N93" s="1">
        <f>'[1]March 28th Release'!J93</f>
        <v>0</v>
      </c>
      <c r="O93" s="12">
        <f>'[1]March 28th Release'!K93</f>
        <v>1</v>
      </c>
      <c r="P93" s="12">
        <f>'[1]March 28th Release'!L93</f>
        <v>0</v>
      </c>
      <c r="Q93" s="12">
        <f>'[1]March 28th Release'!M93</f>
        <v>0</v>
      </c>
      <c r="R93" s="12">
        <f>'[1]March 28th Release'!N93</f>
        <v>1</v>
      </c>
      <c r="S93" s="13"/>
      <c r="T93" s="13"/>
      <c r="U93" s="13"/>
      <c r="V93" s="13"/>
      <c r="W93" s="13"/>
    </row>
    <row r="94" spans="1:24" s="1" customFormat="1" ht="13" customHeight="1" x14ac:dyDescent="0.3">
      <c r="A94" s="1">
        <v>4371812</v>
      </c>
      <c r="B94" s="26"/>
      <c r="C94" s="28" t="s">
        <v>163</v>
      </c>
      <c r="D94" s="17" t="s">
        <v>144</v>
      </c>
      <c r="E94" s="10" t="s">
        <v>164</v>
      </c>
      <c r="F94" s="11" t="str">
        <f t="shared" si="1"/>
        <v>Awaiting bug fix</v>
      </c>
      <c r="G94" s="1">
        <f>'[1]March 28th Release'!R95</f>
        <v>1</v>
      </c>
      <c r="H94" s="1">
        <f>'[1]March 28th Release'!S95</f>
        <v>1</v>
      </c>
      <c r="I94" s="1">
        <f>'[1]March 28th Release'!T95</f>
        <v>0</v>
      </c>
      <c r="J94" s="1">
        <f>'[1]March 28th Release'!F95</f>
        <v>3</v>
      </c>
      <c r="K94" s="1">
        <f>'[1]March 28th Release'!G95</f>
        <v>3</v>
      </c>
      <c r="L94" s="1">
        <f>'[1]March 28th Release'!H95</f>
        <v>2</v>
      </c>
      <c r="M94" s="1">
        <f>'[1]March 28th Release'!I95</f>
        <v>1</v>
      </c>
      <c r="N94" s="1">
        <f>'[1]March 28th Release'!J95</f>
        <v>0</v>
      </c>
      <c r="O94" s="12">
        <f>'[1]March 28th Release'!K95</f>
        <v>0.66666666666666663</v>
      </c>
      <c r="P94" s="12">
        <f>'[1]March 28th Release'!L95</f>
        <v>0.33333333333333331</v>
      </c>
      <c r="Q94" s="12">
        <f>'[1]March 28th Release'!M95</f>
        <v>0</v>
      </c>
      <c r="R94" s="12">
        <f>'[1]March 28th Release'!N95</f>
        <v>1</v>
      </c>
      <c r="S94" s="13"/>
      <c r="T94" s="13"/>
      <c r="U94" s="13"/>
      <c r="V94" s="13"/>
      <c r="W94" s="13"/>
    </row>
    <row r="95" spans="1:24" s="1" customFormat="1" ht="13" customHeight="1" x14ac:dyDescent="0.3">
      <c r="A95" s="18">
        <v>4316161</v>
      </c>
      <c r="B95" s="26"/>
      <c r="C95" s="30"/>
      <c r="D95" s="9" t="s">
        <v>165</v>
      </c>
      <c r="E95" s="10" t="s">
        <v>166</v>
      </c>
      <c r="F95" s="11" t="str">
        <f t="shared" si="1"/>
        <v>Awaiting bug fix</v>
      </c>
      <c r="G95" s="1">
        <f>'[1]March 28th Release'!R96</f>
        <v>1</v>
      </c>
      <c r="H95" s="1">
        <f>'[1]March 28th Release'!S96</f>
        <v>1</v>
      </c>
      <c r="I95" s="1">
        <f>'[1]March 28th Release'!T96</f>
        <v>0</v>
      </c>
      <c r="J95" s="1">
        <f>'[1]March 28th Release'!F96</f>
        <v>10</v>
      </c>
      <c r="K95" s="1">
        <f>'[1]March 28th Release'!G96</f>
        <v>10</v>
      </c>
      <c r="L95" s="1">
        <f>'[1]March 28th Release'!H96</f>
        <v>9</v>
      </c>
      <c r="M95" s="1">
        <f>'[1]March 28th Release'!I96</f>
        <v>1</v>
      </c>
      <c r="N95" s="1">
        <f>'[1]March 28th Release'!J96</f>
        <v>0</v>
      </c>
      <c r="O95" s="12">
        <f>'[1]March 28th Release'!K96</f>
        <v>0.9</v>
      </c>
      <c r="P95" s="12">
        <f>'[1]March 28th Release'!L96</f>
        <v>0.1</v>
      </c>
      <c r="Q95" s="12">
        <f>'[1]March 28th Release'!M96</f>
        <v>0</v>
      </c>
      <c r="R95" s="12">
        <f>'[1]March 28th Release'!N96</f>
        <v>1</v>
      </c>
      <c r="S95" s="13"/>
      <c r="T95" s="13"/>
      <c r="U95" s="13"/>
      <c r="V95" s="13"/>
      <c r="W95" s="13"/>
    </row>
    <row r="96" spans="1:24" s="1" customFormat="1" ht="13" customHeight="1" x14ac:dyDescent="0.3">
      <c r="A96" s="18">
        <v>4316161</v>
      </c>
      <c r="B96" s="26"/>
      <c r="C96" s="30"/>
      <c r="D96" s="9" t="s">
        <v>167</v>
      </c>
      <c r="E96" s="10" t="s">
        <v>168</v>
      </c>
      <c r="F96" s="11" t="str">
        <f t="shared" si="1"/>
        <v>Completed</v>
      </c>
      <c r="G96" s="1">
        <f>'[1]March 28th Release'!R97</f>
        <v>1</v>
      </c>
      <c r="H96" s="1">
        <f>'[1]March 28th Release'!S97</f>
        <v>1</v>
      </c>
      <c r="I96" s="1">
        <f>'[1]March 28th Release'!T97</f>
        <v>0</v>
      </c>
      <c r="J96" s="1">
        <f>'[1]March 28th Release'!F97</f>
        <v>11</v>
      </c>
      <c r="K96" s="1">
        <f>'[1]March 28th Release'!G97</f>
        <v>11</v>
      </c>
      <c r="L96" s="1">
        <f>'[1]March 28th Release'!H97</f>
        <v>11</v>
      </c>
      <c r="M96" s="1">
        <f>'[1]March 28th Release'!I97</f>
        <v>0</v>
      </c>
      <c r="N96" s="1">
        <f>'[1]March 28th Release'!J97</f>
        <v>0</v>
      </c>
      <c r="O96" s="12">
        <f>'[1]March 28th Release'!K97</f>
        <v>1</v>
      </c>
      <c r="P96" s="12">
        <f>'[1]March 28th Release'!L97</f>
        <v>0</v>
      </c>
      <c r="Q96" s="12">
        <f>'[1]March 28th Release'!M97</f>
        <v>0</v>
      </c>
      <c r="R96" s="12">
        <f>'[1]March 28th Release'!N97</f>
        <v>1</v>
      </c>
      <c r="S96" s="13"/>
      <c r="T96" s="13"/>
      <c r="U96" s="13"/>
      <c r="V96" s="13"/>
      <c r="W96" s="13"/>
      <c r="X96" s="13"/>
    </row>
    <row r="97" spans="1:23" s="1" customFormat="1" ht="13" customHeight="1" x14ac:dyDescent="0.3">
      <c r="A97" s="1">
        <v>4272104</v>
      </c>
      <c r="B97" s="26"/>
      <c r="C97" s="30"/>
      <c r="D97" s="9" t="s">
        <v>169</v>
      </c>
      <c r="E97" s="10" t="s">
        <v>170</v>
      </c>
      <c r="F97" s="11" t="str">
        <f t="shared" si="1"/>
        <v>Awaiting bug fix</v>
      </c>
      <c r="G97" s="1">
        <f>'[1]March 28th Release'!R98</f>
        <v>1</v>
      </c>
      <c r="H97" s="1">
        <f>'[1]March 28th Release'!S98</f>
        <v>1</v>
      </c>
      <c r="I97" s="1">
        <f>'[1]March 28th Release'!T98</f>
        <v>0</v>
      </c>
      <c r="J97" s="1">
        <f>'[1]March 28th Release'!F98</f>
        <v>5</v>
      </c>
      <c r="K97" s="1">
        <f>'[1]March 28th Release'!G98</f>
        <v>5</v>
      </c>
      <c r="L97" s="1">
        <f>'[1]March 28th Release'!H98</f>
        <v>4</v>
      </c>
      <c r="M97" s="1">
        <f>'[1]March 28th Release'!I98</f>
        <v>1</v>
      </c>
      <c r="N97" s="1">
        <f>'[1]March 28th Release'!J98</f>
        <v>0</v>
      </c>
      <c r="O97" s="12">
        <f>'[1]March 28th Release'!K98</f>
        <v>0.8</v>
      </c>
      <c r="P97" s="12">
        <f>'[1]March 28th Release'!L98</f>
        <v>0.2</v>
      </c>
      <c r="Q97" s="12">
        <f>'[1]March 28th Release'!M98</f>
        <v>0</v>
      </c>
      <c r="R97" s="12">
        <f>'[1]March 28th Release'!N98</f>
        <v>1</v>
      </c>
      <c r="S97" s="13"/>
      <c r="T97" s="13"/>
      <c r="U97" s="13"/>
      <c r="V97" s="13"/>
      <c r="W97" s="13"/>
    </row>
    <row r="98" spans="1:23" s="1" customFormat="1" ht="13" customHeight="1" x14ac:dyDescent="0.3">
      <c r="A98" s="1">
        <v>4351343</v>
      </c>
      <c r="B98" s="26"/>
      <c r="C98" s="30"/>
      <c r="D98" s="27" t="s">
        <v>171</v>
      </c>
      <c r="E98" s="10" t="s">
        <v>172</v>
      </c>
      <c r="F98" s="11" t="str">
        <f t="shared" si="1"/>
        <v>Completed</v>
      </c>
      <c r="G98" s="1">
        <f>'[1]March 28th Release'!R99</f>
        <v>1</v>
      </c>
      <c r="H98" s="1">
        <f>'[1]March 28th Release'!S99</f>
        <v>1</v>
      </c>
      <c r="I98" s="1">
        <f>'[1]March 28th Release'!T99</f>
        <v>0</v>
      </c>
      <c r="J98" s="1">
        <f>'[1]March 28th Release'!F99</f>
        <v>4</v>
      </c>
      <c r="K98" s="1">
        <f>'[1]March 28th Release'!G99</f>
        <v>4</v>
      </c>
      <c r="L98" s="1">
        <f>'[1]March 28th Release'!H99</f>
        <v>4</v>
      </c>
      <c r="M98" s="1">
        <f>'[1]March 28th Release'!I99</f>
        <v>0</v>
      </c>
      <c r="N98" s="1">
        <f>'[1]March 28th Release'!J99</f>
        <v>0</v>
      </c>
      <c r="O98" s="12">
        <f>'[1]March 28th Release'!K99</f>
        <v>1</v>
      </c>
      <c r="P98" s="12">
        <f>'[1]March 28th Release'!L99</f>
        <v>0</v>
      </c>
      <c r="Q98" s="12">
        <f>'[1]March 28th Release'!M99</f>
        <v>0</v>
      </c>
      <c r="R98" s="12">
        <f>'[1]March 28th Release'!N99</f>
        <v>1</v>
      </c>
      <c r="S98" s="13"/>
      <c r="T98" s="13"/>
      <c r="U98" s="13"/>
      <c r="V98" s="13"/>
      <c r="W98" s="13"/>
    </row>
    <row r="99" spans="1:23" s="1" customFormat="1" ht="13" customHeight="1" x14ac:dyDescent="0.3">
      <c r="A99" s="1">
        <v>4371602</v>
      </c>
      <c r="B99" s="26"/>
      <c r="C99" s="30"/>
      <c r="D99" s="27"/>
      <c r="E99" s="10" t="s">
        <v>173</v>
      </c>
      <c r="F99" s="11" t="str">
        <f t="shared" si="1"/>
        <v>Awaiting bug fix</v>
      </c>
      <c r="G99" s="1">
        <f>'[1]March 28th Release'!R100</f>
        <v>1</v>
      </c>
      <c r="H99" s="1">
        <f>'[1]March 28th Release'!S100</f>
        <v>1</v>
      </c>
      <c r="I99" s="1">
        <f>'[1]March 28th Release'!T100</f>
        <v>0</v>
      </c>
      <c r="J99" s="1">
        <f>'[1]March 28th Release'!F100</f>
        <v>4</v>
      </c>
      <c r="K99" s="1">
        <f>'[1]March 28th Release'!G100</f>
        <v>4</v>
      </c>
      <c r="L99" s="1">
        <f>'[1]March 28th Release'!H100</f>
        <v>3</v>
      </c>
      <c r="M99" s="1">
        <f>'[1]March 28th Release'!I100</f>
        <v>1</v>
      </c>
      <c r="N99" s="1">
        <f>'[1]March 28th Release'!J100</f>
        <v>0</v>
      </c>
      <c r="O99" s="12">
        <f>'[1]March 28th Release'!K100</f>
        <v>0.75</v>
      </c>
      <c r="P99" s="12">
        <f>'[1]March 28th Release'!L100</f>
        <v>0.25</v>
      </c>
      <c r="Q99" s="12">
        <f>'[1]March 28th Release'!M100</f>
        <v>0</v>
      </c>
      <c r="R99" s="12">
        <f>'[1]March 28th Release'!N100</f>
        <v>1</v>
      </c>
      <c r="S99" s="13"/>
      <c r="T99" s="13"/>
      <c r="U99" s="13"/>
      <c r="V99" s="13"/>
      <c r="W99" s="13"/>
    </row>
    <row r="100" spans="1:23" s="1" customFormat="1" ht="13" customHeight="1" x14ac:dyDescent="0.3">
      <c r="A100" s="1">
        <v>4364026</v>
      </c>
      <c r="B100" s="26"/>
      <c r="C100" s="30"/>
      <c r="D100" s="9" t="s">
        <v>174</v>
      </c>
      <c r="E100" s="10" t="s">
        <v>175</v>
      </c>
      <c r="F100" s="11" t="str">
        <f t="shared" si="1"/>
        <v>Completed</v>
      </c>
      <c r="G100" s="1">
        <f>'[1]March 28th Release'!R101</f>
        <v>1</v>
      </c>
      <c r="H100" s="1">
        <f>'[1]March 28th Release'!S101</f>
        <v>1</v>
      </c>
      <c r="I100" s="1">
        <f>'[1]March 28th Release'!T101</f>
        <v>0</v>
      </c>
      <c r="J100" s="1">
        <f>'[1]March 28th Release'!F101</f>
        <v>3</v>
      </c>
      <c r="K100" s="1">
        <f>'[1]March 28th Release'!G101</f>
        <v>3</v>
      </c>
      <c r="L100" s="1">
        <f>'[1]March 28th Release'!H101</f>
        <v>3</v>
      </c>
      <c r="M100" s="1">
        <f>'[1]March 28th Release'!I101</f>
        <v>0</v>
      </c>
      <c r="N100" s="1">
        <f>'[1]March 28th Release'!J101</f>
        <v>0</v>
      </c>
      <c r="O100" s="12">
        <f>'[1]March 28th Release'!K101</f>
        <v>1</v>
      </c>
      <c r="P100" s="12">
        <f>'[1]March 28th Release'!L101</f>
        <v>0</v>
      </c>
      <c r="Q100" s="12">
        <f>'[1]March 28th Release'!M101</f>
        <v>0</v>
      </c>
      <c r="R100" s="12">
        <f>'[1]March 28th Release'!N101</f>
        <v>1</v>
      </c>
      <c r="S100" s="13"/>
      <c r="T100" s="13"/>
      <c r="U100" s="13"/>
      <c r="V100" s="13"/>
      <c r="W100" s="13"/>
    </row>
    <row r="101" spans="1:23" s="1" customFormat="1" ht="13" customHeight="1" x14ac:dyDescent="0.3">
      <c r="A101" s="1">
        <v>4352766</v>
      </c>
      <c r="B101" s="26"/>
      <c r="C101" s="30"/>
      <c r="D101" s="27" t="s">
        <v>148</v>
      </c>
      <c r="E101" s="10" t="s">
        <v>176</v>
      </c>
      <c r="F101" s="11" t="str">
        <f t="shared" si="1"/>
        <v>Awaiting bug fix</v>
      </c>
      <c r="G101" s="1">
        <f>'[1]March 28th Release'!R102</f>
        <v>4</v>
      </c>
      <c r="H101" s="1">
        <f>'[1]March 28th Release'!S102</f>
        <v>4</v>
      </c>
      <c r="I101" s="1">
        <f>'[1]March 28th Release'!T102</f>
        <v>0</v>
      </c>
      <c r="J101" s="1">
        <f>'[1]March 28th Release'!F102</f>
        <v>15</v>
      </c>
      <c r="K101" s="1">
        <f>'[1]March 28th Release'!G102</f>
        <v>15</v>
      </c>
      <c r="L101" s="1">
        <f>'[1]March 28th Release'!H102</f>
        <v>13</v>
      </c>
      <c r="M101" s="1">
        <f>'[1]March 28th Release'!I102</f>
        <v>2</v>
      </c>
      <c r="N101" s="1">
        <f>'[1]March 28th Release'!J102</f>
        <v>0</v>
      </c>
      <c r="O101" s="12">
        <f>'[1]March 28th Release'!K102</f>
        <v>0.8666666666666667</v>
      </c>
      <c r="P101" s="12">
        <f>'[1]March 28th Release'!L102</f>
        <v>0.13333333333333333</v>
      </c>
      <c r="Q101" s="12">
        <f>'[1]March 28th Release'!M102</f>
        <v>0</v>
      </c>
      <c r="R101" s="12">
        <f>'[1]March 28th Release'!N102</f>
        <v>1</v>
      </c>
      <c r="S101" s="13"/>
      <c r="T101" s="13"/>
      <c r="U101" s="13"/>
      <c r="V101" s="13"/>
      <c r="W101" s="13"/>
    </row>
    <row r="102" spans="1:23" s="1" customFormat="1" ht="13" customHeight="1" x14ac:dyDescent="0.3">
      <c r="A102" s="1">
        <v>4364026</v>
      </c>
      <c r="B102" s="26"/>
      <c r="C102" s="30"/>
      <c r="D102" s="27"/>
      <c r="E102" s="10" t="s">
        <v>177</v>
      </c>
      <c r="F102" s="11" t="str">
        <f t="shared" si="1"/>
        <v>Awaiting bug fix</v>
      </c>
      <c r="G102" s="1">
        <f>'[1]March 28th Release'!R103</f>
        <v>1</v>
      </c>
      <c r="H102" s="1">
        <f>'[1]March 28th Release'!S103</f>
        <v>1</v>
      </c>
      <c r="I102" s="1">
        <f>'[1]March 28th Release'!T103</f>
        <v>0</v>
      </c>
      <c r="J102" s="1">
        <f>'[1]March 28th Release'!F103</f>
        <v>3</v>
      </c>
      <c r="K102" s="1">
        <f>'[1]March 28th Release'!G103</f>
        <v>3</v>
      </c>
      <c r="L102" s="1">
        <f>'[1]March 28th Release'!H103</f>
        <v>1</v>
      </c>
      <c r="M102" s="1">
        <f>'[1]March 28th Release'!I103</f>
        <v>2</v>
      </c>
      <c r="N102" s="1">
        <f>'[1]March 28th Release'!J103</f>
        <v>0</v>
      </c>
      <c r="O102" s="12">
        <f>'[1]March 28th Release'!K103</f>
        <v>0.33333333333333331</v>
      </c>
      <c r="P102" s="12">
        <f>'[1]March 28th Release'!L103</f>
        <v>0.66666666666666663</v>
      </c>
      <c r="Q102" s="12">
        <f>'[1]March 28th Release'!M103</f>
        <v>0</v>
      </c>
      <c r="R102" s="12">
        <f>'[1]March 28th Release'!N103</f>
        <v>1</v>
      </c>
      <c r="S102" s="13"/>
      <c r="T102" s="13"/>
      <c r="U102" s="13"/>
      <c r="V102" s="13"/>
      <c r="W102" s="13"/>
    </row>
    <row r="103" spans="1:23" s="1" customFormat="1" ht="13" customHeight="1" x14ac:dyDescent="0.3">
      <c r="A103" s="1">
        <v>4378855</v>
      </c>
      <c r="B103" s="26"/>
      <c r="C103" s="29"/>
      <c r="D103" s="27"/>
      <c r="E103" s="10" t="s">
        <v>178</v>
      </c>
      <c r="F103" s="11" t="str">
        <f t="shared" si="1"/>
        <v>Completed</v>
      </c>
      <c r="G103" s="1">
        <f>'[1]March 28th Release'!R104</f>
        <v>1</v>
      </c>
      <c r="H103" s="1">
        <f>'[1]March 28th Release'!S104</f>
        <v>1</v>
      </c>
      <c r="I103" s="1">
        <f>'[1]March 28th Release'!T104</f>
        <v>0</v>
      </c>
      <c r="J103" s="1">
        <f>'[1]March 28th Release'!F104</f>
        <v>5</v>
      </c>
      <c r="K103" s="1">
        <f>'[1]March 28th Release'!G104</f>
        <v>5</v>
      </c>
      <c r="L103" s="1">
        <f>'[1]March 28th Release'!H104</f>
        <v>5</v>
      </c>
      <c r="M103" s="1">
        <f>'[1]March 28th Release'!I104</f>
        <v>0</v>
      </c>
      <c r="N103" s="1">
        <f>'[1]March 28th Release'!J104</f>
        <v>0</v>
      </c>
      <c r="O103" s="12">
        <f>'[1]March 28th Release'!K104</f>
        <v>1</v>
      </c>
      <c r="P103" s="12">
        <f>'[1]March 28th Release'!L104</f>
        <v>0</v>
      </c>
      <c r="Q103" s="12">
        <f>'[1]March 28th Release'!M104</f>
        <v>0</v>
      </c>
      <c r="R103" s="12">
        <f>'[1]March 28th Release'!N104</f>
        <v>1</v>
      </c>
      <c r="S103" s="13"/>
      <c r="T103" s="13"/>
      <c r="U103" s="13"/>
      <c r="V103" s="13"/>
      <c r="W103" s="13"/>
    </row>
    <row r="104" spans="1:23" s="1" customFormat="1" ht="14.5" x14ac:dyDescent="0.3">
      <c r="A104" s="1">
        <v>4358815</v>
      </c>
      <c r="B104" s="25" t="s">
        <v>179</v>
      </c>
      <c r="C104" s="14" t="s">
        <v>29</v>
      </c>
      <c r="D104" s="9" t="s">
        <v>180</v>
      </c>
      <c r="E104" s="10" t="s">
        <v>181</v>
      </c>
      <c r="F104" s="11" t="str">
        <f t="shared" si="1"/>
        <v>Completed</v>
      </c>
      <c r="G104" s="1">
        <f>'[1]March 28th Release'!R105</f>
        <v>2</v>
      </c>
      <c r="H104" s="1">
        <f>'[1]March 28th Release'!S105</f>
        <v>2</v>
      </c>
      <c r="I104" s="1">
        <f>'[1]March 28th Release'!T105</f>
        <v>0</v>
      </c>
      <c r="J104" s="1">
        <f>'[1]March 28th Release'!F105</f>
        <v>8</v>
      </c>
      <c r="K104" s="1">
        <f>'[1]March 28th Release'!G105</f>
        <v>8</v>
      </c>
      <c r="L104" s="1">
        <f>'[1]March 28th Release'!H105</f>
        <v>8</v>
      </c>
      <c r="M104" s="1">
        <f>'[1]March 28th Release'!I105</f>
        <v>0</v>
      </c>
      <c r="N104" s="1">
        <f>'[1]March 28th Release'!J105</f>
        <v>0</v>
      </c>
      <c r="O104" s="12">
        <f>'[1]March 28th Release'!K105</f>
        <v>1</v>
      </c>
      <c r="P104" s="12">
        <f>'[1]March 28th Release'!L105</f>
        <v>0</v>
      </c>
      <c r="Q104" s="12">
        <f>'[1]March 28th Release'!M105</f>
        <v>0</v>
      </c>
      <c r="R104" s="12">
        <f>'[1]March 28th Release'!N105</f>
        <v>1</v>
      </c>
      <c r="S104" s="13"/>
      <c r="T104" s="13"/>
      <c r="U104" s="13"/>
      <c r="V104" s="13"/>
      <c r="W104" s="13"/>
    </row>
    <row r="105" spans="1:23" s="1" customFormat="1" ht="14.5" x14ac:dyDescent="0.3">
      <c r="A105" s="1">
        <v>4330994</v>
      </c>
      <c r="B105" s="25"/>
      <c r="C105" s="14" t="s">
        <v>179</v>
      </c>
      <c r="D105" s="19" t="s">
        <v>182</v>
      </c>
      <c r="E105" s="10" t="s">
        <v>183</v>
      </c>
      <c r="F105" s="11" t="str">
        <f t="shared" si="1"/>
        <v>Awaiting bug fix</v>
      </c>
      <c r="G105" s="1">
        <f>'[1]March 28th Release'!R106</f>
        <v>26</v>
      </c>
      <c r="H105" s="1">
        <f>'[1]March 28th Release'!S106</f>
        <v>26</v>
      </c>
      <c r="I105" s="1">
        <f>'[1]March 28th Release'!T106</f>
        <v>0</v>
      </c>
      <c r="J105" s="1">
        <f>'[1]March 28th Release'!F106</f>
        <v>70</v>
      </c>
      <c r="K105" s="1">
        <f>'[1]March 28th Release'!G106</f>
        <v>70</v>
      </c>
      <c r="L105" s="1">
        <f>'[1]March 28th Release'!H106</f>
        <v>55</v>
      </c>
      <c r="M105" s="1">
        <f>'[1]March 28th Release'!I106</f>
        <v>15</v>
      </c>
      <c r="N105" s="1">
        <f>'[1]March 28th Release'!J106</f>
        <v>0</v>
      </c>
      <c r="O105" s="12">
        <f>'[1]March 28th Release'!K106</f>
        <v>0.7857142857142857</v>
      </c>
      <c r="P105" s="12">
        <f>'[1]March 28th Release'!L106</f>
        <v>0.21428571428571427</v>
      </c>
      <c r="Q105" s="12">
        <f>'[1]March 28th Release'!M106</f>
        <v>0</v>
      </c>
      <c r="R105" s="12">
        <f>'[1]March 28th Release'!N106</f>
        <v>1</v>
      </c>
      <c r="S105" s="13">
        <v>1</v>
      </c>
      <c r="T105" s="14"/>
      <c r="U105" s="14"/>
      <c r="V105" s="14">
        <v>1</v>
      </c>
      <c r="W105" s="14"/>
    </row>
    <row r="106" spans="1:23" s="1" customFormat="1" ht="14.5" x14ac:dyDescent="0.3">
      <c r="D106" s="9"/>
      <c r="E106" s="10"/>
      <c r="F106" s="11"/>
      <c r="O106" s="12"/>
      <c r="P106" s="12"/>
      <c r="Q106" s="12"/>
      <c r="R106" s="12"/>
      <c r="S106" s="13">
        <v>24</v>
      </c>
      <c r="T106" s="14"/>
      <c r="U106" s="14">
        <v>10</v>
      </c>
      <c r="V106" s="14">
        <v>10</v>
      </c>
      <c r="W106" s="14">
        <v>4</v>
      </c>
    </row>
    <row r="107" spans="1:23" s="1" customFormat="1" ht="14.5" x14ac:dyDescent="0.35">
      <c r="B107" s="20"/>
      <c r="C107" s="20"/>
      <c r="D107" s="21"/>
      <c r="E107" s="21"/>
      <c r="F107" s="20"/>
      <c r="G107" s="5">
        <f>SUM(G3:G105)</f>
        <v>369</v>
      </c>
      <c r="H107" s="5">
        <f>SUM(H3:H105)</f>
        <v>369</v>
      </c>
      <c r="I107" s="5">
        <f>SUM(I3:I105)</f>
        <v>0</v>
      </c>
      <c r="J107" s="5">
        <f>'[1]March 28th Release'!F108</f>
        <v>1592</v>
      </c>
      <c r="K107" s="5">
        <f>'[1]March 28th Release'!G108</f>
        <v>1552</v>
      </c>
      <c r="L107" s="5">
        <f>'[1]March 28th Release'!H108</f>
        <v>1366</v>
      </c>
      <c r="M107" s="5">
        <f>'[1]March 28th Release'!I108</f>
        <v>186</v>
      </c>
      <c r="N107" s="5">
        <f>'[1]March 28th Release'!J108</f>
        <v>40</v>
      </c>
      <c r="O107" s="8">
        <f>IFERROR(L107/K107,0)</f>
        <v>0.88015463917525771</v>
      </c>
      <c r="P107" s="8">
        <f>IFERROR(M107/K107,0)</f>
        <v>0.11984536082474227</v>
      </c>
      <c r="Q107" s="8">
        <f>IFERROR(N107/J107,0)</f>
        <v>2.5125628140703519E-2</v>
      </c>
      <c r="R107" s="8">
        <f>IFERROR(K107/J107,0)</f>
        <v>0.97487437185929648</v>
      </c>
      <c r="S107" s="22">
        <v>69</v>
      </c>
      <c r="T107" s="23">
        <f>SUM(T3:T106)</f>
        <v>1</v>
      </c>
      <c r="U107" s="23">
        <v>26</v>
      </c>
      <c r="V107" s="23">
        <v>35</v>
      </c>
      <c r="W107" s="23">
        <v>7</v>
      </c>
    </row>
    <row r="113" spans="7:7" x14ac:dyDescent="0.3">
      <c r="G113" s="6" t="s">
        <v>184</v>
      </c>
    </row>
  </sheetData>
  <autoFilter ref="A2:W107" xr:uid="{B7EA9B6E-91F9-46A1-BCC6-A4E01DE0670D}"/>
  <mergeCells count="33">
    <mergeCell ref="B3:B80"/>
    <mergeCell ref="C3:C4"/>
    <mergeCell ref="D3:D4"/>
    <mergeCell ref="C6:C11"/>
    <mergeCell ref="D6:D7"/>
    <mergeCell ref="D9:D10"/>
    <mergeCell ref="C12:C16"/>
    <mergeCell ref="C43:C46"/>
    <mergeCell ref="D43:D46"/>
    <mergeCell ref="G1:N1"/>
    <mergeCell ref="O1:R1"/>
    <mergeCell ref="S1:W1"/>
    <mergeCell ref="D13:D16"/>
    <mergeCell ref="C17:C41"/>
    <mergeCell ref="D18:D30"/>
    <mergeCell ref="D31:D34"/>
    <mergeCell ref="D35:D41"/>
    <mergeCell ref="C47:C61"/>
    <mergeCell ref="D47:D61"/>
    <mergeCell ref="C62:C77"/>
    <mergeCell ref="D71:D72"/>
    <mergeCell ref="C79:C80"/>
    <mergeCell ref="D79:D80"/>
    <mergeCell ref="B104:B105"/>
    <mergeCell ref="B81:B103"/>
    <mergeCell ref="C82:C87"/>
    <mergeCell ref="D85:D86"/>
    <mergeCell ref="C88:C89"/>
    <mergeCell ref="C90:C92"/>
    <mergeCell ref="D90:D91"/>
    <mergeCell ref="C94:C103"/>
    <mergeCell ref="D98:D99"/>
    <mergeCell ref="D101:D103"/>
  </mergeCells>
  <conditionalFormatting sqref="A6">
    <cfRule type="duplicateValues" dxfId="11" priority="3"/>
  </conditionalFormatting>
  <conditionalFormatting sqref="A7">
    <cfRule type="duplicateValues" dxfId="10" priority="2"/>
  </conditionalFormatting>
  <conditionalFormatting sqref="A9">
    <cfRule type="duplicateValues" dxfId="9" priority="1"/>
  </conditionalFormatting>
  <conditionalFormatting sqref="A11:A13 A3:A5 A8">
    <cfRule type="duplicateValues" dxfId="8" priority="4"/>
  </conditionalFormatting>
  <conditionalFormatting sqref="E2">
    <cfRule type="duplicateValues" dxfId="7" priority="10"/>
    <cfRule type="top10" dxfId="6" priority="11" rank="10"/>
  </conditionalFormatting>
  <conditionalFormatting sqref="E3:E106">
    <cfRule type="duplicateValues" dxfId="5" priority="12"/>
  </conditionalFormatting>
  <conditionalFormatting sqref="F2">
    <cfRule type="containsText" dxfId="4" priority="8" operator="containsText" text="Inprogress">
      <formula>NOT(ISERROR(SEARCH("Inprogress",F2)))</formula>
    </cfRule>
    <cfRule type="containsText" dxfId="3" priority="9" operator="containsText" text="Completed">
      <formula>NOT(ISERROR(SEARCH("Completed",F2)))</formula>
    </cfRule>
  </conditionalFormatting>
  <conditionalFormatting sqref="F3:F105">
    <cfRule type="containsText" dxfId="2" priority="5" operator="containsText" text="Awaiting bug fix">
      <formula>NOT(ISERROR(SEARCH("Awaiting bug fix",F3)))</formula>
    </cfRule>
    <cfRule type="containsText" dxfId="1" priority="6" operator="containsText" text="Completed">
      <formula>NOT(ISERROR(SEARCH("Completed",F3)))</formula>
    </cfRule>
    <cfRule type="containsText" dxfId="0" priority="7" operator="containsText" text="In Progress">
      <formula>NOT(ISERROR(SEARCH("In Progress",F3)))</formula>
    </cfRule>
  </conditionalFormatting>
  <dataValidations count="1">
    <dataValidation type="list" allowBlank="1" showInputMessage="1" showErrorMessage="1" sqref="F3:F106" xr:uid="{BBE05030-BB4D-473A-A704-0748C7D3BE04}">
      <formula1>"Not Delivered, Completed, In Progress, Awaiting Bug Fix"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Sudheer, Nadupuru</dc:creator>
  <cp:lastModifiedBy>Sudheer, Nadupuru</cp:lastModifiedBy>
  <dcterms:created xsi:type="dcterms:W3CDTF">2026-03-24T15:29:48Z</dcterms:created>
  <dcterms:modified xsi:type="dcterms:W3CDTF">2026-03-24T16:42:53Z</dcterms:modified>
</cp:coreProperties>
</file>